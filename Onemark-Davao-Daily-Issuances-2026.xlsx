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C:\Users\OneMark_CFO\Desktop\OneMark\Finance Accounting System\"/>
    </mc:Choice>
  </mc:AlternateContent>
  <xr:revisionPtr revIDLastSave="0" documentId="13_ncr:1_{421A21EA-8C2C-446A-95B2-56737122CFE4}" xr6:coauthVersionLast="47" xr6:coauthVersionMax="47" xr10:uidLastSave="{00000000-0000-0000-0000-000000000000}"/>
  <bookViews>
    <workbookView xWindow="-108" yWindow="-108" windowWidth="23256" windowHeight="12456" xr2:uid="{83B96052-A241-44B6-8598-645B354AFFFB}"/>
  </bookViews>
  <sheets>
    <sheet name="2026 DAILY TRANSACTIONS"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0" localSheetId="0">#REF!</definedName>
    <definedName name="\0">#REF!</definedName>
    <definedName name="\a">#N/A</definedName>
    <definedName name="\b">#N/A</definedName>
    <definedName name="\c">#N/A</definedName>
    <definedName name="\d">#N/A</definedName>
    <definedName name="\e">#N/A</definedName>
    <definedName name="\f">#N/A</definedName>
    <definedName name="\g">#N/A</definedName>
    <definedName name="\h">#N/A</definedName>
    <definedName name="\i">#N/A</definedName>
    <definedName name="\j">#N/A</definedName>
    <definedName name="\k">#N/A</definedName>
    <definedName name="\l">#N/A</definedName>
    <definedName name="\m" localSheetId="0">#REF!</definedName>
    <definedName name="\m">#REF!</definedName>
    <definedName name="\n">#N/A</definedName>
    <definedName name="\o">#N/A</definedName>
    <definedName name="\p">#N/A</definedName>
    <definedName name="\q">#N/A</definedName>
    <definedName name="\r">#N/A</definedName>
    <definedName name="\s">#N/A</definedName>
    <definedName name="\t">#N/A</definedName>
    <definedName name="\u">#N/A</definedName>
    <definedName name="\w">#N/A</definedName>
    <definedName name="\x">#N/A</definedName>
    <definedName name="\y">#N/A</definedName>
    <definedName name="\z">#N/A</definedName>
    <definedName name="______________________________bro2" localSheetId="0">#REF!</definedName>
    <definedName name="______________________________bro2">#REF!</definedName>
    <definedName name="______________________________bro42" localSheetId="0">'[2]HB CEC schd 4.2'!#REF!</definedName>
    <definedName name="______________________________bro42">'[2]HB CEC schd 4.2'!#REF!</definedName>
    <definedName name="______________________________bro43" localSheetId="0">'[2]HB CEC schd 4.3'!#REF!</definedName>
    <definedName name="______________________________bro43">'[2]HB CEC schd 4.3'!#REF!</definedName>
    <definedName name="______________________________bro52" localSheetId="0">'[2]HB CEC schd 5.2'!#REF!</definedName>
    <definedName name="______________________________bro52">'[2]HB CEC schd 5.2'!#REF!</definedName>
    <definedName name="______________________________bro62" localSheetId="0">'[2]HB CEC schd 6.2'!#REF!</definedName>
    <definedName name="______________________________bro62">'[2]HB CEC schd 6.2'!#REF!</definedName>
    <definedName name="______________________________bro72" localSheetId="0">'[2]HB CEC schd 7.2'!#REF!</definedName>
    <definedName name="______________________________bro72">'[2]HB CEC schd 7.2'!#REF!</definedName>
    <definedName name="______________________________bro92" localSheetId="0">'[2]HB CEC schd 9.2'!#REF!</definedName>
    <definedName name="______________________________bro92">'[2]HB CEC schd 9.2'!#REF!</definedName>
    <definedName name="______________________________cec2" localSheetId="0">#REF!</definedName>
    <definedName name="______________________________cec2">#REF!</definedName>
    <definedName name="______________________________cec42" localSheetId="0">'[2]HB CEC schd 4.2'!#REF!</definedName>
    <definedName name="______________________________cec42">'[2]HB CEC schd 4.2'!#REF!</definedName>
    <definedName name="______________________________cec43" localSheetId="0">'[2]HB CEC schd 4.3'!#REF!</definedName>
    <definedName name="______________________________cec43">'[2]HB CEC schd 4.3'!#REF!</definedName>
    <definedName name="______________________________cec52" localSheetId="0">'[2]HB CEC schd 5.2'!#REF!</definedName>
    <definedName name="______________________________cec52">'[2]HB CEC schd 5.2'!#REF!</definedName>
    <definedName name="______________________________cec62" localSheetId="0">'[2]HB CEC schd 6.2'!#REF!</definedName>
    <definedName name="______________________________cec62">'[2]HB CEC schd 6.2'!#REF!</definedName>
    <definedName name="______________________________cec72" localSheetId="0">'[2]HB CEC schd 7.2'!#REF!</definedName>
    <definedName name="______________________________cec72">'[2]HB CEC schd 7.2'!#REF!</definedName>
    <definedName name="______________________________cec92" localSheetId="0">'[2]HB CEC schd 9.2'!#REF!</definedName>
    <definedName name="______________________________cec92">'[2]HB CEC schd 9.2'!#REF!</definedName>
    <definedName name="_____________________________BRO63" localSheetId="0">'[3]HB CEC schd 6.2'!#REF!</definedName>
    <definedName name="_____________________________BRO63">'[3]HB CEC schd 6.2'!#REF!</definedName>
    <definedName name="____________________________bro2" localSheetId="0">#REF!</definedName>
    <definedName name="____________________________bro2">#REF!</definedName>
    <definedName name="____________________________bro42" localSheetId="0">'[2]HB CEC schd 4.2'!#REF!</definedName>
    <definedName name="____________________________bro42">'[2]HB CEC schd 4.2'!#REF!</definedName>
    <definedName name="____________________________bro43" localSheetId="0">'[2]HB CEC schd 4.3'!#REF!</definedName>
    <definedName name="____________________________bro43">'[2]HB CEC schd 4.3'!#REF!</definedName>
    <definedName name="____________________________bro52" localSheetId="0">'[2]HB CEC schd 5.2'!#REF!</definedName>
    <definedName name="____________________________bro52">'[2]HB CEC schd 5.2'!#REF!</definedName>
    <definedName name="____________________________bro62" localSheetId="0">'[2]HB CEC schd 6.2'!#REF!</definedName>
    <definedName name="____________________________bro62">'[2]HB CEC schd 6.2'!#REF!</definedName>
    <definedName name="____________________________bro72" localSheetId="0">'[2]HB CEC schd 7.2'!#REF!</definedName>
    <definedName name="____________________________bro72">'[2]HB CEC schd 7.2'!#REF!</definedName>
    <definedName name="____________________________bro92" localSheetId="0">'[2]HB CEC schd 9.2'!#REF!</definedName>
    <definedName name="____________________________bro92">'[2]HB CEC schd 9.2'!#REF!</definedName>
    <definedName name="____________________________cec2" localSheetId="0">#REF!</definedName>
    <definedName name="____________________________cec2">#REF!</definedName>
    <definedName name="____________________________cec42" localSheetId="0">'[2]HB CEC schd 4.2'!#REF!</definedName>
    <definedName name="____________________________cec42">'[2]HB CEC schd 4.2'!#REF!</definedName>
    <definedName name="____________________________cec43" localSheetId="0">'[2]HB CEC schd 4.3'!#REF!</definedName>
    <definedName name="____________________________cec43">'[2]HB CEC schd 4.3'!#REF!</definedName>
    <definedName name="____________________________cec52" localSheetId="0">'[2]HB CEC schd 5.2'!#REF!</definedName>
    <definedName name="____________________________cec52">'[2]HB CEC schd 5.2'!#REF!</definedName>
    <definedName name="____________________________cec62" localSheetId="0">'[2]HB CEC schd 6.2'!#REF!</definedName>
    <definedName name="____________________________cec62">'[2]HB CEC schd 6.2'!#REF!</definedName>
    <definedName name="____________________________cec72" localSheetId="0">'[2]HB CEC schd 7.2'!#REF!</definedName>
    <definedName name="____________________________cec72">'[2]HB CEC schd 7.2'!#REF!</definedName>
    <definedName name="____________________________cec92" localSheetId="0">'[2]HB CEC schd 9.2'!#REF!</definedName>
    <definedName name="____________________________cec92">'[2]HB CEC schd 9.2'!#REF!</definedName>
    <definedName name="___________________________BRO63" localSheetId="0">'[3]HB CEC schd 6.2'!#REF!</definedName>
    <definedName name="___________________________BRO63">'[3]HB CEC schd 6.2'!#REF!</definedName>
    <definedName name="__________________________bro2" localSheetId="0">#REF!</definedName>
    <definedName name="__________________________bro2">#REF!</definedName>
    <definedName name="__________________________bro42" localSheetId="0">'[2]HB CEC schd 4.2'!#REF!</definedName>
    <definedName name="__________________________bro42">'[2]HB CEC schd 4.2'!#REF!</definedName>
    <definedName name="__________________________bro43" localSheetId="0">'[2]HB CEC schd 4.3'!#REF!</definedName>
    <definedName name="__________________________bro43">'[2]HB CEC schd 4.3'!#REF!</definedName>
    <definedName name="__________________________bro52" localSheetId="0">'[2]HB CEC schd 5.2'!#REF!</definedName>
    <definedName name="__________________________bro52">'[2]HB CEC schd 5.2'!#REF!</definedName>
    <definedName name="__________________________bro62" localSheetId="0">'[2]HB CEC schd 6.2'!#REF!</definedName>
    <definedName name="__________________________bro62">'[2]HB CEC schd 6.2'!#REF!</definedName>
    <definedName name="__________________________bro72" localSheetId="0">'[2]HB CEC schd 7.2'!#REF!</definedName>
    <definedName name="__________________________bro72">'[2]HB CEC schd 7.2'!#REF!</definedName>
    <definedName name="__________________________bro92" localSheetId="0">'[2]HB CEC schd 9.2'!#REF!</definedName>
    <definedName name="__________________________bro92">'[2]HB CEC schd 9.2'!#REF!</definedName>
    <definedName name="__________________________cec2" localSheetId="0">#REF!</definedName>
    <definedName name="__________________________cec2">#REF!</definedName>
    <definedName name="__________________________cec42" localSheetId="0">'[2]HB CEC schd 4.2'!#REF!</definedName>
    <definedName name="__________________________cec42">'[2]HB CEC schd 4.2'!#REF!</definedName>
    <definedName name="__________________________cec43" localSheetId="0">'[2]HB CEC schd 4.3'!#REF!</definedName>
    <definedName name="__________________________cec43">'[2]HB CEC schd 4.3'!#REF!</definedName>
    <definedName name="__________________________cec52" localSheetId="0">'[2]HB CEC schd 5.2'!#REF!</definedName>
    <definedName name="__________________________cec52">'[2]HB CEC schd 5.2'!#REF!</definedName>
    <definedName name="__________________________cec62" localSheetId="0">'[2]HB CEC schd 6.2'!#REF!</definedName>
    <definedName name="__________________________cec62">'[2]HB CEC schd 6.2'!#REF!</definedName>
    <definedName name="__________________________cec72" localSheetId="0">'[2]HB CEC schd 7.2'!#REF!</definedName>
    <definedName name="__________________________cec72">'[2]HB CEC schd 7.2'!#REF!</definedName>
    <definedName name="__________________________cec92" localSheetId="0">'[2]HB CEC schd 9.2'!#REF!</definedName>
    <definedName name="__________________________cec92">'[2]HB CEC schd 9.2'!#REF!</definedName>
    <definedName name="_________________________BRO63" localSheetId="0">'[3]HB CEC schd 6.2'!#REF!</definedName>
    <definedName name="_________________________BRO63">'[3]HB CEC schd 6.2'!#REF!</definedName>
    <definedName name="________________________bro2" localSheetId="0">#REF!</definedName>
    <definedName name="________________________bro2">#REF!</definedName>
    <definedName name="________________________bro42" localSheetId="0">'[2]HB CEC schd 4.2'!#REF!</definedName>
    <definedName name="________________________bro42">'[2]HB CEC schd 4.2'!#REF!</definedName>
    <definedName name="________________________bro43" localSheetId="0">'[2]HB CEC schd 4.3'!#REF!</definedName>
    <definedName name="________________________bro43">'[2]HB CEC schd 4.3'!#REF!</definedName>
    <definedName name="________________________bro52" localSheetId="0">'[2]HB CEC schd 5.2'!#REF!</definedName>
    <definedName name="________________________bro52">'[2]HB CEC schd 5.2'!#REF!</definedName>
    <definedName name="________________________bro62" localSheetId="0">'[2]HB CEC schd 6.2'!#REF!</definedName>
    <definedName name="________________________bro62">'[2]HB CEC schd 6.2'!#REF!</definedName>
    <definedName name="________________________bro72" localSheetId="0">'[2]HB CEC schd 7.2'!#REF!</definedName>
    <definedName name="________________________bro72">'[2]HB CEC schd 7.2'!#REF!</definedName>
    <definedName name="________________________bro92" localSheetId="0">'[2]HB CEC schd 9.2'!#REF!</definedName>
    <definedName name="________________________bro92">'[2]HB CEC schd 9.2'!#REF!</definedName>
    <definedName name="________________________cec2" localSheetId="0">#REF!</definedName>
    <definedName name="________________________cec2">#REF!</definedName>
    <definedName name="________________________cec42" localSheetId="0">'[2]HB CEC schd 4.2'!#REF!</definedName>
    <definedName name="________________________cec42">'[2]HB CEC schd 4.2'!#REF!</definedName>
    <definedName name="________________________cec43" localSheetId="0">'[2]HB CEC schd 4.3'!#REF!</definedName>
    <definedName name="________________________cec43">'[2]HB CEC schd 4.3'!#REF!</definedName>
    <definedName name="________________________cec52" localSheetId="0">'[2]HB CEC schd 5.2'!#REF!</definedName>
    <definedName name="________________________cec52">'[2]HB CEC schd 5.2'!#REF!</definedName>
    <definedName name="________________________cec62" localSheetId="0">'[2]HB CEC schd 6.2'!#REF!</definedName>
    <definedName name="________________________cec62">'[2]HB CEC schd 6.2'!#REF!</definedName>
    <definedName name="________________________cec72" localSheetId="0">'[2]HB CEC schd 7.2'!#REF!</definedName>
    <definedName name="________________________cec72">'[2]HB CEC schd 7.2'!#REF!</definedName>
    <definedName name="________________________cec92" localSheetId="0">'[2]HB CEC schd 9.2'!#REF!</definedName>
    <definedName name="________________________cec92">'[2]HB CEC schd 9.2'!#REF!</definedName>
    <definedName name="_______________________BRO63" localSheetId="0">'[3]HB CEC schd 6.2'!#REF!</definedName>
    <definedName name="_______________________BRO63">'[3]HB CEC schd 6.2'!#REF!</definedName>
    <definedName name="______________________bro2" localSheetId="0">#REF!</definedName>
    <definedName name="______________________bro2">#REF!</definedName>
    <definedName name="______________________bro42" localSheetId="0">'[2]HB CEC schd 4.2'!#REF!</definedName>
    <definedName name="______________________bro42">'[2]HB CEC schd 4.2'!#REF!</definedName>
    <definedName name="______________________bro43" localSheetId="0">'[2]HB CEC schd 4.3'!#REF!</definedName>
    <definedName name="______________________bro43">'[2]HB CEC schd 4.3'!#REF!</definedName>
    <definedName name="______________________bro52" localSheetId="0">'[2]HB CEC schd 5.2'!#REF!</definedName>
    <definedName name="______________________bro52">'[2]HB CEC schd 5.2'!#REF!</definedName>
    <definedName name="______________________bro62" localSheetId="0">'[2]HB CEC schd 6.2'!#REF!</definedName>
    <definedName name="______________________bro62">'[2]HB CEC schd 6.2'!#REF!</definedName>
    <definedName name="______________________bro72" localSheetId="0">'[2]HB CEC schd 7.2'!#REF!</definedName>
    <definedName name="______________________bro72">'[2]HB CEC schd 7.2'!#REF!</definedName>
    <definedName name="______________________bro92" localSheetId="0">'[2]HB CEC schd 9.2'!#REF!</definedName>
    <definedName name="______________________bro92">'[2]HB CEC schd 9.2'!#REF!</definedName>
    <definedName name="______________________cec2" localSheetId="0">#REF!</definedName>
    <definedName name="______________________cec2">#REF!</definedName>
    <definedName name="______________________cec42" localSheetId="0">'[2]HB CEC schd 4.2'!#REF!</definedName>
    <definedName name="______________________cec42">'[2]HB CEC schd 4.2'!#REF!</definedName>
    <definedName name="______________________cec43" localSheetId="0">'[2]HB CEC schd 4.3'!#REF!</definedName>
    <definedName name="______________________cec43">'[2]HB CEC schd 4.3'!#REF!</definedName>
    <definedName name="______________________cec52" localSheetId="0">'[2]HB CEC schd 5.2'!#REF!</definedName>
    <definedName name="______________________cec52">'[2]HB CEC schd 5.2'!#REF!</definedName>
    <definedName name="______________________cec62" localSheetId="0">'[2]HB CEC schd 6.2'!#REF!</definedName>
    <definedName name="______________________cec62">'[2]HB CEC schd 6.2'!#REF!</definedName>
    <definedName name="______________________cec72" localSheetId="0">'[2]HB CEC schd 7.2'!#REF!</definedName>
    <definedName name="______________________cec72">'[2]HB CEC schd 7.2'!#REF!</definedName>
    <definedName name="______________________cec92" localSheetId="0">'[2]HB CEC schd 9.2'!#REF!</definedName>
    <definedName name="______________________cec92">'[2]HB CEC schd 9.2'!#REF!</definedName>
    <definedName name="_____________________bro2" localSheetId="0">#REF!</definedName>
    <definedName name="_____________________bro2">#REF!</definedName>
    <definedName name="_____________________bro42" localSheetId="0">'[2]HB CEC schd 4.2'!#REF!</definedName>
    <definedName name="_____________________bro42">'[2]HB CEC schd 4.2'!#REF!</definedName>
    <definedName name="_____________________bro43" localSheetId="0">'[2]HB CEC schd 4.3'!#REF!</definedName>
    <definedName name="_____________________bro43">'[2]HB CEC schd 4.3'!#REF!</definedName>
    <definedName name="_____________________bro52" localSheetId="0">'[2]HB CEC schd 5.2'!#REF!</definedName>
    <definedName name="_____________________bro52">'[2]HB CEC schd 5.2'!#REF!</definedName>
    <definedName name="_____________________bro62" localSheetId="0">'[2]HB CEC schd 6.2'!#REF!</definedName>
    <definedName name="_____________________bro62">'[2]HB CEC schd 6.2'!#REF!</definedName>
    <definedName name="_____________________BRO63" localSheetId="0">'[3]HB CEC schd 6.2'!#REF!</definedName>
    <definedName name="_____________________BRO63">'[3]HB CEC schd 6.2'!#REF!</definedName>
    <definedName name="_____________________bro72" localSheetId="0">'[2]HB CEC schd 7.2'!#REF!</definedName>
    <definedName name="_____________________bro72">'[2]HB CEC schd 7.2'!#REF!</definedName>
    <definedName name="_____________________bro92" localSheetId="0">'[2]HB CEC schd 9.2'!#REF!</definedName>
    <definedName name="_____________________bro92">'[2]HB CEC schd 9.2'!#REF!</definedName>
    <definedName name="_____________________cec2" localSheetId="0">#REF!</definedName>
    <definedName name="_____________________cec2">#REF!</definedName>
    <definedName name="_____________________cec42" localSheetId="0">'[2]HB CEC schd 4.2'!#REF!</definedName>
    <definedName name="_____________________cec42">'[2]HB CEC schd 4.2'!#REF!</definedName>
    <definedName name="_____________________cec43" localSheetId="0">'[2]HB CEC schd 4.3'!#REF!</definedName>
    <definedName name="_____________________cec43">'[2]HB CEC schd 4.3'!#REF!</definedName>
    <definedName name="_____________________cec52" localSheetId="0">'[2]HB CEC schd 5.2'!#REF!</definedName>
    <definedName name="_____________________cec52">'[2]HB CEC schd 5.2'!#REF!</definedName>
    <definedName name="_____________________cec62" localSheetId="0">'[2]HB CEC schd 6.2'!#REF!</definedName>
    <definedName name="_____________________cec62">'[2]HB CEC schd 6.2'!#REF!</definedName>
    <definedName name="_____________________cec72" localSheetId="0">'[2]HB CEC schd 7.2'!#REF!</definedName>
    <definedName name="_____________________cec72">'[2]HB CEC schd 7.2'!#REF!</definedName>
    <definedName name="_____________________cec92" localSheetId="0">'[2]HB CEC schd 9.2'!#REF!</definedName>
    <definedName name="_____________________cec92">'[2]HB CEC schd 9.2'!#REF!</definedName>
    <definedName name="____________________BRO63" localSheetId="0">'[3]HB CEC schd 6.2'!#REF!</definedName>
    <definedName name="____________________BRO63">'[3]HB CEC schd 6.2'!#REF!</definedName>
    <definedName name="____________________sum2" localSheetId="0">#REF!</definedName>
    <definedName name="____________________sum2">#REF!</definedName>
    <definedName name="____________________sum32" localSheetId="0">#REF!</definedName>
    <definedName name="____________________sum32">#REF!</definedName>
    <definedName name="____________________sum72" localSheetId="0">#REF!</definedName>
    <definedName name="____________________sum72">#REF!</definedName>
    <definedName name="___________________bro2" localSheetId="0">#REF!</definedName>
    <definedName name="___________________bro2">#REF!</definedName>
    <definedName name="___________________bro42" localSheetId="0">'[2]HB CEC schd 4.2'!#REF!</definedName>
    <definedName name="___________________bro42">'[2]HB CEC schd 4.2'!#REF!</definedName>
    <definedName name="___________________bro43" localSheetId="0">'[2]HB CEC schd 4.3'!#REF!</definedName>
    <definedName name="___________________bro43">'[2]HB CEC schd 4.3'!#REF!</definedName>
    <definedName name="___________________bro52" localSheetId="0">'[2]HB CEC schd 5.2'!#REF!</definedName>
    <definedName name="___________________bro52">'[2]HB CEC schd 5.2'!#REF!</definedName>
    <definedName name="___________________bro62" localSheetId="0">'[2]HB CEC schd 6.2'!#REF!</definedName>
    <definedName name="___________________bro62">'[2]HB CEC schd 6.2'!#REF!</definedName>
    <definedName name="___________________bro72" localSheetId="0">'[2]HB CEC schd 7.2'!#REF!</definedName>
    <definedName name="___________________bro72">'[2]HB CEC schd 7.2'!#REF!</definedName>
    <definedName name="___________________bro92" localSheetId="0">'[2]HB CEC schd 9.2'!#REF!</definedName>
    <definedName name="___________________bro92">'[2]HB CEC schd 9.2'!#REF!</definedName>
    <definedName name="___________________cec2" localSheetId="0">#REF!</definedName>
    <definedName name="___________________cec2">#REF!</definedName>
    <definedName name="___________________cec42" localSheetId="0">'[2]HB CEC schd 4.2'!#REF!</definedName>
    <definedName name="___________________cec42">'[2]HB CEC schd 4.2'!#REF!</definedName>
    <definedName name="___________________cec43" localSheetId="0">'[2]HB CEC schd 4.3'!#REF!</definedName>
    <definedName name="___________________cec43">'[2]HB CEC schd 4.3'!#REF!</definedName>
    <definedName name="___________________cec52" localSheetId="0">'[2]HB CEC schd 5.2'!#REF!</definedName>
    <definedName name="___________________cec52">'[2]HB CEC schd 5.2'!#REF!</definedName>
    <definedName name="___________________cec62" localSheetId="0">'[2]HB CEC schd 6.2'!#REF!</definedName>
    <definedName name="___________________cec62">'[2]HB CEC schd 6.2'!#REF!</definedName>
    <definedName name="___________________cec72" localSheetId="0">'[2]HB CEC schd 7.2'!#REF!</definedName>
    <definedName name="___________________cec72">'[2]HB CEC schd 7.2'!#REF!</definedName>
    <definedName name="___________________cec92" localSheetId="0">'[2]HB CEC schd 9.2'!#REF!</definedName>
    <definedName name="___________________cec92">'[2]HB CEC schd 9.2'!#REF!</definedName>
    <definedName name="___________________sum2" localSheetId="0">#REF!</definedName>
    <definedName name="___________________sum2">#REF!</definedName>
    <definedName name="___________________sum32" localSheetId="0">#REF!</definedName>
    <definedName name="___________________sum32">#REF!</definedName>
    <definedName name="___________________sum72" localSheetId="0">#REF!</definedName>
    <definedName name="___________________sum72">#REF!</definedName>
    <definedName name="__________________BRO63" localSheetId="0">'[3]HB CEC schd 6.2'!#REF!</definedName>
    <definedName name="__________________BRO63">'[3]HB CEC schd 6.2'!#REF!</definedName>
    <definedName name="__________________sum2" localSheetId="0">#REF!</definedName>
    <definedName name="__________________sum2">#REF!</definedName>
    <definedName name="__________________sum32" localSheetId="0">#REF!</definedName>
    <definedName name="__________________sum32">#REF!</definedName>
    <definedName name="__________________sum72" localSheetId="0">#REF!</definedName>
    <definedName name="__________________sum72">#REF!</definedName>
    <definedName name="_________________bro2" localSheetId="0">#REF!</definedName>
    <definedName name="_________________bro2">#REF!</definedName>
    <definedName name="_________________bro42" localSheetId="0">'[2]HB CEC schd 4.2'!#REF!</definedName>
    <definedName name="_________________bro42">'[2]HB CEC schd 4.2'!#REF!</definedName>
    <definedName name="_________________bro43" localSheetId="0">'[2]HB CEC schd 4.3'!#REF!</definedName>
    <definedName name="_________________bro43">'[2]HB CEC schd 4.3'!#REF!</definedName>
    <definedName name="_________________bro52" localSheetId="0">'[2]HB CEC schd 5.2'!#REF!</definedName>
    <definedName name="_________________bro52">'[2]HB CEC schd 5.2'!#REF!</definedName>
    <definedName name="_________________bro62" localSheetId="0">'[2]HB CEC schd 6.2'!#REF!</definedName>
    <definedName name="_________________bro62">'[2]HB CEC schd 6.2'!#REF!</definedName>
    <definedName name="_________________bro72" localSheetId="0">'[2]HB CEC schd 7.2'!#REF!</definedName>
    <definedName name="_________________bro72">'[2]HB CEC schd 7.2'!#REF!</definedName>
    <definedName name="_________________bro92" localSheetId="0">'[2]HB CEC schd 9.2'!#REF!</definedName>
    <definedName name="_________________bro92">'[2]HB CEC schd 9.2'!#REF!</definedName>
    <definedName name="_________________cec2" localSheetId="0">#REF!</definedName>
    <definedName name="_________________cec2">#REF!</definedName>
    <definedName name="_________________cec42" localSheetId="0">'[2]HB CEC schd 4.2'!#REF!</definedName>
    <definedName name="_________________cec42">'[2]HB CEC schd 4.2'!#REF!</definedName>
    <definedName name="_________________cec43" localSheetId="0">'[2]HB CEC schd 4.3'!#REF!</definedName>
    <definedName name="_________________cec43">'[2]HB CEC schd 4.3'!#REF!</definedName>
    <definedName name="_________________cec52" localSheetId="0">'[2]HB CEC schd 5.2'!#REF!</definedName>
    <definedName name="_________________cec52">'[2]HB CEC schd 5.2'!#REF!</definedName>
    <definedName name="_________________cec62" localSheetId="0">'[2]HB CEC schd 6.2'!#REF!</definedName>
    <definedName name="_________________cec62">'[2]HB CEC schd 6.2'!#REF!</definedName>
    <definedName name="_________________cec72" localSheetId="0">'[2]HB CEC schd 7.2'!#REF!</definedName>
    <definedName name="_________________cec72">'[2]HB CEC schd 7.2'!#REF!</definedName>
    <definedName name="_________________cec92" localSheetId="0">'[2]HB CEC schd 9.2'!#REF!</definedName>
    <definedName name="_________________cec92">'[2]HB CEC schd 9.2'!#REF!</definedName>
    <definedName name="_________________sum2" localSheetId="0">#REF!</definedName>
    <definedName name="_________________sum2">#REF!</definedName>
    <definedName name="_________________sum32" localSheetId="0">#REF!</definedName>
    <definedName name="_________________sum32">#REF!</definedName>
    <definedName name="_________________sum72" localSheetId="0">#REF!</definedName>
    <definedName name="_________________sum72">#REF!</definedName>
    <definedName name="________________BRO63" localSheetId="0">'[3]HB CEC schd 6.2'!#REF!</definedName>
    <definedName name="________________BRO63">'[3]HB CEC schd 6.2'!#REF!</definedName>
    <definedName name="________________sum2" localSheetId="0">#REF!</definedName>
    <definedName name="________________sum2">#REF!</definedName>
    <definedName name="________________sum32" localSheetId="0">#REF!</definedName>
    <definedName name="________________sum32">#REF!</definedName>
    <definedName name="________________sum72" localSheetId="0">#REF!</definedName>
    <definedName name="________________sum72">#REF!</definedName>
    <definedName name="_______________bro2" localSheetId="0">#REF!</definedName>
    <definedName name="_______________bro2">#REF!</definedName>
    <definedName name="_______________bro42" localSheetId="0">'[2]HB CEC schd 4.2'!#REF!</definedName>
    <definedName name="_______________bro42">'[2]HB CEC schd 4.2'!#REF!</definedName>
    <definedName name="_______________bro43" localSheetId="0">'[2]HB CEC schd 4.3'!#REF!</definedName>
    <definedName name="_______________bro43">'[2]HB CEC schd 4.3'!#REF!</definedName>
    <definedName name="_______________bro52" localSheetId="0">'[2]HB CEC schd 5.2'!#REF!</definedName>
    <definedName name="_______________bro52">'[2]HB CEC schd 5.2'!#REF!</definedName>
    <definedName name="_______________bro62" localSheetId="0">'[2]HB CEC schd 6.2'!#REF!</definedName>
    <definedName name="_______________bro62">'[2]HB CEC schd 6.2'!#REF!</definedName>
    <definedName name="_______________bro72" localSheetId="0">'[2]HB CEC schd 7.2'!#REF!</definedName>
    <definedName name="_______________bro72">'[2]HB CEC schd 7.2'!#REF!</definedName>
    <definedName name="_______________bro92" localSheetId="0">'[2]HB CEC schd 9.2'!#REF!</definedName>
    <definedName name="_______________bro92">'[2]HB CEC schd 9.2'!#REF!</definedName>
    <definedName name="_______________cec2" localSheetId="0">#REF!</definedName>
    <definedName name="_______________cec2">#REF!</definedName>
    <definedName name="_______________cec42" localSheetId="0">'[2]HB CEC schd 4.2'!#REF!</definedName>
    <definedName name="_______________cec42">'[2]HB CEC schd 4.2'!#REF!</definedName>
    <definedName name="_______________cec43" localSheetId="0">'[2]HB CEC schd 4.3'!#REF!</definedName>
    <definedName name="_______________cec43">'[2]HB CEC schd 4.3'!#REF!</definedName>
    <definedName name="_______________cec52" localSheetId="0">'[2]HB CEC schd 5.2'!#REF!</definedName>
    <definedName name="_______________cec52">'[2]HB CEC schd 5.2'!#REF!</definedName>
    <definedName name="_______________cec62" localSheetId="0">'[2]HB CEC schd 6.2'!#REF!</definedName>
    <definedName name="_______________cec62">'[2]HB CEC schd 6.2'!#REF!</definedName>
    <definedName name="_______________cec72" localSheetId="0">'[2]HB CEC schd 7.2'!#REF!</definedName>
    <definedName name="_______________cec72">'[2]HB CEC schd 7.2'!#REF!</definedName>
    <definedName name="_______________cec92" localSheetId="0">'[2]HB CEC schd 9.2'!#REF!</definedName>
    <definedName name="_______________cec92">'[2]HB CEC schd 9.2'!#REF!</definedName>
    <definedName name="_______________sum2" localSheetId="0">#REF!</definedName>
    <definedName name="_______________sum2">#REF!</definedName>
    <definedName name="_______________sum32" localSheetId="0">#REF!</definedName>
    <definedName name="_______________sum32">#REF!</definedName>
    <definedName name="_______________sum72" localSheetId="0">#REF!</definedName>
    <definedName name="_______________sum72">#REF!</definedName>
    <definedName name="______________BRO63" localSheetId="0">'[3]HB CEC schd 6.2'!#REF!</definedName>
    <definedName name="______________BRO63">'[3]HB CEC schd 6.2'!#REF!</definedName>
    <definedName name="______________sum2" localSheetId="0">#REF!</definedName>
    <definedName name="______________sum2">#REF!</definedName>
    <definedName name="______________sum32" localSheetId="0">#REF!</definedName>
    <definedName name="______________sum32">#REF!</definedName>
    <definedName name="______________sum72" localSheetId="0">#REF!</definedName>
    <definedName name="______________sum72">#REF!</definedName>
    <definedName name="_____________bro2" localSheetId="0">#REF!</definedName>
    <definedName name="_____________bro2">#REF!</definedName>
    <definedName name="_____________bro42" localSheetId="0">'[2]HB CEC schd 4.2'!#REF!</definedName>
    <definedName name="_____________bro42">'[2]HB CEC schd 4.2'!#REF!</definedName>
    <definedName name="_____________bro43" localSheetId="0">'[2]HB CEC schd 4.3'!#REF!</definedName>
    <definedName name="_____________bro43">'[2]HB CEC schd 4.3'!#REF!</definedName>
    <definedName name="_____________bro52" localSheetId="0">'[2]HB CEC schd 5.2'!#REF!</definedName>
    <definedName name="_____________bro52">'[2]HB CEC schd 5.2'!#REF!</definedName>
    <definedName name="_____________bro62" localSheetId="0">'[2]HB CEC schd 6.2'!#REF!</definedName>
    <definedName name="_____________bro62">'[2]HB CEC schd 6.2'!#REF!</definedName>
    <definedName name="_____________bro72" localSheetId="0">'[2]HB CEC schd 7.2'!#REF!</definedName>
    <definedName name="_____________bro72">'[2]HB CEC schd 7.2'!#REF!</definedName>
    <definedName name="_____________bro92" localSheetId="0">'[2]HB CEC schd 9.2'!#REF!</definedName>
    <definedName name="_____________bro92">'[2]HB CEC schd 9.2'!#REF!</definedName>
    <definedName name="_____________cec2" localSheetId="0">#REF!</definedName>
    <definedName name="_____________cec2">#REF!</definedName>
    <definedName name="_____________cec42" localSheetId="0">'[2]HB CEC schd 4.2'!#REF!</definedName>
    <definedName name="_____________cec42">'[2]HB CEC schd 4.2'!#REF!</definedName>
    <definedName name="_____________cec43" localSheetId="0">'[2]HB CEC schd 4.3'!#REF!</definedName>
    <definedName name="_____________cec43">'[2]HB CEC schd 4.3'!#REF!</definedName>
    <definedName name="_____________cec52" localSheetId="0">'[2]HB CEC schd 5.2'!#REF!</definedName>
    <definedName name="_____________cec52">'[2]HB CEC schd 5.2'!#REF!</definedName>
    <definedName name="_____________cec62" localSheetId="0">'[2]HB CEC schd 6.2'!#REF!</definedName>
    <definedName name="_____________cec62">'[2]HB CEC schd 6.2'!#REF!</definedName>
    <definedName name="_____________cec72" localSheetId="0">'[2]HB CEC schd 7.2'!#REF!</definedName>
    <definedName name="_____________cec72">'[2]HB CEC schd 7.2'!#REF!</definedName>
    <definedName name="_____________cec92" localSheetId="0">'[2]HB CEC schd 9.2'!#REF!</definedName>
    <definedName name="_____________cec92">'[2]HB CEC schd 9.2'!#REF!</definedName>
    <definedName name="_____________sum2" localSheetId="0">#REF!</definedName>
    <definedName name="_____________sum2">#REF!</definedName>
    <definedName name="_____________sum32" localSheetId="0">#REF!</definedName>
    <definedName name="_____________sum32">#REF!</definedName>
    <definedName name="_____________sum72" localSheetId="0">#REF!</definedName>
    <definedName name="_____________sum72">#REF!</definedName>
    <definedName name="____________bro2" localSheetId="0">#REF!</definedName>
    <definedName name="____________bro2">#REF!</definedName>
    <definedName name="____________bro42" localSheetId="0">'[2]HB CEC schd 4.2'!#REF!</definedName>
    <definedName name="____________bro42">'[2]HB CEC schd 4.2'!#REF!</definedName>
    <definedName name="____________bro43" localSheetId="0">'[2]HB CEC schd 4.3'!#REF!</definedName>
    <definedName name="____________bro43">'[2]HB CEC schd 4.3'!#REF!</definedName>
    <definedName name="____________bro52" localSheetId="0">'[2]HB CEC schd 5.2'!#REF!</definedName>
    <definedName name="____________bro52">'[2]HB CEC schd 5.2'!#REF!</definedName>
    <definedName name="____________bro62" localSheetId="0">'[2]HB CEC schd 6.2'!#REF!</definedName>
    <definedName name="____________bro62">'[2]HB CEC schd 6.2'!#REF!</definedName>
    <definedName name="____________BRO63" localSheetId="0">'[3]HB CEC schd 6.2'!#REF!</definedName>
    <definedName name="____________BRO63">'[3]HB CEC schd 6.2'!#REF!</definedName>
    <definedName name="____________bro72" localSheetId="0">'[2]HB CEC schd 7.2'!#REF!</definedName>
    <definedName name="____________bro72">'[2]HB CEC schd 7.2'!#REF!</definedName>
    <definedName name="____________bro92" localSheetId="0">'[2]HB CEC schd 9.2'!#REF!</definedName>
    <definedName name="____________bro92">'[2]HB CEC schd 9.2'!#REF!</definedName>
    <definedName name="____________cec2" localSheetId="0">#REF!</definedName>
    <definedName name="____________cec2">#REF!</definedName>
    <definedName name="____________cec42" localSheetId="0">'[2]HB CEC schd 4.2'!#REF!</definedName>
    <definedName name="____________cec42">'[2]HB CEC schd 4.2'!#REF!</definedName>
    <definedName name="____________cec43" localSheetId="0">'[2]HB CEC schd 4.3'!#REF!</definedName>
    <definedName name="____________cec43">'[2]HB CEC schd 4.3'!#REF!</definedName>
    <definedName name="____________cec52" localSheetId="0">'[2]HB CEC schd 5.2'!#REF!</definedName>
    <definedName name="____________cec52">'[2]HB CEC schd 5.2'!#REF!</definedName>
    <definedName name="____________cec62" localSheetId="0">'[2]HB CEC schd 6.2'!#REF!</definedName>
    <definedName name="____________cec62">'[2]HB CEC schd 6.2'!#REF!</definedName>
    <definedName name="____________cec72" localSheetId="0">'[2]HB CEC schd 7.2'!#REF!</definedName>
    <definedName name="____________cec72">'[2]HB CEC schd 7.2'!#REF!</definedName>
    <definedName name="____________cec92" localSheetId="0">'[2]HB CEC schd 9.2'!#REF!</definedName>
    <definedName name="____________cec92">'[2]HB CEC schd 9.2'!#REF!</definedName>
    <definedName name="____________sum2" localSheetId="0">#REF!</definedName>
    <definedName name="____________sum2">#REF!</definedName>
    <definedName name="____________sum32" localSheetId="0">#REF!</definedName>
    <definedName name="____________sum32">#REF!</definedName>
    <definedName name="____________sum72" localSheetId="0">#REF!</definedName>
    <definedName name="____________sum72">#REF!</definedName>
    <definedName name="___________BRO63" localSheetId="0">'[3]HB CEC schd 6.2'!#REF!</definedName>
    <definedName name="___________BRO63">'[3]HB CEC schd 6.2'!#REF!</definedName>
    <definedName name="___________sum2" localSheetId="0">#REF!</definedName>
    <definedName name="___________sum2">#REF!</definedName>
    <definedName name="___________sum32" localSheetId="0">#REF!</definedName>
    <definedName name="___________sum32">#REF!</definedName>
    <definedName name="___________sum72" localSheetId="0">#REF!</definedName>
    <definedName name="___________sum72">#REF!</definedName>
    <definedName name="__________bro2" localSheetId="0">#REF!</definedName>
    <definedName name="__________bro2">#REF!</definedName>
    <definedName name="__________bro42" localSheetId="0">'[2]HB CEC schd 4.2'!#REF!</definedName>
    <definedName name="__________bro42">'[2]HB CEC schd 4.2'!#REF!</definedName>
    <definedName name="__________bro43" localSheetId="0">'[2]HB CEC schd 4.3'!#REF!</definedName>
    <definedName name="__________bro43">'[2]HB CEC schd 4.3'!#REF!</definedName>
    <definedName name="__________bro52" localSheetId="0">'[2]HB CEC schd 5.2'!#REF!</definedName>
    <definedName name="__________bro52">'[2]HB CEC schd 5.2'!#REF!</definedName>
    <definedName name="__________bro62" localSheetId="0">'[2]HB CEC schd 6.2'!#REF!</definedName>
    <definedName name="__________bro62">'[2]HB CEC schd 6.2'!#REF!</definedName>
    <definedName name="__________bro72" localSheetId="0">'[2]HB CEC schd 7.2'!#REF!</definedName>
    <definedName name="__________bro72">'[2]HB CEC schd 7.2'!#REF!</definedName>
    <definedName name="__________bro92" localSheetId="0">'[2]HB CEC schd 9.2'!#REF!</definedName>
    <definedName name="__________bro92">'[2]HB CEC schd 9.2'!#REF!</definedName>
    <definedName name="__________cec2" localSheetId="0">#REF!</definedName>
    <definedName name="__________cec2">#REF!</definedName>
    <definedName name="__________cec42" localSheetId="0">'[2]HB CEC schd 4.2'!#REF!</definedName>
    <definedName name="__________cec42">'[2]HB CEC schd 4.2'!#REF!</definedName>
    <definedName name="__________cec43" localSheetId="0">'[2]HB CEC schd 4.3'!#REF!</definedName>
    <definedName name="__________cec43">'[2]HB CEC schd 4.3'!#REF!</definedName>
    <definedName name="__________cec52" localSheetId="0">'[2]HB CEC schd 5.2'!#REF!</definedName>
    <definedName name="__________cec52">'[2]HB CEC schd 5.2'!#REF!</definedName>
    <definedName name="__________cec62" localSheetId="0">'[2]HB CEC schd 6.2'!#REF!</definedName>
    <definedName name="__________cec62">'[2]HB CEC schd 6.2'!#REF!</definedName>
    <definedName name="__________cec72" localSheetId="0">'[2]HB CEC schd 7.2'!#REF!</definedName>
    <definedName name="__________cec72">'[2]HB CEC schd 7.2'!#REF!</definedName>
    <definedName name="__________cec92" localSheetId="0">'[2]HB CEC schd 9.2'!#REF!</definedName>
    <definedName name="__________cec92">'[2]HB CEC schd 9.2'!#REF!</definedName>
    <definedName name="__________sum2" localSheetId="0">#REF!</definedName>
    <definedName name="__________sum2">#REF!</definedName>
    <definedName name="__________sum32" localSheetId="0">#REF!</definedName>
    <definedName name="__________sum32">#REF!</definedName>
    <definedName name="__________sum72" localSheetId="0">#REF!</definedName>
    <definedName name="__________sum72">#REF!</definedName>
    <definedName name="_________BRO63" localSheetId="0">'[3]HB CEC schd 6.2'!#REF!</definedName>
    <definedName name="_________BRO63">'[3]HB CEC schd 6.2'!#REF!</definedName>
    <definedName name="_________sum2" localSheetId="0">#REF!</definedName>
    <definedName name="_________sum2">#REF!</definedName>
    <definedName name="_________sum32" localSheetId="0">#REF!</definedName>
    <definedName name="_________sum32">#REF!</definedName>
    <definedName name="_________sum72" localSheetId="0">#REF!</definedName>
    <definedName name="_________sum72">#REF!</definedName>
    <definedName name="________bro2" localSheetId="0">#REF!</definedName>
    <definedName name="________bro2">#REF!</definedName>
    <definedName name="________bro42" localSheetId="0">'[2]HB CEC schd 4.2'!#REF!</definedName>
    <definedName name="________bro42">'[2]HB CEC schd 4.2'!#REF!</definedName>
    <definedName name="________bro43" localSheetId="0">'[2]HB CEC schd 4.3'!#REF!</definedName>
    <definedName name="________bro43">'[2]HB CEC schd 4.3'!#REF!</definedName>
    <definedName name="________bro52" localSheetId="0">'[2]HB CEC schd 5.2'!#REF!</definedName>
    <definedName name="________bro52">'[2]HB CEC schd 5.2'!#REF!</definedName>
    <definedName name="________bro62" localSheetId="0">'[2]HB CEC schd 6.2'!#REF!</definedName>
    <definedName name="________bro62">'[2]HB CEC schd 6.2'!#REF!</definedName>
    <definedName name="________bro72" localSheetId="0">'[2]HB CEC schd 7.2'!#REF!</definedName>
    <definedName name="________bro72">'[2]HB CEC schd 7.2'!#REF!</definedName>
    <definedName name="________bro92" localSheetId="0">'[2]HB CEC schd 9.2'!#REF!</definedName>
    <definedName name="________bro92">'[2]HB CEC schd 9.2'!#REF!</definedName>
    <definedName name="________cec2" localSheetId="0">#REF!</definedName>
    <definedName name="________cec2">#REF!</definedName>
    <definedName name="________cec42" localSheetId="0">'[2]HB CEC schd 4.2'!#REF!</definedName>
    <definedName name="________cec42">'[2]HB CEC schd 4.2'!#REF!</definedName>
    <definedName name="________cec43" localSheetId="0">'[2]HB CEC schd 4.3'!#REF!</definedName>
    <definedName name="________cec43">'[2]HB CEC schd 4.3'!#REF!</definedName>
    <definedName name="________cec52" localSheetId="0">'[2]HB CEC schd 5.2'!#REF!</definedName>
    <definedName name="________cec52">'[2]HB CEC schd 5.2'!#REF!</definedName>
    <definedName name="________cec62" localSheetId="0">'[2]HB CEC schd 6.2'!#REF!</definedName>
    <definedName name="________cec62">'[2]HB CEC schd 6.2'!#REF!</definedName>
    <definedName name="________cec72" localSheetId="0">'[2]HB CEC schd 7.2'!#REF!</definedName>
    <definedName name="________cec72">'[2]HB CEC schd 7.2'!#REF!</definedName>
    <definedName name="________cec92" localSheetId="0">'[2]HB CEC schd 9.2'!#REF!</definedName>
    <definedName name="________cec92">'[2]HB CEC schd 9.2'!#REF!</definedName>
    <definedName name="________sum2" localSheetId="0">#REF!</definedName>
    <definedName name="________sum2">#REF!</definedName>
    <definedName name="________sum32" localSheetId="0">#REF!</definedName>
    <definedName name="________sum32">#REF!</definedName>
    <definedName name="________sum72" localSheetId="0">#REF!</definedName>
    <definedName name="________sum72">#REF!</definedName>
    <definedName name="_______bro2" localSheetId="0">#REF!</definedName>
    <definedName name="_______bro2">#REF!</definedName>
    <definedName name="_______bro42" localSheetId="0">'[4]HB CEC schd 4.2'!#REF!</definedName>
    <definedName name="_______bro42">'[4]HB CEC schd 4.2'!#REF!</definedName>
    <definedName name="_______bro43" localSheetId="0">'[4]HB CEC schd 4.3'!#REF!</definedName>
    <definedName name="_______bro43">'[4]HB CEC schd 4.3'!#REF!</definedName>
    <definedName name="_______bro52" localSheetId="0">'[4]HB CEC schd 5.2'!#REF!</definedName>
    <definedName name="_______bro52">'[4]HB CEC schd 5.2'!#REF!</definedName>
    <definedName name="_______bro62" localSheetId="0">'[4]HB CEC schd 6.2'!#REF!</definedName>
    <definedName name="_______bro62">'[4]HB CEC schd 6.2'!#REF!</definedName>
    <definedName name="_______BRO63" localSheetId="0">'[3]HB CEC schd 6.2'!#REF!</definedName>
    <definedName name="_______BRO63">'[3]HB CEC schd 6.2'!#REF!</definedName>
    <definedName name="_______bro72" localSheetId="0">'[4]HB CEC schd 7.2'!#REF!</definedName>
    <definedName name="_______bro72">'[4]HB CEC schd 7.2'!#REF!</definedName>
    <definedName name="_______bro92" localSheetId="0">'[4]HB CEC schd 9.2'!#REF!</definedName>
    <definedName name="_______bro92">'[4]HB CEC schd 9.2'!#REF!</definedName>
    <definedName name="_______cec2" localSheetId="0">#REF!</definedName>
    <definedName name="_______cec2">#REF!</definedName>
    <definedName name="_______cec42" localSheetId="0">'[4]HB CEC schd 4.2'!#REF!</definedName>
    <definedName name="_______cec42">'[4]HB CEC schd 4.2'!#REF!</definedName>
    <definedName name="_______cec43" localSheetId="0">'[4]HB CEC schd 4.3'!#REF!</definedName>
    <definedName name="_______cec43">'[4]HB CEC schd 4.3'!#REF!</definedName>
    <definedName name="_______cec52" localSheetId="0">'[4]HB CEC schd 5.2'!#REF!</definedName>
    <definedName name="_______cec52">'[4]HB CEC schd 5.2'!#REF!</definedName>
    <definedName name="_______cec62" localSheetId="0">'[4]HB CEC schd 6.2'!#REF!</definedName>
    <definedName name="_______cec62">'[4]HB CEC schd 6.2'!#REF!</definedName>
    <definedName name="_______cec72" localSheetId="0">'[4]HB CEC schd 7.2'!#REF!</definedName>
    <definedName name="_______cec72">'[4]HB CEC schd 7.2'!#REF!</definedName>
    <definedName name="_______cec92" localSheetId="0">'[4]HB CEC schd 9.2'!#REF!</definedName>
    <definedName name="_______cec92">'[4]HB CEC schd 9.2'!#REF!</definedName>
    <definedName name="_______sum2" localSheetId="0">#REF!</definedName>
    <definedName name="_______sum2">#REF!</definedName>
    <definedName name="_______sum32" localSheetId="0">#REF!</definedName>
    <definedName name="_______sum32">#REF!</definedName>
    <definedName name="_______sum72" localSheetId="0">#REF!</definedName>
    <definedName name="_______sum72">#REF!</definedName>
    <definedName name="______bro2" localSheetId="0">#REF!</definedName>
    <definedName name="______bro2">#REF!</definedName>
    <definedName name="______bro42" localSheetId="0">'[2]HB CEC schd 4.2'!#REF!</definedName>
    <definedName name="______bro42">'[2]HB CEC schd 4.2'!#REF!</definedName>
    <definedName name="______bro43" localSheetId="0">'[2]HB CEC schd 4.3'!#REF!</definedName>
    <definedName name="______bro43">'[2]HB CEC schd 4.3'!#REF!</definedName>
    <definedName name="______bro52" localSheetId="0">'[2]HB CEC schd 5.2'!#REF!</definedName>
    <definedName name="______bro52">'[2]HB CEC schd 5.2'!#REF!</definedName>
    <definedName name="______bro62" localSheetId="0">'[2]HB CEC schd 6.2'!#REF!</definedName>
    <definedName name="______bro62">'[2]HB CEC schd 6.2'!#REF!</definedName>
    <definedName name="______BRO63" localSheetId="0">'[5]HB CEC schd 6.2'!#REF!</definedName>
    <definedName name="______BRO63">'[5]HB CEC schd 6.2'!#REF!</definedName>
    <definedName name="______bro72" localSheetId="0">'[2]HB CEC schd 7.2'!#REF!</definedName>
    <definedName name="______bro72">'[2]HB CEC schd 7.2'!#REF!</definedName>
    <definedName name="______bro92" localSheetId="0">'[2]HB CEC schd 9.2'!#REF!</definedName>
    <definedName name="______bro92">'[2]HB CEC schd 9.2'!#REF!</definedName>
    <definedName name="______cec2" localSheetId="0">#REF!</definedName>
    <definedName name="______cec2">#REF!</definedName>
    <definedName name="______cec42" localSheetId="0">'[2]HB CEC schd 4.2'!#REF!</definedName>
    <definedName name="______cec42">'[2]HB CEC schd 4.2'!#REF!</definedName>
    <definedName name="______cec43" localSheetId="0">'[2]HB CEC schd 4.3'!#REF!</definedName>
    <definedName name="______cec43">'[2]HB CEC schd 4.3'!#REF!</definedName>
    <definedName name="______cec52" localSheetId="0">'[2]HB CEC schd 5.2'!#REF!</definedName>
    <definedName name="______cec52">'[2]HB CEC schd 5.2'!#REF!</definedName>
    <definedName name="______cec62" localSheetId="0">'[2]HB CEC schd 6.2'!#REF!</definedName>
    <definedName name="______cec62">'[2]HB CEC schd 6.2'!#REF!</definedName>
    <definedName name="______cec72" localSheetId="0">'[2]HB CEC schd 7.2'!#REF!</definedName>
    <definedName name="______cec72">'[2]HB CEC schd 7.2'!#REF!</definedName>
    <definedName name="______cec92" localSheetId="0">'[2]HB CEC schd 9.2'!#REF!</definedName>
    <definedName name="______cec92">'[2]HB CEC schd 9.2'!#REF!</definedName>
    <definedName name="______sum2" localSheetId="0">#REF!</definedName>
    <definedName name="______sum2">#REF!</definedName>
    <definedName name="______sum32" localSheetId="0">#REF!</definedName>
    <definedName name="______sum32">#REF!</definedName>
    <definedName name="______sum72" localSheetId="0">#REF!</definedName>
    <definedName name="______sum72">#REF!</definedName>
    <definedName name="_____bro2" localSheetId="0">#REF!</definedName>
    <definedName name="_____bro2">#REF!</definedName>
    <definedName name="_____bro42" localSheetId="0">'[6]HB CEC schd 4.2'!#REF!</definedName>
    <definedName name="_____bro42">'[6]HB CEC schd 4.2'!#REF!</definedName>
    <definedName name="_____bro43" localSheetId="0">'[6]HB CEC schd 4.3'!#REF!</definedName>
    <definedName name="_____bro43">'[6]HB CEC schd 4.3'!#REF!</definedName>
    <definedName name="_____bro52" localSheetId="0">'[6]HB CEC schd 5.2'!#REF!</definedName>
    <definedName name="_____bro52">'[6]HB CEC schd 5.2'!#REF!</definedName>
    <definedName name="_____bro62" localSheetId="0">'[6]HB CEC schd 6.2'!#REF!</definedName>
    <definedName name="_____bro62">'[6]HB CEC schd 6.2'!#REF!</definedName>
    <definedName name="_____BRO63" localSheetId="0">'[3]HB CEC schd 6.2'!#REF!</definedName>
    <definedName name="_____BRO63">'[3]HB CEC schd 6.2'!#REF!</definedName>
    <definedName name="_____bro72" localSheetId="0">'[6]HB CEC schd 7.2'!#REF!</definedName>
    <definedName name="_____bro72">'[6]HB CEC schd 7.2'!#REF!</definedName>
    <definedName name="_____bro92" localSheetId="0">'[6]HB CEC schd 9.2'!#REF!</definedName>
    <definedName name="_____bro92">'[6]HB CEC schd 9.2'!#REF!</definedName>
    <definedName name="_____cec2" localSheetId="0">#REF!</definedName>
    <definedName name="_____cec2">#REF!</definedName>
    <definedName name="_____cec42" localSheetId="0">'[6]HB CEC schd 4.2'!#REF!</definedName>
    <definedName name="_____cec42">'[6]HB CEC schd 4.2'!#REF!</definedName>
    <definedName name="_____cec43" localSheetId="0">'[6]HB CEC schd 4.3'!#REF!</definedName>
    <definedName name="_____cec43">'[6]HB CEC schd 4.3'!#REF!</definedName>
    <definedName name="_____cec52" localSheetId="0">'[6]HB CEC schd 5.2'!#REF!</definedName>
    <definedName name="_____cec52">'[6]HB CEC schd 5.2'!#REF!</definedName>
    <definedName name="_____cec62" localSheetId="0">'[6]HB CEC schd 6.2'!#REF!</definedName>
    <definedName name="_____cec62">'[6]HB CEC schd 6.2'!#REF!</definedName>
    <definedName name="_____cec72" localSheetId="0">'[6]HB CEC schd 7.2'!#REF!</definedName>
    <definedName name="_____cec72">'[6]HB CEC schd 7.2'!#REF!</definedName>
    <definedName name="_____cec92" localSheetId="0">'[6]HB CEC schd 9.2'!#REF!</definedName>
    <definedName name="_____cec92">'[6]HB CEC schd 9.2'!#REF!</definedName>
    <definedName name="_____sum2" localSheetId="0">#REF!</definedName>
    <definedName name="_____sum2">#REF!</definedName>
    <definedName name="_____sum32" localSheetId="0">#REF!</definedName>
    <definedName name="_____sum32">#REF!</definedName>
    <definedName name="_____sum72" localSheetId="0">#REF!</definedName>
    <definedName name="_____sum72">#REF!</definedName>
    <definedName name="____bro2" localSheetId="0">#REF!</definedName>
    <definedName name="____bro2">#REF!</definedName>
    <definedName name="____bro42" localSheetId="0">'[2]HB CEC schd 4.2'!#REF!</definedName>
    <definedName name="____bro42">'[2]HB CEC schd 4.2'!#REF!</definedName>
    <definedName name="____bro43" localSheetId="0">'[2]HB CEC schd 4.3'!#REF!</definedName>
    <definedName name="____bro43">'[2]HB CEC schd 4.3'!#REF!</definedName>
    <definedName name="____bro52" localSheetId="0">'[2]HB CEC schd 5.2'!#REF!</definedName>
    <definedName name="____bro52">'[2]HB CEC schd 5.2'!#REF!</definedName>
    <definedName name="____bro62" localSheetId="0">'[2]HB CEC schd 6.2'!#REF!</definedName>
    <definedName name="____bro62">'[2]HB CEC schd 6.2'!#REF!</definedName>
    <definedName name="____BRO63" localSheetId="0">'[7]HB CEC schd 6.2'!#REF!</definedName>
    <definedName name="____BRO63">'[7]HB CEC schd 6.2'!#REF!</definedName>
    <definedName name="____bro72" localSheetId="0">'[2]HB CEC schd 7.2'!#REF!</definedName>
    <definedName name="____bro72">'[2]HB CEC schd 7.2'!#REF!</definedName>
    <definedName name="____bro92" localSheetId="0">'[2]HB CEC schd 9.2'!#REF!</definedName>
    <definedName name="____bro92">'[2]HB CEC schd 9.2'!#REF!</definedName>
    <definedName name="____cec2" localSheetId="0">#REF!</definedName>
    <definedName name="____cec2">#REF!</definedName>
    <definedName name="____cec42" localSheetId="0">'[2]HB CEC schd 4.2'!#REF!</definedName>
    <definedName name="____cec42">'[2]HB CEC schd 4.2'!#REF!</definedName>
    <definedName name="____cec43" localSheetId="0">'[2]HB CEC schd 4.3'!#REF!</definedName>
    <definedName name="____cec43">'[2]HB CEC schd 4.3'!#REF!</definedName>
    <definedName name="____cec52" localSheetId="0">'[2]HB CEC schd 5.2'!#REF!</definedName>
    <definedName name="____cec52">'[2]HB CEC schd 5.2'!#REF!</definedName>
    <definedName name="____cec62" localSheetId="0">'[2]HB CEC schd 6.2'!#REF!</definedName>
    <definedName name="____cec62">'[2]HB CEC schd 6.2'!#REF!</definedName>
    <definedName name="____cec72" localSheetId="0">'[2]HB CEC schd 7.2'!#REF!</definedName>
    <definedName name="____cec72">'[2]HB CEC schd 7.2'!#REF!</definedName>
    <definedName name="____cec92" localSheetId="0">'[2]HB CEC schd 9.2'!#REF!</definedName>
    <definedName name="____cec92">'[2]HB CEC schd 9.2'!#REF!</definedName>
    <definedName name="____sum2" localSheetId="0">#REF!</definedName>
    <definedName name="____sum2">#REF!</definedName>
    <definedName name="____sum32" localSheetId="0">#REF!</definedName>
    <definedName name="____sum32">#REF!</definedName>
    <definedName name="____sum72" localSheetId="0">#REF!</definedName>
    <definedName name="____sum72">#REF!</definedName>
    <definedName name="___bro2" localSheetId="0">#REF!</definedName>
    <definedName name="___bro2">#REF!</definedName>
    <definedName name="___bro42" localSheetId="0">'[2]HB CEC schd 4.2'!#REF!</definedName>
    <definedName name="___bro42">'[2]HB CEC schd 4.2'!#REF!</definedName>
    <definedName name="___bro43" localSheetId="0">'[2]HB CEC schd 4.3'!#REF!</definedName>
    <definedName name="___bro43">'[2]HB CEC schd 4.3'!#REF!</definedName>
    <definedName name="___bro52" localSheetId="0">'[2]HB CEC schd 5.2'!#REF!</definedName>
    <definedName name="___bro52">'[2]HB CEC schd 5.2'!#REF!</definedName>
    <definedName name="___bro62" localSheetId="0">'[2]HB CEC schd 6.2'!#REF!</definedName>
    <definedName name="___bro62">'[2]HB CEC schd 6.2'!#REF!</definedName>
    <definedName name="___BRO63" localSheetId="0">'[3]HB CEC schd 6.2'!#REF!</definedName>
    <definedName name="___BRO63">'[3]HB CEC schd 6.2'!#REF!</definedName>
    <definedName name="___bro72" localSheetId="0">'[2]HB CEC schd 7.2'!#REF!</definedName>
    <definedName name="___bro72">'[2]HB CEC schd 7.2'!#REF!</definedName>
    <definedName name="___bro92" localSheetId="0">'[2]HB CEC schd 9.2'!#REF!</definedName>
    <definedName name="___bro92">'[2]HB CEC schd 9.2'!#REF!</definedName>
    <definedName name="___cec2" localSheetId="0">#REF!</definedName>
    <definedName name="___cec2">#REF!</definedName>
    <definedName name="___cec42" localSheetId="0">'[2]HB CEC schd 4.2'!#REF!</definedName>
    <definedName name="___cec42">'[2]HB CEC schd 4.2'!#REF!</definedName>
    <definedName name="___cec43" localSheetId="0">'[2]HB CEC schd 4.3'!#REF!</definedName>
    <definedName name="___cec43">'[2]HB CEC schd 4.3'!#REF!</definedName>
    <definedName name="___cec52" localSheetId="0">'[2]HB CEC schd 5.2'!#REF!</definedName>
    <definedName name="___cec52">'[2]HB CEC schd 5.2'!#REF!</definedName>
    <definedName name="___cec62" localSheetId="0">'[2]HB CEC schd 6.2'!#REF!</definedName>
    <definedName name="___cec62">'[2]HB CEC schd 6.2'!#REF!</definedName>
    <definedName name="___cec72" localSheetId="0">'[2]HB CEC schd 7.2'!#REF!</definedName>
    <definedName name="___cec72">'[2]HB CEC schd 7.2'!#REF!</definedName>
    <definedName name="___cec92" localSheetId="0">'[2]HB CEC schd 9.2'!#REF!</definedName>
    <definedName name="___cec92">'[2]HB CEC schd 9.2'!#REF!</definedName>
    <definedName name="___LV1" localSheetId="0">#REF!</definedName>
    <definedName name="___LV1">#REF!</definedName>
    <definedName name="___LV5" localSheetId="0">#REF!</definedName>
    <definedName name="___LV5">#REF!</definedName>
    <definedName name="___LV7" localSheetId="0">#REF!</definedName>
    <definedName name="___LV7">#REF!</definedName>
    <definedName name="___ODC2" localSheetId="0">#REF!</definedName>
    <definedName name="___ODC2">#REF!</definedName>
    <definedName name="___odc23" localSheetId="0">(#REF!,#REF!)</definedName>
    <definedName name="___odc23">(#REF!,#REF!)</definedName>
    <definedName name="___sum2" localSheetId="0">#REF!</definedName>
    <definedName name="___sum2">#REF!</definedName>
    <definedName name="___sum32" localSheetId="0">#REF!</definedName>
    <definedName name="___sum32">#REF!</definedName>
    <definedName name="___sum72" localSheetId="0">#REF!</definedName>
    <definedName name="___sum72">#REF!</definedName>
    <definedName name="__123Graph_D" localSheetId="0" hidden="1">[8]mw!#REF!</definedName>
    <definedName name="__123Graph_D" hidden="1">[8]mw!#REF!</definedName>
    <definedName name="__bro2" localSheetId="0">#REF!</definedName>
    <definedName name="__bro2">#REF!</definedName>
    <definedName name="__bro42" localSheetId="0">'[9]HB CEC schd 4.2'!#REF!</definedName>
    <definedName name="__bro42">'[9]HB CEC schd 4.2'!#REF!</definedName>
    <definedName name="__bro43" localSheetId="0">'[9]HB CEC schd 4.3'!#REF!</definedName>
    <definedName name="__bro43">'[9]HB CEC schd 4.3'!#REF!</definedName>
    <definedName name="__bro52" localSheetId="0">'[9]HB CEC schd 5.2'!#REF!</definedName>
    <definedName name="__bro52">'[9]HB CEC schd 5.2'!#REF!</definedName>
    <definedName name="__bro62" localSheetId="0">'[9]HB CEC schd 6.2'!#REF!</definedName>
    <definedName name="__bro62">'[9]HB CEC schd 6.2'!#REF!</definedName>
    <definedName name="__BRO63" localSheetId="0">'[3]HB CEC schd 6.2'!#REF!</definedName>
    <definedName name="__BRO63">'[3]HB CEC schd 6.2'!#REF!</definedName>
    <definedName name="__bro72" localSheetId="0">'[9]HB CEC schd 7.2'!#REF!</definedName>
    <definedName name="__bro72">'[9]HB CEC schd 7.2'!#REF!</definedName>
    <definedName name="__bro92" localSheetId="0">'[9]HB CEC schd 9.2'!#REF!</definedName>
    <definedName name="__bro92">'[9]HB CEC schd 9.2'!#REF!</definedName>
    <definedName name="__C" localSheetId="0">#REF!</definedName>
    <definedName name="__C">#REF!</definedName>
    <definedName name="__cec2" localSheetId="0">#REF!</definedName>
    <definedName name="__cec2">#REF!</definedName>
    <definedName name="__cec42" localSheetId="0">'[9]HB CEC schd 4.2'!#REF!</definedName>
    <definedName name="__cec42">'[9]HB CEC schd 4.2'!#REF!</definedName>
    <definedName name="__cec43" localSheetId="0">'[9]HB CEC schd 4.3'!#REF!</definedName>
    <definedName name="__cec43">'[9]HB CEC schd 4.3'!#REF!</definedName>
    <definedName name="__cec52" localSheetId="0">'[9]HB CEC schd 5.2'!#REF!</definedName>
    <definedName name="__cec52">'[9]HB CEC schd 5.2'!#REF!</definedName>
    <definedName name="__cec62" localSheetId="0">'[9]HB CEC schd 6.2'!#REF!</definedName>
    <definedName name="__cec62">'[9]HB CEC schd 6.2'!#REF!</definedName>
    <definedName name="__cec72" localSheetId="0">'[9]HB CEC schd 7.2'!#REF!</definedName>
    <definedName name="__cec72">'[9]HB CEC schd 7.2'!#REF!</definedName>
    <definedName name="__cec92" localSheetId="0">'[9]HB CEC schd 9.2'!#REF!</definedName>
    <definedName name="__cec92">'[9]HB CEC schd 9.2'!#REF!</definedName>
    <definedName name="__LIST_OF_CONTENTS" localSheetId="0">#REF!</definedName>
    <definedName name="__LIST_OF_CONTENTS">#REF!</definedName>
    <definedName name="__LV1" localSheetId="0">#REF!</definedName>
    <definedName name="__LV1">#REF!</definedName>
    <definedName name="__LV5" localSheetId="0">#REF!</definedName>
    <definedName name="__LV5">#REF!</definedName>
    <definedName name="__LV7" localSheetId="0">#REF!</definedName>
    <definedName name="__LV7">#REF!</definedName>
    <definedName name="__MK2" localSheetId="0">#REF!</definedName>
    <definedName name="__MK2">#REF!</definedName>
    <definedName name="__ODC2" localSheetId="0">#REF!</definedName>
    <definedName name="__ODC2">#REF!</definedName>
    <definedName name="__odc23" localSheetId="0">(#REF!,#REF!)</definedName>
    <definedName name="__odc23">(#REF!,#REF!)</definedName>
    <definedName name="__R" localSheetId="0">#REF!</definedName>
    <definedName name="__R">#REF!</definedName>
    <definedName name="__SITE___EQUIPMENT_CONDITIONS" localSheetId="0">#REF!</definedName>
    <definedName name="__SITE___EQUIPMENT_CONDITIONS">#REF!</definedName>
    <definedName name="__sum2" localSheetId="0">#REF!</definedName>
    <definedName name="__sum2">#REF!</definedName>
    <definedName name="__sum32" localSheetId="0">#REF!</definedName>
    <definedName name="__sum32">#REF!</definedName>
    <definedName name="__sum72" localSheetId="0">#REF!</definedName>
    <definedName name="__sum72">#REF!</definedName>
    <definedName name="__SUMMARY_PRICES" localSheetId="0">#REF!</definedName>
    <definedName name="__SUMMARY_PRICES">#REF!</definedName>
    <definedName name="_1">#N/A</definedName>
    <definedName name="_1_2__dia._X_25_spike" localSheetId="0">#REF!</definedName>
    <definedName name="_1_2__dia._X_25_spike">#REF!</definedName>
    <definedName name="_1_2__x_3__x_3__x_6m_metal_shoe" localSheetId="0">#REF!</definedName>
    <definedName name="_1_2__x_3__x_3__x_6m_metal_shoe">#REF!</definedName>
    <definedName name="_1_2_marine_plywood" localSheetId="0">#REF!</definedName>
    <definedName name="_1_2_marine_plywood">#REF!</definedName>
    <definedName name="_150mm_G.I_pipe_sch_40">[10]Source!$J$68</definedName>
    <definedName name="_1x_4x_0.3_gabion_matresses" localSheetId="0">#REF!</definedName>
    <definedName name="_1x_4x_0.3_gabion_matresses">#REF!</definedName>
    <definedName name="_2" localSheetId="0">#REF!</definedName>
    <definedName name="_2">#REF!</definedName>
    <definedName name="_20mm_steel_plate" localSheetId="0">#REF!</definedName>
    <definedName name="_20mm_steel_plate">#REF!</definedName>
    <definedName name="_2x6x0.30_Gabion_matresses" localSheetId="0">#REF!</definedName>
    <definedName name="_2x6x0.30_Gabion_matresses">#REF!</definedName>
    <definedName name="_3_4__dia._X_20____sbm_bolt___washer" localSheetId="0">#REF!</definedName>
    <definedName name="_3_4__dia._X_20____sbm_bolt___washer">#REF!</definedName>
    <definedName name="_3_4__dia._X_30____sbm_bolt___washer" localSheetId="0">#REF!</definedName>
    <definedName name="_3_4__dia._X_30____sbm_bolt___washer">#REF!</definedName>
    <definedName name="_4_chb" localSheetId="0">#REF!</definedName>
    <definedName name="_4_chb">#REF!</definedName>
    <definedName name="_6__chb" localSheetId="0">#REF!</definedName>
    <definedName name="_6__chb">#REF!</definedName>
    <definedName name="_6_dia._Wiremesh" localSheetId="0">#REF!</definedName>
    <definedName name="_6_dia._Wiremesh">#REF!</definedName>
    <definedName name="_6mm_steel_plate" localSheetId="0">#REF!</definedName>
    <definedName name="_6mm_steel_plate">#REF!</definedName>
    <definedName name="_75_mm_Ø_PVC_Pipe">[11]Source!$J$52</definedName>
    <definedName name="_a100064" localSheetId="0">'[12]Addendum No.1 BILL 2'!#REF!</definedName>
    <definedName name="_a100064">'[12]Addendum No.1 BILL 2'!#REF!</definedName>
    <definedName name="_A65555" localSheetId="0">'[12]Addendum No.1 BILL 2'!#REF!</definedName>
    <definedName name="_A65555">'[12]Addendum No.1 BILL 2'!#REF!</definedName>
    <definedName name="_ATD2">[13]ATD!$A$7:$C$115</definedName>
    <definedName name="_BDR1">#N/A</definedName>
    <definedName name="_BDR2">#N/A</definedName>
    <definedName name="_bro2" localSheetId="0">#REF!</definedName>
    <definedName name="_bro2">#REF!</definedName>
    <definedName name="_bro42" localSheetId="0">'[14]HB CEC schd 4.2'!#REF!</definedName>
    <definedName name="_bro42">'[14]HB CEC schd 4.2'!#REF!</definedName>
    <definedName name="_bro43" localSheetId="0">'[14]HB CEC schd 4.3'!#REF!</definedName>
    <definedName name="_bro43">'[14]HB CEC schd 4.3'!#REF!</definedName>
    <definedName name="_bro52" localSheetId="0">'[14]HB CEC schd 5.2'!#REF!</definedName>
    <definedName name="_bro52">'[14]HB CEC schd 5.2'!#REF!</definedName>
    <definedName name="_bro62" localSheetId="0">'[14]HB CEC schd 6.2'!#REF!</definedName>
    <definedName name="_bro62">'[14]HB CEC schd 6.2'!#REF!</definedName>
    <definedName name="_BRO63" localSheetId="0">'[15]HB CEC schd 6.2'!#REF!</definedName>
    <definedName name="_BRO63">'[15]HB CEC schd 6.2'!#REF!</definedName>
    <definedName name="_bro72" localSheetId="0">'[14]HB CEC schd 7.2'!#REF!</definedName>
    <definedName name="_bro72">'[14]HB CEC schd 7.2'!#REF!</definedName>
    <definedName name="_bro92" localSheetId="0">'[14]HB CEC schd 9.2'!#REF!</definedName>
    <definedName name="_bro92">'[14]HB CEC schd 9.2'!#REF!</definedName>
    <definedName name="_C" localSheetId="0">#REF!</definedName>
    <definedName name="_C">#REF!</definedName>
    <definedName name="_C702" localSheetId="0">'[16]7IFS-5A'!#REF!</definedName>
    <definedName name="_C702">'[16]7IFS-5A'!#REF!</definedName>
    <definedName name="_C710T_IFS_BASIC_A_C" localSheetId="0">'[16]7IFS-5A'!#REF!</definedName>
    <definedName name="_C710T_IFS_BASIC_A_C">'[16]7IFS-5A'!#REF!</definedName>
    <definedName name="_C710T_IFS_BASIC_B" localSheetId="0">'[16]7IFS-5A'!#REF!</definedName>
    <definedName name="_C710T_IFS_BASIC_B">'[16]7IFS-5A'!#REF!</definedName>
    <definedName name="_C710T_IFS_BASIC_C" localSheetId="0">'[16]7IFS-5A'!#REF!</definedName>
    <definedName name="_C710T_IFS_BASIC_C">'[16]7IFS-5A'!#REF!</definedName>
    <definedName name="_C710T_IFS_BASIC_C1" localSheetId="0">'[16]7IFS-5A'!#REF!</definedName>
    <definedName name="_C710T_IFS_BASIC_C1">'[16]7IFS-5A'!#REF!</definedName>
    <definedName name="_C710T_IFS_BASIC_D" localSheetId="0">'[16]7IFS-5A'!#REF!</definedName>
    <definedName name="_C710T_IFS_BASIC_D">'[16]7IFS-5A'!#REF!</definedName>
    <definedName name="_cec2" localSheetId="0">#REF!</definedName>
    <definedName name="_cec2">#REF!</definedName>
    <definedName name="_cec42" localSheetId="0">'[14]HB CEC schd 4.2'!#REF!</definedName>
    <definedName name="_cec42">'[14]HB CEC schd 4.2'!#REF!</definedName>
    <definedName name="_cec43" localSheetId="0">'[14]HB CEC schd 4.3'!#REF!</definedName>
    <definedName name="_cec43">'[14]HB CEC schd 4.3'!#REF!</definedName>
    <definedName name="_cec52" localSheetId="0">'[14]HB CEC schd 5.2'!#REF!</definedName>
    <definedName name="_cec52">'[14]HB CEC schd 5.2'!#REF!</definedName>
    <definedName name="_cec62" localSheetId="0">'[14]HB CEC schd 6.2'!#REF!</definedName>
    <definedName name="_cec62">'[14]HB CEC schd 6.2'!#REF!</definedName>
    <definedName name="_cec72" localSheetId="0">'[14]HB CEC schd 7.2'!#REF!</definedName>
    <definedName name="_cec72">'[14]HB CEC schd 7.2'!#REF!</definedName>
    <definedName name="_cec92" localSheetId="0">'[14]HB CEC schd 9.2'!#REF!</definedName>
    <definedName name="_cec92">'[14]HB CEC schd 9.2'!#REF!</definedName>
    <definedName name="_CONNECT_" localSheetId="0">#REF!</definedName>
    <definedName name="_CONNECT_">#REF!</definedName>
    <definedName name="_CONT_" localSheetId="0">#REF!</definedName>
    <definedName name="_CONT_">#REF!</definedName>
    <definedName name="_E.2_SINGLE_MACHINE_CONTROL" localSheetId="0">#REF!</definedName>
    <definedName name="_E.2_SINGLE_MACHINE_CONTROL">#REF!</definedName>
    <definedName name="_E.3__MAIN_POWER_DISTRIBUTION" localSheetId="0">#REF!</definedName>
    <definedName name="_E.3__MAIN_POWER_DISTRIBUTION">#REF!</definedName>
    <definedName name="_E.4__PRIMARY_POWER_DISTRIBUTION" localSheetId="0">#REF!</definedName>
    <definedName name="_E.4__PRIMARY_POWER_DISTRIBUTION">#REF!</definedName>
    <definedName name="_E.4_110_V_DC_Control_Power_Supply" localSheetId="0">#REF!</definedName>
    <definedName name="_E.4_110_V_DC_Control_Power_Supply">#REF!</definedName>
    <definedName name="_E.5_Diesel_Generating_Set" localSheetId="0">#REF!</definedName>
    <definedName name="_E.5_Diesel_Generating_Set">#REF!</definedName>
    <definedName name="_E.6_Distribution_Transformers" localSheetId="0">#REF!</definedName>
    <definedName name="_E.6_Distribution_Transformers">#REF!</definedName>
    <definedName name="_E.7_Low_Voltage_Busducts" localSheetId="0">#REF!</definedName>
    <definedName name="_E.7_Low_Voltage_Busducts">#REF!</definedName>
    <definedName name="_E.8_SECONDARY_POWER_DISTRIBUTION" localSheetId="0">#REF!</definedName>
    <definedName name="_E.8_SECONDARY_POWER_DISTRIBUTION">#REF!</definedName>
    <definedName name="_ENTRY_" localSheetId="0">#REF!</definedName>
    <definedName name="_ENTRY_">#REF!</definedName>
    <definedName name="_f">NA()</definedName>
    <definedName name="_FCCN_?___?__" localSheetId="0">#REF!</definedName>
    <definedName name="_FCCN_?___?__">#REF!</definedName>
    <definedName name="_FCCN_?___?___?" localSheetId="0">#REF!</definedName>
    <definedName name="_FCCN_?___?___?">#REF!</definedName>
    <definedName name="_Fill" localSheetId="0" hidden="1">[17]TXT!#REF!</definedName>
    <definedName name="_Fill" hidden="1">[17]TXT!#REF!</definedName>
    <definedName name="_xlnm._FilterDatabase" localSheetId="0" hidden="1">'2026 DAILY TRANSACTIONS'!$A$9:$T$2507</definedName>
    <definedName name="_FS_?___?___?__" localSheetId="0">#REF!</definedName>
    <definedName name="_FS_?___?___?__">#REF!</definedName>
    <definedName name="_GOTO_AC5_" localSheetId="0">#REF!</definedName>
    <definedName name="_GOTO_AC5_">#REF!</definedName>
    <definedName name="_GOTO_AI5_" localSheetId="0">#REF!</definedName>
    <definedName name="_GOTO_AI5_">#REF!</definedName>
    <definedName name="_GOTO_AK5_" localSheetId="0">#REF!</definedName>
    <definedName name="_GOTO_AK5_">#REF!</definedName>
    <definedName name="_GOTO_B4_" localSheetId="0">#REF!</definedName>
    <definedName name="_GOTO_B4_">#REF!</definedName>
    <definedName name="_GOTO_C5_" localSheetId="0">#REF!</definedName>
    <definedName name="_GOTO_C5_">#REF!</definedName>
    <definedName name="_GOTO_I5_" localSheetId="0">#REF!</definedName>
    <definedName name="_GOTO_I5_">#REF!</definedName>
    <definedName name="_HOME_" localSheetId="0">#REF!</definedName>
    <definedName name="_HOME_">#REF!</definedName>
    <definedName name="_Key1" localSheetId="0" hidden="1">#REF!</definedName>
    <definedName name="_Key1" hidden="1">#REF!</definedName>
    <definedName name="_Key2" localSheetId="0" hidden="1">#REF!</definedName>
    <definedName name="_Key2" hidden="1">#REF!</definedName>
    <definedName name="_LV1" localSheetId="0">#REF!</definedName>
    <definedName name="_LV1">#REF!</definedName>
    <definedName name="_LV5" localSheetId="0">#REF!</definedName>
    <definedName name="_LV5">#REF!</definedName>
    <definedName name="_LV7" localSheetId="0">#REF!</definedName>
    <definedName name="_LV7">#REF!</definedName>
    <definedName name="_m" localSheetId="0">#REF!</definedName>
    <definedName name="_m">#REF!</definedName>
    <definedName name="_March_22_2012" localSheetId="0">#REF!</definedName>
    <definedName name="_March_22_2012">#REF!</definedName>
    <definedName name="_MENUBRANCH_MEN" localSheetId="0">#REF!</definedName>
    <definedName name="_MENUBRANCH_MEN">#REF!</definedName>
    <definedName name="_MK2" localSheetId="0">#REF!</definedName>
    <definedName name="_MK2">#REF!</definedName>
    <definedName name="_mw1" localSheetId="0">#REF!</definedName>
    <definedName name="_mw1">#REF!</definedName>
    <definedName name="_ODC2" localSheetId="0">#REF!</definedName>
    <definedName name="_ODC2">#REF!</definedName>
    <definedName name="_odc23" localSheetId="0">#REF!,#REF!</definedName>
    <definedName name="_odc23">#REF!,#REF!</definedName>
    <definedName name="_Order1" hidden="1">255</definedName>
    <definedName name="_PRINT_" localSheetId="0">#REF!</definedName>
    <definedName name="_PRINT_">#REF!</definedName>
    <definedName name="_R" localSheetId="0">#REF!</definedName>
    <definedName name="_R">#REF!</definedName>
    <definedName name="_REAC5..AM200_?" localSheetId="0">#REF!</definedName>
    <definedName name="_REAC5..AM200_?">#REF!</definedName>
    <definedName name="_REC5.M200" localSheetId="0">#REF!</definedName>
    <definedName name="_REC5.M200">#REF!</definedName>
    <definedName name="_RECC5..M200_" localSheetId="0">#REF!</definedName>
    <definedName name="_RECC5..M200_">#REF!</definedName>
    <definedName name="_Regression_X" localSheetId="0" hidden="1">#REF!</definedName>
    <definedName name="_Regression_X" hidden="1">#REF!</definedName>
    <definedName name="_RFCCN_?___?__" localSheetId="0">#REF!</definedName>
    <definedName name="_RFCCN_?___?__">#REF!</definedName>
    <definedName name="_RUN1">#N/A</definedName>
    <definedName name="_Sort" localSheetId="0" hidden="1">#REF!</definedName>
    <definedName name="_Sort" hidden="1">#REF!</definedName>
    <definedName name="_StencilBooth" localSheetId="0">#REF!,#REF!</definedName>
    <definedName name="_StencilBooth">#REF!,#REF!</definedName>
    <definedName name="_sum2" localSheetId="0">#REF!</definedName>
    <definedName name="_sum2">#REF!</definedName>
    <definedName name="_sum32" localSheetId="0">#REF!</definedName>
    <definedName name="_sum32">#REF!</definedName>
    <definedName name="_sum72" localSheetId="0">#REF!</definedName>
    <definedName name="_sum72">#REF!</definedName>
    <definedName name="_t">NA()</definedName>
    <definedName name="A" localSheetId="0">#REF!</definedName>
    <definedName name="A">#REF!</definedName>
    <definedName name="AA" localSheetId="0">#REF!</definedName>
    <definedName name="AA">#REF!</definedName>
    <definedName name="aa_1" localSheetId="0">#REF!</definedName>
    <definedName name="aa_1">#REF!</definedName>
    <definedName name="aaa" localSheetId="0">'[16]7IFS-5A'!#REF!</definedName>
    <definedName name="aaa">'[16]7IFS-5A'!#REF!</definedName>
    <definedName name="AAAA" localSheetId="0">'[18]BILL 1'!#REF!</definedName>
    <definedName name="AAAA">'[18]BILL 1'!#REF!</definedName>
    <definedName name="aaaaa" localSheetId="0">'[19]BILL 1'!#REF!</definedName>
    <definedName name="aaaaa">'[19]BILL 1'!#REF!</definedName>
    <definedName name="aaaaaaa" localSheetId="0">'[19]BILL 1'!#REF!</definedName>
    <definedName name="aaaaaaa">'[19]BILL 1'!#REF!</definedName>
    <definedName name="aaaaaaaaaaaaaaa" localSheetId="0">#REF!</definedName>
    <definedName name="aaaaaaaaaaaaaaa">#REF!</definedName>
    <definedName name="abc" localSheetId="0">'[20]BILL 1'!#REF!</definedName>
    <definedName name="abc">'[20]BILL 1'!#REF!</definedName>
    <definedName name="above" localSheetId="0">#REF!</definedName>
    <definedName name="above">#REF!</definedName>
    <definedName name="aboveground" localSheetId="0">[21]Inputs!#REF!</definedName>
    <definedName name="aboveground">[21]Inputs!#REF!</definedName>
    <definedName name="ACCNT_30">#N/A</definedName>
    <definedName name="ACCNT_41">#N/A</definedName>
    <definedName name="ACCNT_41.1">#N/A</definedName>
    <definedName name="ACCNT_42">#N/A</definedName>
    <definedName name="ACCNT_43">#N/A</definedName>
    <definedName name="ACCNT_44">#N/A</definedName>
    <definedName name="ACCNT_45">#N/A</definedName>
    <definedName name="ACCNT_46">#N/A</definedName>
    <definedName name="ACCNT_47">#N/A</definedName>
    <definedName name="ACCNT_47.1">#N/A</definedName>
    <definedName name="ACCNT_47.3">#N/A</definedName>
    <definedName name="ACCNT_47.4">#N/A</definedName>
    <definedName name="ACCNT_47.8">#N/A</definedName>
    <definedName name="ACCNT_48">#N/A</definedName>
    <definedName name="ACCNT_48.5">#N/A</definedName>
    <definedName name="ACCNT_48.9">#N/A</definedName>
    <definedName name="ACCNT_49">#N/A</definedName>
    <definedName name="ACCNT_51.1">#N/A</definedName>
    <definedName name="ACCNT_51.2">#N/A</definedName>
    <definedName name="ACCNT_51.4">#N/A</definedName>
    <definedName name="ACCNT_51.5">#N/A</definedName>
    <definedName name="ACCNT_51.6">#N/A</definedName>
    <definedName name="ACCNT_51.7">#N/A</definedName>
    <definedName name="ACCNT_51.8">#N/A</definedName>
    <definedName name="ACCNT_53">#N/A</definedName>
    <definedName name="ACCNT_54">#N/A</definedName>
    <definedName name="ACCNT_54.09">#N/A</definedName>
    <definedName name="ACCNT_54.1">#N/A</definedName>
    <definedName name="ACCNT_54.11">#N/A</definedName>
    <definedName name="ACCNT_54.12">#N/A</definedName>
    <definedName name="ACCNT_54.13">#N/A</definedName>
    <definedName name="ACCNT_54.14">#N/A</definedName>
    <definedName name="ACCNT_54.15">#N/A</definedName>
    <definedName name="ACCNT_54.19">#N/A</definedName>
    <definedName name="ACCNT_54.9">#N/A</definedName>
    <definedName name="ACCNT_55">#N/A</definedName>
    <definedName name="ACCNT_55.1">#N/A</definedName>
    <definedName name="ACCNT_55.2">#N/A</definedName>
    <definedName name="ACCNT_55.3">#N/A</definedName>
    <definedName name="ACCNT_55.4">#N/A</definedName>
    <definedName name="ACCNT_55.5">#N/A</definedName>
    <definedName name="ACCNT_55.9">#N/A</definedName>
    <definedName name="ACCNT_57">#N/A</definedName>
    <definedName name="ACCNT_58">#N/A</definedName>
    <definedName name="ACCNT_58.1">#N/A</definedName>
    <definedName name="ACCNT_58.7">#N/A</definedName>
    <definedName name="ACCNT_59">#N/A</definedName>
    <definedName name="ACCNT_59.1">#N/A</definedName>
    <definedName name="acetylene">[22]Source!$L$57</definedName>
    <definedName name="ACT" localSheetId="0">#REF!</definedName>
    <definedName name="ACT">#REF!</definedName>
    <definedName name="Actual" localSheetId="0">('2026 DAILY TRANSACTIONS'!PeriodInActual*(#REF!&gt;0))*'2026 DAILY TRANSACTIONS'!PeriodInPlan</definedName>
    <definedName name="Actual">(PeriodInActual*(#REF!&gt;0))*PeriodInPlan</definedName>
    <definedName name="ActualBeyond" localSheetId="0">'2026 DAILY TRANSACTIONS'!PeriodInActual*(#REF!&gt;0)</definedName>
    <definedName name="ActualBeyond">PeriodInActual*(#REF!&gt;0)</definedName>
    <definedName name="ADDROW">#N/A</definedName>
    <definedName name="ADDROW1">#N/A</definedName>
    <definedName name="ADDROW10">#N/A</definedName>
    <definedName name="ADDROW2">#N/A</definedName>
    <definedName name="ADDROW3">#N/A</definedName>
    <definedName name="ADDROW4">#N/A</definedName>
    <definedName name="ADDROW5">#N/A</definedName>
    <definedName name="ADDROW6">#N/A</definedName>
    <definedName name="ADDROW7">#N/A</definedName>
    <definedName name="ADDROW8">#N/A</definedName>
    <definedName name="ADDROW9">#N/A</definedName>
    <definedName name="adfgewvtfdf" localSheetId="0">[23]LIBRARY!#REF!</definedName>
    <definedName name="adfgewvtfdf">[23]LIBRARY!#REF!</definedName>
    <definedName name="ADJ" localSheetId="0">'[24]BOQ-M'!#REF!</definedName>
    <definedName name="ADJ">'[24]BOQ-M'!#REF!</definedName>
    <definedName name="AFGIS_MECH" localSheetId="0">#REF!</definedName>
    <definedName name="AFGIS_MECH">#REF!</definedName>
    <definedName name="agua_gel" localSheetId="0">#REF!</definedName>
    <definedName name="agua_gel">#REF!</definedName>
    <definedName name="AHS40_HRS" localSheetId="0">#REF!</definedName>
    <definedName name="AHS40_HRS">#REF!</definedName>
    <definedName name="AHS40_LAB" localSheetId="0">#REF!</definedName>
    <definedName name="AHS40_LAB">#REF!</definedName>
    <definedName name="AHS40_MAT" localSheetId="0">#REF!</definedName>
    <definedName name="AHS40_MAT">#REF!</definedName>
    <definedName name="AHS40_S_C" localSheetId="0">#REF!</definedName>
    <definedName name="AHS40_S_C">#REF!</definedName>
    <definedName name="AHS40_SC" localSheetId="0">#REF!</definedName>
    <definedName name="AHS40_SC">#REF!</definedName>
    <definedName name="AHS40_TOT" localSheetId="0">#REF!</definedName>
    <definedName name="AHS40_TOT">#REF!</definedName>
    <definedName name="air_compressor">[22]Source!$B$35</definedName>
    <definedName name="aircompressor">[25]Source!$G$6</definedName>
    <definedName name="Allocation" localSheetId="0">'[26]Net-Sell'!#REF!</definedName>
    <definedName name="Allocation">'[26]Net-Sell'!#REF!</definedName>
    <definedName name="alloy_steel" localSheetId="0">#REF!</definedName>
    <definedName name="alloy_steel">#REF!</definedName>
    <definedName name="amou" localSheetId="0">'[27]BILL 1'!#REF!</definedName>
    <definedName name="amou">'[27]BILL 1'!#REF!</definedName>
    <definedName name="amount" localSheetId="0">'[28]BILL 1'!#REF!</definedName>
    <definedName name="amount">'[28]BILL 1'!#REF!</definedName>
    <definedName name="angle_bar_3x3x1_4" localSheetId="0">#REF!</definedName>
    <definedName name="angle_bar_3x3x1_4">#REF!</definedName>
    <definedName name="ARCHICCT" localSheetId="0">#REF!</definedName>
    <definedName name="ARCHICCT">#REF!</definedName>
    <definedName name="AREA" localSheetId="0">[29]BoM!#REF!</definedName>
    <definedName name="AREA">[29]BoM!#REF!</definedName>
    <definedName name="ARMORROCK" localSheetId="0">[23]LIBRARY!#REF!</definedName>
    <definedName name="ARMORROCK">[23]LIBRARY!#REF!</definedName>
    <definedName name="asda" localSheetId="0">'[30]BILL 1'!#REF!</definedName>
    <definedName name="asda">'[30]BILL 1'!#REF!</definedName>
    <definedName name="AUD" localSheetId="0">[21]Inputs!#REF!</definedName>
    <definedName name="AUD">[21]Inputs!#REF!</definedName>
    <definedName name="Auslabour" localSheetId="0">[21]Inputs!#REF!</definedName>
    <definedName name="Auslabour">[21]Inputs!#REF!</definedName>
    <definedName name="B" localSheetId="0">#REF!</definedName>
    <definedName name="B">#REF!</definedName>
    <definedName name="b.1" localSheetId="0">'[27]BILL 1'!#REF!</definedName>
    <definedName name="b.1">'[27]BILL 1'!#REF!</definedName>
    <definedName name="b.2a" localSheetId="0">'[27]BILL 1'!#REF!</definedName>
    <definedName name="b.2a">'[27]BILL 1'!#REF!</definedName>
    <definedName name="b.2b" localSheetId="0">'[27]BILL 1'!#REF!</definedName>
    <definedName name="b.2b">'[27]BILL 1'!#REF!</definedName>
    <definedName name="b.3" localSheetId="0">'[27]BILL 1'!#REF!</definedName>
    <definedName name="b.3">'[27]BILL 1'!#REF!</definedName>
    <definedName name="b.3a" localSheetId="0">'[27]BILL 1'!#REF!</definedName>
    <definedName name="b.3a">'[27]BILL 1'!#REF!</definedName>
    <definedName name="b.3b" localSheetId="0">'[27]BILL 1'!#REF!</definedName>
    <definedName name="b.3b">'[27]BILL 1'!#REF!</definedName>
    <definedName name="b.4" localSheetId="0">'[27]BILL 1'!#REF!</definedName>
    <definedName name="b.4">'[27]BILL 1'!#REF!</definedName>
    <definedName name="b.4a" localSheetId="0">'[27]BILL 1'!#REF!</definedName>
    <definedName name="b.4a">'[27]BILL 1'!#REF!</definedName>
    <definedName name="b.4b" localSheetId="0">'[27]BILL 1'!#REF!</definedName>
    <definedName name="b.4b">'[27]BILL 1'!#REF!</definedName>
    <definedName name="b.5" localSheetId="0">'[27]BILL 1'!#REF!</definedName>
    <definedName name="b.5">'[27]BILL 1'!#REF!</definedName>
    <definedName name="b.6" localSheetId="0">'[27]BILL 1'!#REF!</definedName>
    <definedName name="b.6">'[27]BILL 1'!#REF!</definedName>
    <definedName name="b.7" localSheetId="0">'[27]BILL 1'!#REF!</definedName>
    <definedName name="b.7">'[27]BILL 1'!#REF!</definedName>
    <definedName name="b.8" localSheetId="0">'[27]BILL 1'!#REF!</definedName>
    <definedName name="b.8">'[27]BILL 1'!#REF!</definedName>
    <definedName name="b.9" localSheetId="0">'[27]BILL 1'!#REF!</definedName>
    <definedName name="b.9">'[27]BILL 1'!#REF!</definedName>
    <definedName name="B1T">'[31]Bill 1'!$F$833</definedName>
    <definedName name="B2T">'[31]Bill 2'!$F$755</definedName>
    <definedName name="B3T">'[31]Bill 3'!$F$683</definedName>
    <definedName name="B4T">'[31]Bill 4'!$F$568</definedName>
    <definedName name="B5T">'[31]Bill 5'!$F$247</definedName>
    <definedName name="B6T">'[31]Bill 6'!$F$377</definedName>
    <definedName name="B7T">'[31]Bill 7'!$F$437</definedName>
    <definedName name="Backfilling" localSheetId="0">#REF!</definedName>
    <definedName name="Backfilling">#REF!</definedName>
    <definedName name="backhoe">[25]Source!$G$9</definedName>
    <definedName name="backhoe_w__breaker">[22]Source!$B$36</definedName>
    <definedName name="backhoewithbreaker" localSheetId="0">#REF!</definedName>
    <definedName name="backhoewithbreaker">#REF!</definedName>
    <definedName name="BAG40_HRS" localSheetId="0">#REF!</definedName>
    <definedName name="BAG40_HRS">#REF!</definedName>
    <definedName name="BAG40_LAB" localSheetId="0">#REF!</definedName>
    <definedName name="BAG40_LAB">#REF!</definedName>
    <definedName name="BAG40_MAT" localSheetId="0">#REF!</definedName>
    <definedName name="BAG40_MAT">#REF!</definedName>
    <definedName name="BAG40_S_C" localSheetId="0">#REF!</definedName>
    <definedName name="BAG40_S_C">#REF!</definedName>
    <definedName name="BAG40_SC" localSheetId="0">#REF!</definedName>
    <definedName name="BAG40_SC">#REF!</definedName>
    <definedName name="BAG40_TOT" localSheetId="0">#REF!</definedName>
    <definedName name="BAG40_TOT">#REF!</definedName>
    <definedName name="Bar_cutter" localSheetId="0">#REF!</definedName>
    <definedName name="Bar_cutter">#REF!</definedName>
    <definedName name="barbender">[25]Source!$G$11</definedName>
    <definedName name="bardiam">[32]Data!$A$3:$A$10</definedName>
    <definedName name="BB" localSheetId="0">#REF!</definedName>
    <definedName name="BB">#REF!</definedName>
    <definedName name="bbbbb" localSheetId="0">#REF!</definedName>
    <definedName name="bbbbb">#REF!</definedName>
    <definedName name="BBender">[10]Source!$B$14</definedName>
    <definedName name="BC" localSheetId="0">#REF!</definedName>
    <definedName name="BC">#REF!</definedName>
    <definedName name="BDR">#N/A</definedName>
    <definedName name="BIDDER_NAME">'[33]5-Digit'!$A$2</definedName>
    <definedName name="bill" localSheetId="0">#REF!</definedName>
    <definedName name="bill">#REF!</definedName>
    <definedName name="bldg.1" localSheetId="0">#REF!</definedName>
    <definedName name="bldg.1">#REF!</definedName>
    <definedName name="bm" localSheetId="0">#REF!</definedName>
    <definedName name="bm">#REF!</definedName>
    <definedName name="bone" localSheetId="0">OFFSET('2026 DAILY TRANSACTIONS'!PartIDList,0,0,,2)</definedName>
    <definedName name="bone">OFFSET(PartIDList,0,0,,2)</definedName>
    <definedName name="bone_1" localSheetId="0">OFFSET('2026 DAILY TRANSACTIONS'!PartIDList,0,0,,2)</definedName>
    <definedName name="bone_1">OFFSET(PartIDList,0,0,,2)</definedName>
    <definedName name="BOP">#N/A</definedName>
    <definedName name="BOP40_HRS">#N/A</definedName>
    <definedName name="BOP40_LAB">#N/A</definedName>
    <definedName name="BOP40_MAT">#N/A</definedName>
    <definedName name="BOP40_PROD">#N/A</definedName>
    <definedName name="BOP40_S_C">#N/A</definedName>
    <definedName name="BOP40_SC">#N/A</definedName>
    <definedName name="BOP40_TOT">#N/A</definedName>
    <definedName name="BOPLAB">#N/A</definedName>
    <definedName name="BOPMAT">#N/A</definedName>
    <definedName name="boq" localSheetId="0">#REF!</definedName>
    <definedName name="boq">#REF!</definedName>
    <definedName name="BoQMH" localSheetId="0">#REF!</definedName>
    <definedName name="BoQMH">#REF!</definedName>
    <definedName name="boulders" localSheetId="0">#REF!</definedName>
    <definedName name="boulders">#REF!</definedName>
    <definedName name="BPlant">[11]Source!$B$9</definedName>
    <definedName name="BPLATE" localSheetId="0">[23]LIBRARY!#REF!</definedName>
    <definedName name="BPLATE">[23]LIBRARY!#REF!</definedName>
    <definedName name="Brickwork_and_blockwork" localSheetId="0">#REF!</definedName>
    <definedName name="Brickwork_and_blockwork">#REF!</definedName>
    <definedName name="Bridges" localSheetId="0">#REF!</definedName>
    <definedName name="Bridges">#REF!</definedName>
    <definedName name="BShear">[10]Source!$B$13</definedName>
    <definedName name="BUILDING" localSheetId="0">#REF!</definedName>
    <definedName name="BUILDING">#REF!</definedName>
    <definedName name="BuiltIn_Print_Area" localSheetId="0">#REF!</definedName>
    <definedName name="BuiltIn_Print_Area">#REF!</definedName>
    <definedName name="BuiltIn_Print_Area___0" localSheetId="0">#REF!</definedName>
    <definedName name="BuiltIn_Print_Area___0">#REF!</definedName>
    <definedName name="BuiltIn_Print_Area___0___0" localSheetId="0">#REF!</definedName>
    <definedName name="BuiltIn_Print_Area___0___0">#REF!</definedName>
    <definedName name="BuiltIn_Print_Area___0___0___0" localSheetId="0">#REF!</definedName>
    <definedName name="BuiltIn_Print_Area___0___0___0">#REF!</definedName>
    <definedName name="BuiltIn_Print_Area___0___0___0___0" localSheetId="0">#REF!</definedName>
    <definedName name="BuiltIn_Print_Area___0___0___0___0">#REF!</definedName>
    <definedName name="BuiltIn_Print_Area___0___0___0___0___0" localSheetId="0">#REF!</definedName>
    <definedName name="BuiltIn_Print_Area___0___0___0___0___0">#REF!</definedName>
    <definedName name="BuiltIn_Print_Titles" localSheetId="0">#REF!</definedName>
    <definedName name="BuiltIn_Print_Titles">#REF!</definedName>
    <definedName name="BuiltIn_Print_Titles___0" localSheetId="0">#REF!</definedName>
    <definedName name="BuiltIn_Print_Titles___0">#REF!</definedName>
    <definedName name="BuiltIn_Print_Titles___0___0" localSheetId="0">#REF!</definedName>
    <definedName name="BuiltIn_Print_Titles___0___0">#REF!</definedName>
    <definedName name="BuiltIn_Print_Titles___0___0___0" localSheetId="0">#REF!</definedName>
    <definedName name="BuiltIn_Print_Titles___0___0___0">#REF!</definedName>
    <definedName name="BuiltIn_Print_Titles___0___0___0___0">NA()</definedName>
    <definedName name="BuiltIn_Priny_Titles__0__0.1" localSheetId="0">#REF!</definedName>
    <definedName name="BuiltIn_Priny_Titles__0__0.1">#REF!</definedName>
    <definedName name="Buitl" localSheetId="0">#REF!</definedName>
    <definedName name="Buitl">#REF!</definedName>
    <definedName name="bulldozer">[25]Source!$G$14</definedName>
    <definedName name="C_Amt">[34]B.100!$X$51:$X$227</definedName>
    <definedName name="cake" localSheetId="0">#REF!</definedName>
    <definedName name="cake">#REF!</definedName>
    <definedName name="cam" localSheetId="0">#REF!</definedName>
    <definedName name="cam">#REF!</definedName>
    <definedName name="CAR" localSheetId="0">#REF!</definedName>
    <definedName name="CAR">#REF!</definedName>
    <definedName name="carbon_steel" localSheetId="0">#REF!</definedName>
    <definedName name="carbon_steel">#REF!</definedName>
    <definedName name="Carpenter" localSheetId="0">#REF!</definedName>
    <definedName name="Carpenter">#REF!</definedName>
    <definedName name="Categories">[35]Lists!$A$2:$A$54</definedName>
    <definedName name="CB" localSheetId="0">#REF!</definedName>
    <definedName name="CB">#REF!</definedName>
    <definedName name="cbh" localSheetId="0">#REF!</definedName>
    <definedName name="cbh">#REF!</definedName>
    <definedName name="cc" localSheetId="0">'[16]7IFS-5A'!#REF!</definedName>
    <definedName name="cc">'[16]7IFS-5A'!#REF!</definedName>
    <definedName name="cc03_125" localSheetId="0">[36]Code03!#REF!</definedName>
    <definedName name="cc03_125">[36]Code03!#REF!</definedName>
    <definedName name="cc03_741" localSheetId="0">[36]Code03!#REF!</definedName>
    <definedName name="cc03_741">[36]Code03!#REF!</definedName>
    <definedName name="ccSI_101" localSheetId="0">#REF!</definedName>
    <definedName name="ccSI_101">#REF!</definedName>
    <definedName name="ccSI_103" localSheetId="0">#REF!</definedName>
    <definedName name="ccSI_103">#REF!</definedName>
    <definedName name="ccSI_211" localSheetId="0">#REF!</definedName>
    <definedName name="ccSI_211">#REF!</definedName>
    <definedName name="cct" localSheetId="0">#REF!</definedName>
    <definedName name="cct">#REF!</definedName>
    <definedName name="cec" localSheetId="0">'[2]HB CEC schd 5.2'!#REF!</definedName>
    <definedName name="cec">'[2]HB CEC schd 5.2'!#REF!</definedName>
    <definedName name="CEMENT_PLASTERING">[37]Tables!$B$26:$G$31</definedName>
    <definedName name="Cforeman" localSheetId="0">#REF!</definedName>
    <definedName name="Cforeman">#REF!</definedName>
    <definedName name="chainsaw" localSheetId="0">#REF!</definedName>
    <definedName name="chainsaw">#REF!</definedName>
    <definedName name="channel_bar_2_x_3_x5mm" localSheetId="0">#REF!</definedName>
    <definedName name="channel_bar_2_x_3_x5mm">#REF!</definedName>
    <definedName name="CHB_MORTAR">[37]Tables!$B$15:$F$19</definedName>
    <definedName name="chekered_plate_20mm" localSheetId="0">#REF!</definedName>
    <definedName name="chekered_plate_20mm">#REF!</definedName>
    <definedName name="chippinghammer">[25]Source!$G$29</definedName>
    <definedName name="CIVIL_FAC" localSheetId="0">#REF!</definedName>
    <definedName name="CIVIL_FAC">#REF!</definedName>
    <definedName name="civils" localSheetId="0">[21]Inputs!#REF!</definedName>
    <definedName name="civils">[21]Inputs!#REF!</definedName>
    <definedName name="clamshell">[22]Source!$B$31</definedName>
    <definedName name="Class_111_rock" localSheetId="0">#REF!</definedName>
    <definedName name="Class_111_rock">#REF!</definedName>
    <definedName name="clearing" localSheetId="0">[21]Inputs!#REF!</definedName>
    <definedName name="clearing">[21]Inputs!#REF!</definedName>
    <definedName name="CMixer">[11]Source!$B$18</definedName>
    <definedName name="Coco_lumber">[11]Source!$J$9</definedName>
    <definedName name="Coco_trunks">[11]Source!$J$8</definedName>
    <definedName name="CODE">#N/A</definedName>
    <definedName name="Code_02_101">'[38]Code 02'!$L$14</definedName>
    <definedName name="Code_02_103">'[38]Code 02'!$L$24</definedName>
    <definedName name="Code_02_211">'[38]Code 02'!$L$44</definedName>
    <definedName name="Code_02_231">'[38]Code 02'!$L$52</definedName>
    <definedName name="Code_02_241">'[38]Code 02'!$L$59</definedName>
    <definedName name="Code_02_251">'[38]Code 02'!$L$75</definedName>
    <definedName name="Code_03_131">'[38]Code 03'!$L$25</definedName>
    <definedName name="Code_03_201">'[38]Code 03'!$L$63</definedName>
    <definedName name="Code_03_231">'[38]Code 03'!$L$83</definedName>
    <definedName name="Code_03_401">'[38]Code 03'!$L$96</definedName>
    <definedName name="Code_03_411">'[38]Code 03'!$L$105</definedName>
    <definedName name="Code_03_503">'[38]Code 03'!$L$113</definedName>
    <definedName name="Code_03_601">'[38]Code 03'!$L$128</definedName>
    <definedName name="Code_03_711">'[38]Code 03'!$L$152</definedName>
    <definedName name="Code_03_721">'[38]Code 03'!$L$167</definedName>
    <definedName name="Code_03_731">'[38]Code 03'!$L$181</definedName>
    <definedName name="Code_04_101">'[38]Code 04'!$L$13</definedName>
    <definedName name="Code_04_102">'[38]Code 04'!$L$21</definedName>
    <definedName name="Code_04_151">'[38]Code 04'!$L$27</definedName>
    <definedName name="Code_04_205">'[38]Code 04'!$L$35</definedName>
    <definedName name="Code_04_307">'[38]Code 04'!$L$43</definedName>
    <definedName name="Code_04_309">'[38]Code 04'!$L$51</definedName>
    <definedName name="Code_04_341">'[38]Code 04'!$L$60</definedName>
    <definedName name="Code_04_401">'[38]Code 04'!$L$78</definedName>
    <definedName name="Code_04_451">'[38]Code 04'!$L$96</definedName>
    <definedName name="Code_04_501">'[38]Code 04'!$L$104</definedName>
    <definedName name="Code_04_601">'[38]Code 04'!$L$113</definedName>
    <definedName name="Code_04_740">'[38]Code 04'!$L$120</definedName>
    <definedName name="Code_04_743">'[38]Code 04'!$L$129</definedName>
    <definedName name="Code_04_751">'[38]Code 04'!$L$136</definedName>
    <definedName name="Code_05_120">'[38]Code 05'!$L$12</definedName>
    <definedName name="Code_05_130">'[38]Code 05'!$L$18</definedName>
    <definedName name="Code_05_140">'[38]Code 05'!$L$24</definedName>
    <definedName name="Code_05_160">'[38]Code 05'!$L$37</definedName>
    <definedName name="Code_05_201">'[38]Code 05'!$L$98</definedName>
    <definedName name="Code_05_270">'[38]Code 05'!$L$103</definedName>
    <definedName name="Code_05_301">'[38]Code 05'!$L$257</definedName>
    <definedName name="Code_05_400">'[38]Code 05'!$L$293</definedName>
    <definedName name="Code_05_611">'[38]Code 05'!$L$299</definedName>
    <definedName name="Code_05_620">'[38]Code 05'!$L$307</definedName>
    <definedName name="Code_06_100">'[38]Code 06'!$L$18</definedName>
    <definedName name="Code_06_200">'[38]Code 06'!$L$66</definedName>
    <definedName name="Code_06_211">'[38]Code 06'!$L$124</definedName>
    <definedName name="Code_06_301">'[38]Code 06'!$L$156</definedName>
    <definedName name="Code_06_410">'[38]Code 06'!$L$163</definedName>
    <definedName name="Code_06_500">'[38]Code 06'!$L$176</definedName>
    <definedName name="Code_06_651">'[38]Code 06'!$L$186</definedName>
    <definedName name="Code_06_800">'[38]Code 06'!$L$192</definedName>
    <definedName name="Code_07_400">'[38]Code 07'!$L$26</definedName>
    <definedName name="Code_07_402">'[38]Code 07'!$L$32</definedName>
    <definedName name="Code_09_101">'[38]Code 09'!$L$15</definedName>
    <definedName name="Code_09_201">'[38]Code 09'!$L$24</definedName>
    <definedName name="Code_09_205">'[38]Code 09'!$L$31</definedName>
    <definedName name="Code_09_311">'[38]Code 09'!$L$38</definedName>
    <definedName name="Code_09_331">'[38]Code 09'!$L$46</definedName>
    <definedName name="Code_09_401">'[38]Code 09'!$L$53</definedName>
    <definedName name="Code_09_601">'[38]Code 09'!$L$59</definedName>
    <definedName name="Code_09_701">'[38]Code 09'!$L$65</definedName>
    <definedName name="CODE_AFGIS">#N/A</definedName>
    <definedName name="CODE_B">#N/A</definedName>
    <definedName name="CODE_E">#N/A</definedName>
    <definedName name="CODE_F">#N/A</definedName>
    <definedName name="CODE_P">#N/A</definedName>
    <definedName name="CODE_Q">#N/A</definedName>
    <definedName name="CODE_S">#N/A</definedName>
    <definedName name="Codes" localSheetId="0">#REF!</definedName>
    <definedName name="Codes">#REF!</definedName>
    <definedName name="COLDWATERL" localSheetId="0">#REF!</definedName>
    <definedName name="COLDWATERL">#REF!</definedName>
    <definedName name="COLDWATERY" localSheetId="0">#REF!</definedName>
    <definedName name="COLDWATERY">#REF!</definedName>
    <definedName name="Column_Tie_Length">[37]Tables!$J$43:$L$67</definedName>
    <definedName name="ColumnTitle10" localSheetId="0">#REF!</definedName>
    <definedName name="ColumnTitle10">#REF!</definedName>
    <definedName name="ColumnTitle11" localSheetId="0">#REF!</definedName>
    <definedName name="ColumnTitle11">#REF!</definedName>
    <definedName name="ColumnTitle12" localSheetId="0">#REF!</definedName>
    <definedName name="ColumnTitle12">#REF!</definedName>
    <definedName name="ColumnTitle13" localSheetId="0">#REF!</definedName>
    <definedName name="ColumnTitle13">#REF!</definedName>
    <definedName name="ColumnTitle14" localSheetId="0">#REF!</definedName>
    <definedName name="ColumnTitle14">#REF!</definedName>
    <definedName name="ColumnTitle2" localSheetId="0">#REF!</definedName>
    <definedName name="ColumnTitle2">#REF!</definedName>
    <definedName name="ColumnTitle3" localSheetId="0">#REF!</definedName>
    <definedName name="ColumnTitle3">#REF!</definedName>
    <definedName name="ColumnTitle4" localSheetId="0">#REF!</definedName>
    <definedName name="ColumnTitle4">#REF!</definedName>
    <definedName name="ColumnTitle5" localSheetId="0">#REF!</definedName>
    <definedName name="ColumnTitle5">#REF!</definedName>
    <definedName name="ColumnTitle6" localSheetId="0">#REF!</definedName>
    <definedName name="ColumnTitle6">#REF!</definedName>
    <definedName name="ColumnTitle7" localSheetId="0">#REF!</definedName>
    <definedName name="ColumnTitle7">#REF!</definedName>
    <definedName name="ColumnTitle8" localSheetId="0">#REF!</definedName>
    <definedName name="ColumnTitle8">#REF!</definedName>
    <definedName name="ColumnTitle9" localSheetId="0">#REF!</definedName>
    <definedName name="ColumnTitle9">#REF!</definedName>
    <definedName name="COM" localSheetId="0">#REF!</definedName>
    <definedName name="COM">#REF!</definedName>
    <definedName name="comp" localSheetId="0">#REF!,#REF!</definedName>
    <definedName name="comp">#REF!,#REF!</definedName>
    <definedName name="compactfill" localSheetId="0">[21]Inputs!#REF!</definedName>
    <definedName name="compactfill">[21]Inputs!#REF!</definedName>
    <definedName name="CoN" localSheetId="0">#REF!</definedName>
    <definedName name="CoN">#REF!</definedName>
    <definedName name="concrete_epoxy" localSheetId="0">#REF!</definedName>
    <definedName name="concrete_epoxy">#REF!</definedName>
    <definedName name="concreteabove" localSheetId="0">[21]Inputs!#REF!</definedName>
    <definedName name="concreteabove">[21]Inputs!#REF!</definedName>
    <definedName name="concretemixer">[25]Source!$G$18</definedName>
    <definedName name="ConcreteProportion1">[37]Tables!$B$4:$E$8</definedName>
    <definedName name="concretevibrator">[25]Source!$F$19</definedName>
    <definedName name="CONNECT">#N/A</definedName>
    <definedName name="CONT" localSheetId="0">#REF!</definedName>
    <definedName name="CONT">#REF!</definedName>
    <definedName name="Contractors">[35]Lists!$C$2:$C$43</definedName>
    <definedName name="cost" localSheetId="0">#REF!</definedName>
    <definedName name="cost">#REF!</definedName>
    <definedName name="COSTCOMP">#N/A</definedName>
    <definedName name="COSTCOMP1">#N/A</definedName>
    <definedName name="COSTCOMP10" localSheetId="0">#REF!</definedName>
    <definedName name="COSTCOMP10">#REF!</definedName>
    <definedName name="COSTCOMP11" localSheetId="0">#REF!</definedName>
    <definedName name="COSTCOMP11">#REF!</definedName>
    <definedName name="COSTCOMP2">#N/A</definedName>
    <definedName name="COSTCOMP3" localSheetId="0">#REF!</definedName>
    <definedName name="COSTCOMP3">#REF!</definedName>
    <definedName name="COSTCOMP4" localSheetId="0">#REF!</definedName>
    <definedName name="COSTCOMP4">#REF!</definedName>
    <definedName name="COSTCOMP5" localSheetId="0">#REF!</definedName>
    <definedName name="COSTCOMP5">#REF!</definedName>
    <definedName name="COSTCOMP6" localSheetId="0">#REF!</definedName>
    <definedName name="COSTCOMP6">#REF!</definedName>
    <definedName name="COSTCOMP7" localSheetId="0">#REF!</definedName>
    <definedName name="COSTCOMP7">#REF!</definedName>
    <definedName name="COSTCOMP8" localSheetId="0">#REF!</definedName>
    <definedName name="COSTCOMP8">#REF!</definedName>
    <definedName name="COSTCOMP9" localSheetId="0">#REF!</definedName>
    <definedName name="COSTCOMP9">#REF!</definedName>
    <definedName name="COUNT">#N/A</definedName>
    <definedName name="COVER_TO_EXISTING_PEDESTRIAN_OVERHEAD_BRIDGE" localSheetId="0">#REF!</definedName>
    <definedName name="COVER_TO_EXISTING_PEDESTRIAN_OVERHEAD_BRIDGE">#REF!</definedName>
    <definedName name="crane" localSheetId="0">#REF!</definedName>
    <definedName name="crane">#REF!</definedName>
    <definedName name="crane_16_20_tons" localSheetId="0">#REF!</definedName>
    <definedName name="crane_16_20_tons">#REF!</definedName>
    <definedName name="crane_35_tons" localSheetId="0">#REF!</definedName>
    <definedName name="crane_35_tons">#REF!</definedName>
    <definedName name="crane_with_drop_ball" localSheetId="0">#REF!</definedName>
    <definedName name="crane_with_drop_ball">#REF!</definedName>
    <definedName name="crane35tons" localSheetId="0">#REF!</definedName>
    <definedName name="crane35tons">#REF!</definedName>
    <definedName name="crane60tons">[25]Source!$G$23</definedName>
    <definedName name="crane80tons" localSheetId="0">#REF!</definedName>
    <definedName name="crane80tons">#REF!</definedName>
    <definedName name="Crawler_Crane">[10]Source!$B$26</definedName>
    <definedName name="Crawler_Crane_80_tons" localSheetId="0">#REF!</definedName>
    <definedName name="Crawler_Crane_80_tons">#REF!</definedName>
    <definedName name="_xlnm.Criteria" localSheetId="0">'[28]BILL 1'!#REF!</definedName>
    <definedName name="_xlnm.Criteria">'[28]BILL 1'!#REF!</definedName>
    <definedName name="CS" localSheetId="0">#REF!</definedName>
    <definedName name="CS">#REF!</definedName>
    <definedName name="CSIL_BOP">#N/A</definedName>
    <definedName name="CSIL_YD">#N/A</definedName>
    <definedName name="CSS" localSheetId="0">#REF!</definedName>
    <definedName name="CSS">#REF!</definedName>
    <definedName name="CTAX" localSheetId="0">#REF!</definedName>
    <definedName name="CTAX">#REF!</definedName>
    <definedName name="cuting_outfit">[22]Source!$B$40</definedName>
    <definedName name="CVibrator">[11]Source!$B$12</definedName>
    <definedName name="CVL_FAC">#N/A</definedName>
    <definedName name="CWNails">[11]Source!$J$12</definedName>
    <definedName name="D" localSheetId="0">#REF!</definedName>
    <definedName name="D">#REF!</definedName>
    <definedName name="D.1" localSheetId="0">#REF!</definedName>
    <definedName name="D.1">#REF!</definedName>
    <definedName name="dailyrate">[23]LIBRARY!$H$1</definedName>
    <definedName name="DATA">#N/A</definedName>
    <definedName name="DATA1">#N/A</definedName>
    <definedName name="DATA2">#N/A</definedName>
    <definedName name="DATA3">#N/A</definedName>
    <definedName name="DATA4">#N/A</definedName>
    <definedName name="DATA5">#N/A</definedName>
    <definedName name="DATA6">#N/A</definedName>
    <definedName name="_xlnm.Database" localSheetId="0">#REF!</definedName>
    <definedName name="_xlnm.Database">#REF!</definedName>
    <definedName name="database1" localSheetId="0">#REF!</definedName>
    <definedName name="database1">#REF!</definedName>
    <definedName name="database2" localSheetId="0">#REF!</definedName>
    <definedName name="database2">#REF!</definedName>
    <definedName name="DATAFILL">#N/A</definedName>
    <definedName name="DATE" localSheetId="0">#REF!</definedName>
    <definedName name="DATE">#REF!</definedName>
    <definedName name="DC" localSheetId="0">OFFSET('2026 DAILY TRANSACTIONS'!PartIDList,0,0,,2)</definedName>
    <definedName name="DC">OFFSET(PartIDList,0,0,,2)</definedName>
    <definedName name="DC_1" localSheetId="0">OFFSET('2026 DAILY TRANSACTIONS'!PartIDList,0,0,,2)</definedName>
    <definedName name="DC_1">OFFSET(PartIDList,0,0,,2)</definedName>
    <definedName name="dcaug">[39]DRR!$I$63:$I$69</definedName>
    <definedName name="dcccc" localSheetId="0">#REF!</definedName>
    <definedName name="dcccc">#REF!</definedName>
    <definedName name="dcd">[39]DRR!$I$95:$I$101</definedName>
    <definedName name="dcjul">[39]DRR!$I$55:$I$61</definedName>
    <definedName name="dcn">[39]DRR!$I$87:$I$93</definedName>
    <definedName name="dco">[39]DRR!$I$79:$I$85</definedName>
    <definedName name="dcs">[39]DRR!$I$71:$I$77</definedName>
    <definedName name="ddaug">[39]DRR!$H$63:$H$69</definedName>
    <definedName name="ddd">[39]DRR!$H$95:$H$101</definedName>
    <definedName name="DDDDDDDDDD" localSheetId="0">#REF!,#REF!</definedName>
    <definedName name="DDDDDDDDDD">#REF!,#REF!</definedName>
    <definedName name="ddjul">[39]DRR!$H$55:$H$61</definedName>
    <definedName name="ddn">[39]DRR!$H$87:$H$93</definedName>
    <definedName name="ddo">[39]DRR!$H$79:$H$85</definedName>
    <definedName name="dds">[39]DRR!$H$71:$H$77</definedName>
    <definedName name="desanding_machine" localSheetId="0">#REF!</definedName>
    <definedName name="desanding_machine">#REF!</definedName>
    <definedName name="DETAIL_COMP">#N/A</definedName>
    <definedName name="dfdfd" localSheetId="0">#REF!</definedName>
    <definedName name="dfdfd">#REF!</definedName>
    <definedName name="dfghjk" localSheetId="0">#REF!</definedName>
    <definedName name="dfghjk">#REF!</definedName>
    <definedName name="dfhdfhdhdhhhh" localSheetId="0">#REF!</definedName>
    <definedName name="dfhdfhdhdhhhh">#REF!</definedName>
    <definedName name="dgd" localSheetId="0">#REF!</definedName>
    <definedName name="dgd">#REF!</definedName>
    <definedName name="DHammer">[10]Source!$B$17</definedName>
    <definedName name="Diesel" localSheetId="0">#REF!</definedName>
    <definedName name="Diesel">#REF!</definedName>
    <definedName name="DIRHRS">#N/A</definedName>
    <definedName name="Disposal" localSheetId="0">#REF!</definedName>
    <definedName name="Disposal">#REF!</definedName>
    <definedName name="DONE1">#N/A</definedName>
    <definedName name="DONE2">#N/A</definedName>
    <definedName name="doo">'[40]D &amp; W sizes'!$B$3:$D$35</definedName>
    <definedName name="door">'[40]D &amp; W sizes'!$B$3:$D$35</definedName>
    <definedName name="Drain_Pipes" localSheetId="0">#REF!</definedName>
    <definedName name="Drain_Pipes">#REF!</definedName>
    <definedName name="drainage" localSheetId="0">#REF!</definedName>
    <definedName name="drainage">#REF!</definedName>
    <definedName name="Drainage_system" localSheetId="0">#REF!</definedName>
    <definedName name="Drainage_system">#REF!</definedName>
    <definedName name="drainageOverall" localSheetId="0">#REF!</definedName>
    <definedName name="drainageOverall">#REF!</definedName>
    <definedName name="drainageSplit" localSheetId="0">#REF!</definedName>
    <definedName name="drainageSplit">#REF!</definedName>
    <definedName name="Driver" localSheetId="0">#REF!</definedName>
    <definedName name="Driver">#REF!</definedName>
    <definedName name="drop_ball">[22]Source!$B$33</definedName>
    <definedName name="drophammer" localSheetId="0">#REF!</definedName>
    <definedName name="drophammer">#REF!</definedName>
    <definedName name="dsDataSet" localSheetId="0">#REF!</definedName>
    <definedName name="dsDataSet">#REF!</definedName>
    <definedName name="DSUM">#N/A</definedName>
    <definedName name="dumptruck">[25]Source!$G$26</definedName>
    <definedName name="duro_60_elastomeric_pad_400x500x40" localSheetId="0">#REF!</definedName>
    <definedName name="duro_60_elastomeric_pad_400x500x40">#REF!</definedName>
    <definedName name="duro_60_elastomeric_pad_400x500x50" localSheetId="0">#REF!</definedName>
    <definedName name="duro_60_elastomeric_pad_400x500x50">#REF!</definedName>
    <definedName name="duro_60_elastomeric_pad_660x550x30" localSheetId="0">#REF!</definedName>
    <definedName name="duro_60_elastomeric_pad_660x550x30">#REF!</definedName>
    <definedName name="E" localSheetId="0">#REF!</definedName>
    <definedName name="E">#REF!</definedName>
    <definedName name="E.10_MOTORS" localSheetId="0">#REF!</definedName>
    <definedName name="E.10_MOTORS">#REF!</definedName>
    <definedName name="E.11___CABLES" localSheetId="0">#REF!</definedName>
    <definedName name="E.11___CABLES">#REF!</definedName>
    <definedName name="E.11__Cable_Tray_and_Cable_Ladder_System" localSheetId="0">#REF!</definedName>
    <definedName name="E.11__Cable_Tray_and_Cable_Ladder_System">#REF!</definedName>
    <definedName name="E.11_Cable_Conduits" localSheetId="0">#REF!</definedName>
    <definedName name="E.11_Cable_Conduits">#REF!</definedName>
    <definedName name="E.12_PROTECTIVE_GROUNDING_SYSTEM" localSheetId="0">#REF!</definedName>
    <definedName name="E.12_PROTECTIVE_GROUNDING_SYSTEM">#REF!</definedName>
    <definedName name="E.13_LIGHTNING_ARRESTER_SYSTEM" localSheetId="0">#REF!</definedName>
    <definedName name="E.13_LIGHTNING_ARRESTER_SYSTEM">#REF!</definedName>
    <definedName name="E.14_LIGHTING_EQUIPMENT_and_SERVICE_POWER" localSheetId="0">#REF!</definedName>
    <definedName name="E.14_LIGHTING_EQUIPMENT_and_SERVICE_POWER">#REF!</definedName>
    <definedName name="E.15_CONTROL_EQUIPMENT" localSheetId="0">#REF!</definedName>
    <definedName name="E.15_CONTROL_EQUIPMENT">#REF!</definedName>
    <definedName name="E.16_INSTRUMENTATION" localSheetId="0">#REF!</definedName>
    <definedName name="E.16_INSTRUMENTATION">#REF!</definedName>
    <definedName name="E.17_PLANT_OPTIMIZATION_SYSTEMS" localSheetId="0">#REF!</definedName>
    <definedName name="E.17_PLANT_OPTIMIZATION_SYSTEMS">#REF!</definedName>
    <definedName name="E.18_QUALITY_CONTROL_SYSTEM" localSheetId="0">#REF!</definedName>
    <definedName name="E.18_QUALITY_CONTROL_SYSTEM">#REF!</definedName>
    <definedName name="E.19_FIRE_DETECTION___COMMUNICATION" localSheetId="0">#REF!</definedName>
    <definedName name="E.19_FIRE_DETECTION___COMMUNICATION">#REF!</definedName>
    <definedName name="E_修正" localSheetId="0">#REF!</definedName>
    <definedName name="E_修正">#REF!</definedName>
    <definedName name="EA" localSheetId="0">#REF!</definedName>
    <definedName name="EA">#REF!</definedName>
    <definedName name="ECD" localSheetId="0">#REF!</definedName>
    <definedName name="ECD">#REF!</definedName>
    <definedName name="EE" localSheetId="0">#REF!</definedName>
    <definedName name="EE">#REF!</definedName>
    <definedName name="EEE" localSheetId="0">#REF!</definedName>
    <definedName name="EEE">#REF!</definedName>
    <definedName name="EG" localSheetId="0">#REF!</definedName>
    <definedName name="EG">#REF!</definedName>
    <definedName name="elec" localSheetId="0">OFFSET('2026 DAILY TRANSACTIONS'!PartIDList,0,0,,2)</definedName>
    <definedName name="elec">OFFSET(PartIDList,0,0,,2)</definedName>
    <definedName name="elec_1" localSheetId="0">OFFSET('2026 DAILY TRANSACTIONS'!PartIDList,0,0,,2)</definedName>
    <definedName name="elec_1">OFFSET(PartIDList,0,0,,2)</definedName>
    <definedName name="elect" localSheetId="0">#REF!</definedName>
    <definedName name="elect">#REF!</definedName>
    <definedName name="electric_bar_cutter">[22]Source!$B$32</definedName>
    <definedName name="Electrical" localSheetId="0">#REF!</definedName>
    <definedName name="Electrical">#REF!</definedName>
    <definedName name="electrician" localSheetId="0">#REF!</definedName>
    <definedName name="electrician">#REF!</definedName>
    <definedName name="embankment" localSheetId="0">#REF!</definedName>
    <definedName name="embankment">#REF!</definedName>
    <definedName name="Embankment_Materials" localSheetId="0">#REF!</definedName>
    <definedName name="Embankment_Materials">#REF!</definedName>
    <definedName name="EMBEDSTEEL" localSheetId="0">[23]LIBRARY!#REF!</definedName>
    <definedName name="EMBEDSTEEL">[23]LIBRARY!#REF!</definedName>
    <definedName name="ENTRY">#N/A</definedName>
    <definedName name="Epoxy_Resin_Bonding_Mortar">[11]Source!$J$36</definedName>
    <definedName name="EQ" localSheetId="0">#REF!</definedName>
    <definedName name="EQ">#REF!</definedName>
    <definedName name="EQ_DISC" localSheetId="0">#REF!</definedName>
    <definedName name="EQ_DISC">#REF!</definedName>
    <definedName name="ER" localSheetId="0">#REF!</definedName>
    <definedName name="ER">#REF!</definedName>
    <definedName name="errrfrrf" localSheetId="0">#REF!</definedName>
    <definedName name="errrfrrf">#REF!</definedName>
    <definedName name="ET" localSheetId="0">#REF!</definedName>
    <definedName name="ET">#REF!</definedName>
    <definedName name="EuR" localSheetId="0">#REF!</definedName>
    <definedName name="EuR">#REF!</definedName>
    <definedName name="Excavation" localSheetId="0">#REF!</definedName>
    <definedName name="Excavation">#REF!</definedName>
    <definedName name="excel" localSheetId="0">#REF!</definedName>
    <definedName name="excel">#REF!</definedName>
    <definedName name="excel_builin_prin_area_2_2_2" localSheetId="0">#REF!</definedName>
    <definedName name="excel_builin_prin_area_2_2_2">#REF!</definedName>
    <definedName name="excel_builin_prin_area_7_1_1" localSheetId="0">#REF!</definedName>
    <definedName name="excel_builin_prin_area_7_1_1">#REF!</definedName>
    <definedName name="excel_builtin_prin_area_2_2" localSheetId="0">#REF!</definedName>
    <definedName name="excel_builtin_prin_area_2_2">#REF!</definedName>
    <definedName name="Excel_BuiltIn_Print_Area" localSheetId="0">#REF!</definedName>
    <definedName name="Excel_BuiltIn_Print_Area">#REF!</definedName>
    <definedName name="Excel_BuiltIn_Print_Area_1" localSheetId="0">#REF!</definedName>
    <definedName name="Excel_BuiltIn_Print_Area_1">#REF!</definedName>
    <definedName name="Excel_BuiltIn_Print_Area_1_1" localSheetId="0">#REF!</definedName>
    <definedName name="Excel_BuiltIn_Print_Area_1_1">#REF!</definedName>
    <definedName name="Excel_BuiltIn_Print_Area_1_1_1" localSheetId="0">#REF!</definedName>
    <definedName name="Excel_BuiltIn_Print_Area_1_1_1">#REF!</definedName>
    <definedName name="Excel_BuiltIn_Print_Area_1_1_11" localSheetId="0">#REF!</definedName>
    <definedName name="Excel_BuiltIn_Print_Area_1_1_11">#REF!</definedName>
    <definedName name="Excel_BuiltIn_Print_Area_10_1" localSheetId="0">#REF!</definedName>
    <definedName name="Excel_BuiltIn_Print_Area_10_1">#REF!</definedName>
    <definedName name="Excel_BuiltIn_Print_Area_4" localSheetId="0">#REF!</definedName>
    <definedName name="Excel_BuiltIn_Print_Area_4">#REF!</definedName>
    <definedName name="Excel_BuiltIn_Print_Area_4_1" localSheetId="0">#REF!</definedName>
    <definedName name="Excel_BuiltIn_Print_Area_4_1">#REF!</definedName>
    <definedName name="Excel_BuiltIn_Print_Area_4_1_1" localSheetId="0">#REF!</definedName>
    <definedName name="Excel_BuiltIn_Print_Area_4_1_1">#REF!</definedName>
    <definedName name="Excel_BuiltIn_Print_Area_4_1_11" localSheetId="0">#REF!</definedName>
    <definedName name="Excel_BuiltIn_Print_Area_4_1_11">#REF!</definedName>
    <definedName name="Excel_BuiltIn_Print_Area_5" localSheetId="0">#REF!</definedName>
    <definedName name="Excel_BuiltIn_Print_Area_5">#REF!</definedName>
    <definedName name="Excel_BuiltIn_Print_Area_5_1" localSheetId="0">#REF!</definedName>
    <definedName name="Excel_BuiltIn_Print_Area_5_1">#REF!</definedName>
    <definedName name="excel_builtin_print_area_5_1_11" localSheetId="0">#REF!</definedName>
    <definedName name="excel_builtin_print_area_5_1_11">#REF!</definedName>
    <definedName name="Excel_BuiltIn_Print_Area_6_1" localSheetId="0">#REF!</definedName>
    <definedName name="Excel_BuiltIn_Print_Area_6_1">#REF!</definedName>
    <definedName name="Excel_BuiltIn_Print_Area_6_1_1" localSheetId="0">#REF!</definedName>
    <definedName name="Excel_BuiltIn_Print_Area_6_1_1">#REF!</definedName>
    <definedName name="Excel_BuiltIn_Print_Area_6_1_11" localSheetId="0">#REF!</definedName>
    <definedName name="Excel_BuiltIn_Print_Area_6_1_11">#REF!</definedName>
    <definedName name="Excel_BuiltIn_Print_Area_8_1" localSheetId="0">#REF!</definedName>
    <definedName name="Excel_BuiltIn_Print_Area_8_1">#REF!</definedName>
    <definedName name="Excel_BuiltIn_Print_Area_8_1_11" localSheetId="0">#REF!</definedName>
    <definedName name="Excel_BuiltIn_Print_Area_8_1_11">#REF!</definedName>
    <definedName name="Excel_BuiltIn_Print_Titles" localSheetId="0">(#REF!,#REF!)</definedName>
    <definedName name="Excel_BuiltIn_Print_Titles">(#REF!,#REF!)</definedName>
    <definedName name="Excel_BuiltIn_Print_Titles_1" localSheetId="0">(#REF!,#REF!)</definedName>
    <definedName name="Excel_BuiltIn_Print_Titles_1">(#REF!,#REF!)</definedName>
    <definedName name="ExpenseCategories" localSheetId="0">#REF!</definedName>
    <definedName name="ExpenseCategories">#REF!</definedName>
    <definedName name="_xlnm.Extract" localSheetId="0">#REF!</definedName>
    <definedName name="_xlnm.Extract">#REF!</definedName>
    <definedName name="Extract_MI" localSheetId="0">#REF!</definedName>
    <definedName name="Extract_MI">#REF!</definedName>
    <definedName name="f" localSheetId="0">'[19]BILL 1'!#REF!</definedName>
    <definedName name="f">'[19]BILL 1'!#REF!</definedName>
    <definedName name="F1_ﾃﾞｰﾀ抽出" localSheetId="0">#REF!</definedName>
    <definedName name="F1_ﾃﾞｰﾀ抽出">#REF!</definedName>
    <definedName name="F1_ﾌｧｲﾙの結合" localSheetId="0">#REF!</definedName>
    <definedName name="F1_ﾌｧｲﾙの結合">#REF!</definedName>
    <definedName name="F1_ﾌｧｲﾙ結合" localSheetId="0">#REF!</definedName>
    <definedName name="F1_ﾌｧｲﾙ結合">#REF!</definedName>
    <definedName name="F1_ﾌｧｲﾙ結合_ﾍﾟｿ" localSheetId="0">#REF!</definedName>
    <definedName name="F1_ﾌｧｲﾙ結合_ﾍﾟｿ">#REF!</definedName>
    <definedName name="F2_ﾃﾞｰﾀ抽出" localSheetId="0">#REF!</definedName>
    <definedName name="F2_ﾃﾞｰﾀ抽出">#REF!</definedName>
    <definedName name="F2_ﾌｧｲﾙ結合_ｴﾝ" localSheetId="0">#REF!</definedName>
    <definedName name="F2_ﾌｧｲﾙ結合_ｴﾝ">#REF!</definedName>
    <definedName name="F3_ﾃﾞｰﾀ抽出" localSheetId="0">#REF!</definedName>
    <definedName name="F3_ﾃﾞｰﾀ抽出">#REF!</definedName>
    <definedName name="FAB" localSheetId="0">#REF!</definedName>
    <definedName name="FAB">#REF!</definedName>
    <definedName name="FABRICATION" localSheetId="0">#REF!</definedName>
    <definedName name="FABRICATION">#REF!</definedName>
    <definedName name="FAC">#N/A</definedName>
    <definedName name="FACILITY" localSheetId="0">#REF!</definedName>
    <definedName name="FACILITY">#REF!</definedName>
    <definedName name="FAXNO" localSheetId="0">#REF!</definedName>
    <definedName name="FAXNO">#REF!</definedName>
    <definedName name="fdfd" localSheetId="0">'[2]HB CEC schd 4.2'!#REF!</definedName>
    <definedName name="fdfd">'[2]HB CEC schd 4.2'!#REF!</definedName>
    <definedName name="fdfdfdf" localSheetId="0">'[2]HB CEC schd 5.2'!#REF!</definedName>
    <definedName name="fdfdfdf">'[2]HB CEC schd 5.2'!#REF!</definedName>
    <definedName name="fdfdfdfd" localSheetId="0">'[2]HB CEC schd 9.2'!#REF!</definedName>
    <definedName name="fdfdfdfd">'[2]HB CEC schd 9.2'!#REF!</definedName>
    <definedName name="fdfdfdfdf" localSheetId="0">'[2]HB CEC schd 4.3'!#REF!</definedName>
    <definedName name="fdfdfdfdf">'[2]HB CEC schd 4.3'!#REF!</definedName>
    <definedName name="Fencing" localSheetId="0">#REF!</definedName>
    <definedName name="Fencing">#REF!</definedName>
    <definedName name="FHS40_HRS" localSheetId="0">#REF!</definedName>
    <definedName name="FHS40_HRS">#REF!</definedName>
    <definedName name="FHS40_LAB" localSheetId="0">#REF!</definedName>
    <definedName name="FHS40_LAB">#REF!</definedName>
    <definedName name="FHS40_MAT" localSheetId="0">#REF!</definedName>
    <definedName name="FHS40_MAT">#REF!</definedName>
    <definedName name="FHS40_S_C" localSheetId="0">#REF!</definedName>
    <definedName name="FHS40_S_C">#REF!</definedName>
    <definedName name="FHS40_SC" localSheetId="0">#REF!</definedName>
    <definedName name="FHS40_SC">#REF!</definedName>
    <definedName name="FHS40_TOT" localSheetId="0">#REF!</definedName>
    <definedName name="FHS40_TOT">#REF!</definedName>
    <definedName name="Filter_Cloth" localSheetId="0">#REF!</definedName>
    <definedName name="Filter_Cloth">#REF!</definedName>
    <definedName name="Fire_Systems" localSheetId="0">#REF!</definedName>
    <definedName name="Fire_Systems">#REF!</definedName>
    <definedName name="Fld_45WEldN_Reinf">[41]FIELD!$EG$7:$ES$27</definedName>
    <definedName name="Fld_90CplgWeld">[41]FIELD!$FG$7:$FI$15</definedName>
    <definedName name="Fld_90WeldN">[41]FIELD!$CT$7:$DF$27</definedName>
    <definedName name="Fld_90WeldN_Reinf">[41]FIELD!$DG$7:$DS$27</definedName>
    <definedName name="Fld_AttSOF">[41]FIELD!$BN$7:$BU$27</definedName>
    <definedName name="Fld_AttWNF">[41]FIELD!$BV$7:$CC$27</definedName>
    <definedName name="Fld_Bevel">[41]FIELD!$BA$7:$BM$27</definedName>
    <definedName name="Fld_BoltUp">[41]FIELD!$CL$7:$CS$27</definedName>
    <definedName name="Fld_Cut">[41]FIELD!$AN$7:$AZ$27</definedName>
    <definedName name="Fld_Makeon">[41]FIELD!$FW$7:$FY$27</definedName>
    <definedName name="Fld_OletWeld">[41]FIELD!$ET$7:$FF$27</definedName>
    <definedName name="Fld_SocketWeld">[41]FIELD!$FJ$7:$FV$15</definedName>
    <definedName name="Fld_SplHandling">[41]FIELD!$N$7:$Z$27</definedName>
    <definedName name="Fld_SRHandling">[41]FIELD!$A$7:$M$27</definedName>
    <definedName name="Fld_ValveHdlg">[41]FIELD!$CD$7:$CK$27</definedName>
    <definedName name="Fld_Weld">[41]FIELD!$AA$7:$AM$27</definedName>
    <definedName name="forklift">[25]Source!$G$27</definedName>
    <definedName name="FORM" localSheetId="0">[23]LIBRARY!#REF!</definedName>
    <definedName name="FORM">[23]LIBRARY!#REF!</definedName>
    <definedName name="Formlumber">[11]Source!$J$10</definedName>
    <definedName name="FORMULA1">#N/A</definedName>
    <definedName name="Formwork" localSheetId="0">#REF!</definedName>
    <definedName name="Formwork">#REF!</definedName>
    <definedName name="foundations" localSheetId="0">[21]Inputs!#REF!</definedName>
    <definedName name="foundations">[21]Inputs!#REF!</definedName>
    <definedName name="fred" localSheetId="0">'[2]HB CEC schd 4.3'!#REF!</definedName>
    <definedName name="fred">'[2]HB CEC schd 4.3'!#REF!</definedName>
    <definedName name="Furnishings" localSheetId="0">[36]Summary!#REF!</definedName>
    <definedName name="Furnishings">[36]Summary!#REF!</definedName>
    <definedName name="G" localSheetId="0">#REF!</definedName>
    <definedName name="G">#REF!</definedName>
    <definedName name="ga_26_x_.80m_x_3m_corr_gi_roofing_sht" localSheetId="0">#REF!</definedName>
    <definedName name="ga_26_x_.80m_x_3m_corr_gi_roofing_sht">#REF!</definedName>
    <definedName name="ga_26_x_.90m_x_2.4_plain_gi_shts" localSheetId="0">#REF!</definedName>
    <definedName name="ga_26_x_.90m_x_2.4_plain_gi_shts">#REF!</definedName>
    <definedName name="Gasoline" localSheetId="0">#REF!</definedName>
    <definedName name="Gasoline">#REF!</definedName>
    <definedName name="GC" localSheetId="0">#REF!</definedName>
    <definedName name="GC">#REF!</definedName>
    <definedName name="gcaug">[39]CRR!$L$203:$L$313</definedName>
    <definedName name="gcd">[39]CRR!$L$642:$L$798</definedName>
    <definedName name="gcjul">[39]CRR!$L$140:$L$201</definedName>
    <definedName name="gcn">[39]CRR!$L$529:$L$640</definedName>
    <definedName name="gco">[39]CRR!$L$406:$L$527</definedName>
    <definedName name="gcs">[39]CRR!$L$315:$L$404</definedName>
    <definedName name="gdaug">[39]DRR!$G$63:$G$69</definedName>
    <definedName name="gdd">[39]DRR!$G$95:$G$101</definedName>
    <definedName name="gdjul">[39]DRR!$G$55:$G$61</definedName>
    <definedName name="gdn">[39]DRR!$G$87:$G$93</definedName>
    <definedName name="gdo">[39]DRR!$G$79:$G$85</definedName>
    <definedName name="gds">[39]DRR!$G$71:$G$77</definedName>
    <definedName name="GEN" localSheetId="0">#REF!</definedName>
    <definedName name="GEN">#REF!</definedName>
    <definedName name="Gen_Desc">[34]B.100!$U$51:$U$227</definedName>
    <definedName name="Generator_set">[11]Source!$B$20</definedName>
    <definedName name="generatorset">[25]Source!$F$28</definedName>
    <definedName name="GEOTEX">[23]LIBRARY!$D$376</definedName>
    <definedName name="Gi_elbow_150mm_x_45_deg." localSheetId="0">#REF!</definedName>
    <definedName name="Gi_elbow_150mm_x_45_deg.">#REF!</definedName>
    <definedName name="gjaug">[39]JVR!$O$1141:$O$1263</definedName>
    <definedName name="gjd">[39]JVR!$O$1984:$O$2335</definedName>
    <definedName name="gjjul">[39]JVR!$O$843:$O$1139</definedName>
    <definedName name="gjn">[39]JVR!$O$1729:$O$1982</definedName>
    <definedName name="gjo">[39]JVR!$O$1435:$O$1727</definedName>
    <definedName name="gjs">[39]JVR!$O$1265:$O$1433</definedName>
    <definedName name="gmaug">[39]MIR!$G$63:$G$69</definedName>
    <definedName name="gmd">[39]MIR!$G$95:$G$101</definedName>
    <definedName name="gmjul">[39]MIR!$G$55:$G$61</definedName>
    <definedName name="gmn">[39]MIR!$G$87:$G$93</definedName>
    <definedName name="gmo">[39]MIR!$G$79:$G$85</definedName>
    <definedName name="gms">[39]MIR!$G$71:$G$77</definedName>
    <definedName name="GRAND_TOTAL" localSheetId="0">#REF!</definedName>
    <definedName name="GRAND_TOTAL">#REF!</definedName>
    <definedName name="graug">[39]RRR!$G$63:$G$69</definedName>
    <definedName name="grd">[39]RRR!$G$95:$G$101</definedName>
    <definedName name="grjul">[39]RRR!$G$55:$G$61</definedName>
    <definedName name="grn">[39]RRR!$G$87:$G$93</definedName>
    <definedName name="gro">[39]RRR!$G$79:$G$85</definedName>
    <definedName name="Gross_sum1" localSheetId="0">[42]Sheet3!#REF!</definedName>
    <definedName name="Gross_sum1">[42]Sheet3!#REF!</definedName>
    <definedName name="Gross_sum2" localSheetId="0">[42]Sheet2!#REF!</definedName>
    <definedName name="Gross_sum2">[42]Sheet2!#REF!</definedName>
    <definedName name="grs">[39]RRR!$G$71:$G$77</definedName>
    <definedName name="GRT" localSheetId="0">#REF!</definedName>
    <definedName name="GRT">#REF!</definedName>
    <definedName name="GS" localSheetId="0">#REF!</definedName>
    <definedName name="GS">#REF!</definedName>
    <definedName name="GT_MECH" localSheetId="0">#REF!</definedName>
    <definedName name="GT_MECH">#REF!</definedName>
    <definedName name="GTG40_HRS">#N/A</definedName>
    <definedName name="GTG40_LAB">#N/A</definedName>
    <definedName name="GTG40_MAT">#N/A</definedName>
    <definedName name="GTG40_S_C">#N/A</definedName>
    <definedName name="GTG40_TOT">#N/A</definedName>
    <definedName name="gvaug">[39]CVR!$G$7537:$G$8779</definedName>
    <definedName name="gvd">[39]CVR!$G$10255:$G$10373</definedName>
    <definedName name="gvjul">[39]CVR!$G$6574:$G$7535</definedName>
    <definedName name="gvn">[39]CVR!$G$10070:$G$10253</definedName>
    <definedName name="gvo">[39]CVR!$G$9915:$G$10068</definedName>
    <definedName name="gvs">[39]CVR!$G$8781:$G$9913</definedName>
    <definedName name="H" localSheetId="0">#REF!</definedName>
    <definedName name="H">#REF!</definedName>
    <definedName name="H128971169" localSheetId="0">'[12]Addendum No.1 BILL 2'!#REF!</definedName>
    <definedName name="H128971169">'[12]Addendum No.1 BILL 2'!#REF!</definedName>
    <definedName name="hardarch" localSheetId="0">[21]Inputs!#REF!</definedName>
    <definedName name="hardarch">[21]Inputs!#REF!</definedName>
    <definedName name="HEO" localSheetId="0">#REF!</definedName>
    <definedName name="HEO">#REF!</definedName>
    <definedName name="Hp_300_x300_x_12mm" localSheetId="0">#REF!</definedName>
    <definedName name="Hp_300_x300_x_12mm">#REF!</definedName>
    <definedName name="HPiles305x12m" localSheetId="0">#REF!</definedName>
    <definedName name="HPiles305x12m">#REF!</definedName>
    <definedName name="HPiles305x9m" localSheetId="0">#REF!</definedName>
    <definedName name="HPiles305x9m">#REF!</definedName>
    <definedName name="HRSG30_HRS">#N/A</definedName>
    <definedName name="HRSG30_LAB">#N/A</definedName>
    <definedName name="HRSG30_MAT">#N/A</definedName>
    <definedName name="HRSG30_S_C">#N/A</definedName>
    <definedName name="HRSG30_TOT">#N/A</definedName>
    <definedName name="hs" localSheetId="0">#REF!</definedName>
    <definedName name="hs">#REF!</definedName>
    <definedName name="HTR" localSheetId="0">[23]LIBRARY!#REF!</definedName>
    <definedName name="HTR">[23]LIBRARY!#REF!</definedName>
    <definedName name="HV" localSheetId="0">#REF!</definedName>
    <definedName name="HV">#REF!</definedName>
    <definedName name="HydrotestPump">'[43]bid price schedule'!$G$172</definedName>
    <definedName name="I" localSheetId="0">#REF!</definedName>
    <definedName name="I">#REF!</definedName>
    <definedName name="I_A" localSheetId="0">#REF!</definedName>
    <definedName name="I_A">#REF!</definedName>
    <definedName name="I_B" localSheetId="0">#REF!</definedName>
    <definedName name="I_B">#REF!</definedName>
    <definedName name="I_C" localSheetId="0">#REF!</definedName>
    <definedName name="I_C">#REF!</definedName>
    <definedName name="IC" localSheetId="0">#REF!</definedName>
    <definedName name="IC">#REF!</definedName>
    <definedName name="IDD" localSheetId="0">#REF!</definedName>
    <definedName name="IDD">#REF!</definedName>
    <definedName name="IGLE" localSheetId="0" hidden="1">[44]BM!#REF!</definedName>
    <definedName name="IGLE" hidden="1">[44]BM!#REF!</definedName>
    <definedName name="II_A" localSheetId="0">#REF!</definedName>
    <definedName name="II_A">#REF!</definedName>
    <definedName name="II_B" localSheetId="0">#REF!</definedName>
    <definedName name="II_B">#REF!</definedName>
    <definedName name="III_A" localSheetId="0">#REF!</definedName>
    <definedName name="III_A">#REF!</definedName>
    <definedName name="III_B" localSheetId="0">#REF!</definedName>
    <definedName name="III_B">#REF!</definedName>
    <definedName name="III_C" localSheetId="0">#REF!</definedName>
    <definedName name="III_C">#REF!</definedName>
    <definedName name="infra" localSheetId="0">#REF!</definedName>
    <definedName name="infra">#REF!</definedName>
    <definedName name="Infrastructure" localSheetId="0">#REF!</definedName>
    <definedName name="Infrastructure">#REF!</definedName>
    <definedName name="INSERT" localSheetId="0">#REF!</definedName>
    <definedName name="INSERT">#REF!</definedName>
    <definedName name="INSTALL_LINE">#N/A</definedName>
    <definedName name="Irrigation_system" localSheetId="0">#REF!</definedName>
    <definedName name="Irrigation_system">#REF!</definedName>
    <definedName name="ISKED" localSheetId="0">[45]LABCOST!#REF!</definedName>
    <definedName name="ISKED">[45]LABCOST!#REF!</definedName>
    <definedName name="it" localSheetId="0">#REF!</definedName>
    <definedName name="it">#REF!</definedName>
    <definedName name="item" localSheetId="0">#REF!</definedName>
    <definedName name="item">#REF!</definedName>
    <definedName name="Item_Code">[34]B.100!$T$51:$T$227</definedName>
    <definedName name="item1">'[43]bid price schedule'!$L$67</definedName>
    <definedName name="item2">'[43]bid price schedule'!$L$125</definedName>
    <definedName name="item3">'[43]bid price schedule'!$L$183</definedName>
    <definedName name="item4">'[43]bid price schedule'!$L$241</definedName>
    <definedName name="item5">'[43]bid price schedule'!$L$299</definedName>
    <definedName name="item6">'[43]bid price schedule'!$L$357</definedName>
    <definedName name="item7">'[43]bid price schedule'!$L$473</definedName>
    <definedName name="item8">'[43]bid price schedule'!$L$531</definedName>
    <definedName name="Itemizedbrkdwn" localSheetId="0">#REF!</definedName>
    <definedName name="Itemizedbrkdwn">#REF!</definedName>
    <definedName name="items" localSheetId="0">#REF!</definedName>
    <definedName name="items">#REF!</definedName>
    <definedName name="ival" localSheetId="0">'[27]BILL 1'!#REF!</definedName>
    <definedName name="ival">'[27]BILL 1'!#REF!</definedName>
    <definedName name="Jack_Hammer">[22]Source!$B$19</definedName>
    <definedName name="jack_hammer_with_compressor" localSheetId="0">#REF!</definedName>
    <definedName name="jack_hammer_with_compressor">#REF!</definedName>
    <definedName name="jcaug">[39]JVR!$Q$1141:$Q$1263</definedName>
    <definedName name="jcd">[39]JVR!$Q$1984:$Q$2335</definedName>
    <definedName name="jcjul">[39]JVR!$Q$843:$Q$1139</definedName>
    <definedName name="jcn">[39]JVR!$Q$1729:$Q$1982</definedName>
    <definedName name="jco">[39]JVR!$Q$1435:$Q$1727</definedName>
    <definedName name="jcs">[39]JVR!$Q$1265:$Q$1433</definedName>
    <definedName name="jdaug">[39]JVR!$P$1141:$P$1263</definedName>
    <definedName name="jdd">[39]JVR!$P$1984:$P$2335</definedName>
    <definedName name="jdjul">[39]JVR!$P$843:$P$1139</definedName>
    <definedName name="jdn">[39]JVR!$P$1729:$P$1982</definedName>
    <definedName name="jdo">[39]JVR!$P$1435:$P$1727</definedName>
    <definedName name="jds">[39]JVR!$P$1265:$P$1433</definedName>
    <definedName name="jen" localSheetId="0">#REF!</definedName>
    <definedName name="jen">#REF!</definedName>
    <definedName name="jhgih" localSheetId="0">#REF!</definedName>
    <definedName name="jhgih">#REF!</definedName>
    <definedName name="jo" localSheetId="0">OFFSET('2026 DAILY TRANSACTIONS'!PartIDList,0,0,,2)</definedName>
    <definedName name="jo">OFFSET(PartIDList,0,0,,2)</definedName>
    <definedName name="jo_1" localSheetId="0">OFFSET('2026 DAILY TRANSACTIONS'!PartIDList,0,0,,2)</definedName>
    <definedName name="jo_1">OFFSET(PartIDList,0,0,,2)</definedName>
    <definedName name="jojit" localSheetId="0">#REF!</definedName>
    <definedName name="jojit">#REF!</definedName>
    <definedName name="JpY" localSheetId="0">#REF!</definedName>
    <definedName name="JpY">#REF!</definedName>
    <definedName name="K" localSheetId="0">#REF!</definedName>
    <definedName name="K">#REF!</definedName>
    <definedName name="K10774000" localSheetId="0">#REF!</definedName>
    <definedName name="K10774000">#REF!</definedName>
    <definedName name="keke" localSheetId="0">#REF!</definedName>
    <definedName name="keke">#REF!</definedName>
    <definedName name="kod" localSheetId="0">'[27]BILL 1'!#REF!</definedName>
    <definedName name="kod">'[27]BILL 1'!#REF!</definedName>
    <definedName name="KW">#N/A</definedName>
    <definedName name="KW_MULT">#N/A</definedName>
    <definedName name="l" localSheetId="0">[45]LABCOST!#REF!</definedName>
    <definedName name="l">[45]LABCOST!#REF!</definedName>
    <definedName name="LAB_DISC" localSheetId="0">#REF!</definedName>
    <definedName name="LAB_DISC">#REF!</definedName>
    <definedName name="LABCON" localSheetId="0">#REF!</definedName>
    <definedName name="LABCON">#REF!</definedName>
    <definedName name="LaborateEleC" localSheetId="0">#REF!</definedName>
    <definedName name="LaborateEleC">#REF!</definedName>
    <definedName name="LaborateMecH" localSheetId="0">#REF!</definedName>
    <definedName name="LaborateMecH">#REF!</definedName>
    <definedName name="Laborers" localSheetId="0">#REF!</definedName>
    <definedName name="Laborers">#REF!</definedName>
    <definedName name="labour" localSheetId="0">[21]Inputs!#REF!</definedName>
    <definedName name="labour">[21]Inputs!#REF!</definedName>
    <definedName name="Landscaping" localSheetId="0">#REF!</definedName>
    <definedName name="Landscaping">#REF!</definedName>
    <definedName name="LC" localSheetId="0">#REF!</definedName>
    <definedName name="LC">#REF!</definedName>
    <definedName name="LCD" localSheetId="0">#REF!</definedName>
    <definedName name="LCD">#REF!</definedName>
    <definedName name="LCfee" localSheetId="0">#REF!</definedName>
    <definedName name="LCfee">#REF!</definedName>
    <definedName name="LCpcent" localSheetId="0">#REF!</definedName>
    <definedName name="LCpcent">#REF!</definedName>
    <definedName name="LEANCON" localSheetId="0">[23]LIBRARY!#REF!</definedName>
    <definedName name="LEANCON">[23]LIBRARY!#REF!</definedName>
    <definedName name="LEO" localSheetId="0">#REF!</definedName>
    <definedName name="LEO">#REF!</definedName>
    <definedName name="LF" localSheetId="0">#REF!</definedName>
    <definedName name="LF">#REF!</definedName>
    <definedName name="LFelec" localSheetId="0">#REF!</definedName>
    <definedName name="LFelec">#REF!</definedName>
    <definedName name="LFmech" localSheetId="0">#REF!</definedName>
    <definedName name="LFmech">#REF!</definedName>
    <definedName name="Lifts" localSheetId="0">#REF!</definedName>
    <definedName name="Lifts">#REF!</definedName>
    <definedName name="LINE">#N/A</definedName>
    <definedName name="LINE1">#N/A</definedName>
    <definedName name="LINE3">#N/A</definedName>
    <definedName name="LINE5">#N/A</definedName>
    <definedName name="LINE6">#N/A</definedName>
    <definedName name="LINE7">#N/A</definedName>
    <definedName name="LINE8">#N/A</definedName>
    <definedName name="LINE9">#N/A</definedName>
    <definedName name="LINKWAY_2" localSheetId="0">'[46]10.Linkway'!#REF!</definedName>
    <definedName name="LINKWAY_2">'[46]10.Linkway'!#REF!</definedName>
    <definedName name="LINKWAY_3" localSheetId="0">'[46]10.Linkway'!#REF!</definedName>
    <definedName name="LINKWAY_3">'[46]10.Linkway'!#REF!</definedName>
    <definedName name="LiT" localSheetId="0">#REF!</definedName>
    <definedName name="LiT">#REF!</definedName>
    <definedName name="llll" localSheetId="0">'[19]BILL 1'!#REF!</definedName>
    <definedName name="llll">'[19]BILL 1'!#REF!</definedName>
    <definedName name="lllll" localSheetId="0">'[19]BILL 1'!#REF!</definedName>
    <definedName name="lllll">'[19]BILL 1'!#REF!</definedName>
    <definedName name="LM">#N/A</definedName>
    <definedName name="LocationList" localSheetId="0">OFFSET(#REF!,0,0,COUNTA(#REF!)-1,1)</definedName>
    <definedName name="LocationList">OFFSET(#REF!,0,0,COUNTA(#REF!)-1,1)</definedName>
    <definedName name="LOOP">#N/A</definedName>
    <definedName name="LOOP1">#N/A</definedName>
    <definedName name="LOT" localSheetId="0">#REF!</definedName>
    <definedName name="LOT">#REF!</definedName>
    <definedName name="LSC" localSheetId="0">#REF!</definedName>
    <definedName name="LSC">#REF!</definedName>
    <definedName name="M" localSheetId="0">#REF!</definedName>
    <definedName name="M">#REF!</definedName>
    <definedName name="M_3">#N/A</definedName>
    <definedName name="mac" localSheetId="0">#REF!</definedName>
    <definedName name="mac">#REF!</definedName>
    <definedName name="MACRO_LST">#N/A</definedName>
    <definedName name="MACROS">#N/A</definedName>
    <definedName name="mAircoN" localSheetId="0">#REF!</definedName>
    <definedName name="mAircoN">#REF!</definedName>
    <definedName name="manholes" localSheetId="0">#REF!</definedName>
    <definedName name="manholes">#REF!</definedName>
    <definedName name="manholes2" localSheetId="0">#REF!</definedName>
    <definedName name="manholes2">#REF!</definedName>
    <definedName name="MarK" localSheetId="0">#REF!</definedName>
    <definedName name="MarK">#REF!</definedName>
    <definedName name="MARKE">'[47]BOQ-M'!$N$3</definedName>
    <definedName name="MarkF" localSheetId="0">#REF!</definedName>
    <definedName name="MarkF">#REF!</definedName>
    <definedName name="MarkFmech" localSheetId="0">#REF!</definedName>
    <definedName name="MarkFmech">#REF!</definedName>
    <definedName name="MARKL">'[47]BOQ-M'!$N$5</definedName>
    <definedName name="MarKmech" localSheetId="0">#REF!</definedName>
    <definedName name="MarKmech">#REF!</definedName>
    <definedName name="MARKP">'[47]BOQ-M'!$N$7</definedName>
    <definedName name="MarkPG" localSheetId="0">#REF!</definedName>
    <definedName name="MarkPG">#REF!</definedName>
    <definedName name="MARKQ" localSheetId="0">#REF!</definedName>
    <definedName name="MARKQ">#REF!</definedName>
    <definedName name="marso" localSheetId="0">[23]LIBRARY!#REF!</definedName>
    <definedName name="marso">[23]LIBRARY!#REF!</definedName>
    <definedName name="Mason" localSheetId="0">#REF!</definedName>
    <definedName name="Mason">#REF!</definedName>
    <definedName name="master" localSheetId="0">#REF!</definedName>
    <definedName name="master">#REF!</definedName>
    <definedName name="master1" localSheetId="0">#REF!</definedName>
    <definedName name="master1">#REF!</definedName>
    <definedName name="MAT_DISC" localSheetId="0">#REF!</definedName>
    <definedName name="MAT_DISC">#REF!</definedName>
    <definedName name="Material_eng" localSheetId="0">#REF!</definedName>
    <definedName name="Material_eng">#REF!</definedName>
    <definedName name="mAV" localSheetId="0">#REF!</definedName>
    <definedName name="mAV">#REF!</definedName>
    <definedName name="MBIN" localSheetId="0">#REF!</definedName>
    <definedName name="MBIN">#REF!</definedName>
    <definedName name="mBusducT" localSheetId="0">#REF!</definedName>
    <definedName name="mBusducT">#REF!</definedName>
    <definedName name="mc" localSheetId="0">#REF!</definedName>
    <definedName name="mc">#REF!</definedName>
    <definedName name="mcaug">[39]MIR!$I$63:$I$69</definedName>
    <definedName name="mCctV" localSheetId="0">#REF!</definedName>
    <definedName name="mCctV">#REF!</definedName>
    <definedName name="McctV2" localSheetId="0">#REF!</definedName>
    <definedName name="McctV2">#REF!</definedName>
    <definedName name="mcd">[39]MIR!$I$95:$I$101</definedName>
    <definedName name="mcjul">[39]MIR!$I$55:$I$61</definedName>
    <definedName name="mClocK" localSheetId="0">#REF!</definedName>
    <definedName name="mClocK">#REF!</definedName>
    <definedName name="mcn">[39]MIR!$I$87:$I$93</definedName>
    <definedName name="mco">[39]MIR!$I$79:$I$85</definedName>
    <definedName name="McommoN" localSheetId="0">#REF!</definedName>
    <definedName name="McommoN">#REF!</definedName>
    <definedName name="mCommonMech" localSheetId="0">#REF!</definedName>
    <definedName name="mCommonMech">#REF!</definedName>
    <definedName name="mConduiT" localSheetId="0">#REF!</definedName>
    <definedName name="mConduiT">#REF!</definedName>
    <definedName name="mcs">[39]MIR!$I$71:$I$77</definedName>
    <definedName name="MD" localSheetId="0">#REF!</definedName>
    <definedName name="MD">#REF!</definedName>
    <definedName name="mdaug">[39]MIR!$H$63:$H$69</definedName>
    <definedName name="mdd">[39]MIR!$H$95:$H$101</definedName>
    <definedName name="MDelec" localSheetId="0">#REF!</definedName>
    <definedName name="MDelec">#REF!</definedName>
    <definedName name="mdjul">[39]MIR!$H$55:$H$61</definedName>
    <definedName name="MDmech" localSheetId="0">#REF!</definedName>
    <definedName name="MDmech">#REF!</definedName>
    <definedName name="mdn">[39]MIR!$H$87:$H$93</definedName>
    <definedName name="mdo">[39]MIR!$H$79:$H$85</definedName>
    <definedName name="mds">[39]MIR!$H$71:$H$77</definedName>
    <definedName name="ME" localSheetId="0">OFFSET('2026 DAILY TRANSACTIONS'!PartIDList,0,0,,2)</definedName>
    <definedName name="ME">OFFSET(PartIDList,0,0,,2)</definedName>
    <definedName name="ME_1" localSheetId="0">OFFSET('2026 DAILY TRANSACTIONS'!PartIDList,0,0,,2)</definedName>
    <definedName name="ME_1">OFFSET(PartIDList,0,0,,2)</definedName>
    <definedName name="mECB" localSheetId="0">#REF!</definedName>
    <definedName name="mECB">#REF!</definedName>
    <definedName name="mech" localSheetId="0">OFFSET('2026 DAILY TRANSACTIONS'!PartIDList,0,0,,2)</definedName>
    <definedName name="mech">OFFSET(PartIDList,0,0,,2)</definedName>
    <definedName name="mech_1" localSheetId="0">OFFSET('2026 DAILY TRANSACTIONS'!PartIDList,0,0,,2)</definedName>
    <definedName name="mech_1">OFFSET(PartIDList,0,0,,2)</definedName>
    <definedName name="MECH_PROD">#N/A</definedName>
    <definedName name="MECH30_HRS">#N/A</definedName>
    <definedName name="MECH30_LAB">#N/A</definedName>
    <definedName name="MECH30_MAT">#N/A</definedName>
    <definedName name="MECH30_PROD">#N/A</definedName>
    <definedName name="MECH30_S_C">#N/A</definedName>
    <definedName name="MECH30_SC">#N/A</definedName>
    <definedName name="MECH30_TOT">#N/A</definedName>
    <definedName name="mechanic" localSheetId="0">#REF!</definedName>
    <definedName name="mechanic">#REF!</definedName>
    <definedName name="Mechanical" localSheetId="0">#REF!</definedName>
    <definedName name="Mechanical">#REF!</definedName>
    <definedName name="mechanical_coupler" localSheetId="0">#REF!</definedName>
    <definedName name="mechanical_coupler">#REF!</definedName>
    <definedName name="mechinstcrane" localSheetId="0">#REF!</definedName>
    <definedName name="mechinstcrane">#REF!</definedName>
    <definedName name="mechinsthours" localSheetId="0">#REF!</definedName>
    <definedName name="mechinsthours">#REF!</definedName>
    <definedName name="mechl" localSheetId="0">[48]breakdown!#REF!</definedName>
    <definedName name="mechl">[48]breakdown!#REF!</definedName>
    <definedName name="MENU" localSheetId="0">#REF!</definedName>
    <definedName name="MENU">#REF!</definedName>
    <definedName name="MENU10">#N/A</definedName>
    <definedName name="MENU11">#N/A</definedName>
    <definedName name="MENU12">#N/A</definedName>
    <definedName name="MENU13">#N/A</definedName>
    <definedName name="MENU14">#N/A</definedName>
    <definedName name="MENU15">#N/A</definedName>
    <definedName name="MENU16">#N/A</definedName>
    <definedName name="MENU2">#N/A</definedName>
    <definedName name="MENU3">#N/A</definedName>
    <definedName name="MENU4">#N/A</definedName>
    <definedName name="MENU5">#N/A</definedName>
    <definedName name="MENU6">#N/A</definedName>
    <definedName name="MENU7">#N/A</definedName>
    <definedName name="MENU8">#N/A</definedName>
    <definedName name="MENU9">#N/A</definedName>
    <definedName name="mFA" localSheetId="0">#REF!</definedName>
    <definedName name="mFA">#REF!</definedName>
    <definedName name="mh.monthly" localSheetId="0">#REF!</definedName>
    <definedName name="mh.monthly">#REF!</definedName>
    <definedName name="MHR" localSheetId="0">#REF!</definedName>
    <definedName name="MHR">#REF!</definedName>
    <definedName name="mHVcabLe" localSheetId="0">#REF!</definedName>
    <definedName name="mHVcabLe">#REF!</definedName>
    <definedName name="mHVPaneL" localSheetId="0">#REF!</definedName>
    <definedName name="mHVPaneL">#REF!</definedName>
    <definedName name="mHVxfmr" localSheetId="0">#REF!</definedName>
    <definedName name="mHVxfmr">#REF!</definedName>
    <definedName name="misc" localSheetId="0">#REF!</definedName>
    <definedName name="misc">#REF!</definedName>
    <definedName name="MLC" localSheetId="0">#REF!</definedName>
    <definedName name="MLC">#REF!</definedName>
    <definedName name="mLighT" localSheetId="0">#REF!</definedName>
    <definedName name="mLighT">#REF!</definedName>
    <definedName name="mLightninG" localSheetId="0">#REF!</definedName>
    <definedName name="mLightninG">#REF!</definedName>
    <definedName name="mLightning2" localSheetId="0">#REF!</definedName>
    <definedName name="mLightning2">#REF!</definedName>
    <definedName name="mLVPaneL" localSheetId="0">#REF!</definedName>
    <definedName name="mLVPaneL">#REF!</definedName>
    <definedName name="mLVxmfr" localSheetId="0">#REF!</definedName>
    <definedName name="mLVxmfr">#REF!</definedName>
    <definedName name="mm" localSheetId="0">#REF!</definedName>
    <definedName name="mm">#REF!</definedName>
    <definedName name="MmajoR" localSheetId="0">#REF!</definedName>
    <definedName name="MmajoR">#REF!</definedName>
    <definedName name="mMajorMech" localSheetId="0">#REF!</definedName>
    <definedName name="mMajorMech">#REF!</definedName>
    <definedName name="mMatV" localSheetId="0">#REF!</definedName>
    <definedName name="mMatV">#REF!</definedName>
    <definedName name="mMatV2" localSheetId="0">#REF!</definedName>
    <definedName name="mMatV2">#REF!</definedName>
    <definedName name="MMM" localSheetId="0">'[26]Net-Sell'!#REF!</definedName>
    <definedName name="MMM">'[26]Net-Sell'!#REF!</definedName>
    <definedName name="mn" localSheetId="0">'[20]BILL 1'!#REF!</definedName>
    <definedName name="mn">'[20]BILL 1'!#REF!</definedName>
    <definedName name="mo" localSheetId="0">OFFSET('2026 DAILY TRANSACTIONS'!PartIDList,0,0,,2)</definedName>
    <definedName name="mo">OFFSET(PartIDList,0,0,,2)</definedName>
    <definedName name="MOC" localSheetId="0">#REF!</definedName>
    <definedName name="MOC">#REF!</definedName>
    <definedName name="mOther" localSheetId="0">#REF!</definedName>
    <definedName name="mOther">#REF!</definedName>
    <definedName name="mp" localSheetId="0">#REF!</definedName>
    <definedName name="mp">#REF!</definedName>
    <definedName name="mPA" localSheetId="0">#REF!</definedName>
    <definedName name="mPA">#REF!</definedName>
    <definedName name="mPaneL" localSheetId="0">#REF!</definedName>
    <definedName name="mPaneL">#REF!</definedName>
    <definedName name="mPlumB" localSheetId="0">#REF!</definedName>
    <definedName name="mPlumB">#REF!</definedName>
    <definedName name="MQ" localSheetId="0">#REF!</definedName>
    <definedName name="MQ">#REF!</definedName>
    <definedName name="mq0" localSheetId="0">#REF!</definedName>
    <definedName name="mq0">#REF!</definedName>
    <definedName name="MQTY">'[49]BOQ-E(spi)(x)'!$AA$6</definedName>
    <definedName name="MqtY1" localSheetId="0">#REF!</definedName>
    <definedName name="MqtY1">#REF!</definedName>
    <definedName name="MqtY2" localSheetId="0">#REF!</definedName>
    <definedName name="MqtY2">#REF!</definedName>
    <definedName name="mrk" localSheetId="0">#REF!</definedName>
    <definedName name="mrk">#REF!</definedName>
    <definedName name="MSC" localSheetId="0">#REF!</definedName>
    <definedName name="MSC">#REF!</definedName>
    <definedName name="MTE" localSheetId="0">[23]LIBRARY!#REF!</definedName>
    <definedName name="MTE">[23]LIBRARY!#REF!</definedName>
    <definedName name="mTeL" localSheetId="0">#REF!</definedName>
    <definedName name="mTeL">#REF!</definedName>
    <definedName name="MTEL2" localSheetId="0">#REF!</definedName>
    <definedName name="MTEL2">#REF!</definedName>
    <definedName name="MVRJ" localSheetId="0">#REF!</definedName>
    <definedName name="MVRJ">#REF!</definedName>
    <definedName name="mw" localSheetId="0">#REF!</definedName>
    <definedName name="mw">#REF!</definedName>
    <definedName name="mWirE" localSheetId="0">#REF!</definedName>
    <definedName name="mWirE">#REF!</definedName>
    <definedName name="MXFMR" localSheetId="0">#REF!</definedName>
    <definedName name="MXFMR">#REF!</definedName>
    <definedName name="N" localSheetId="0">#REF!</definedName>
    <definedName name="N">#REF!</definedName>
    <definedName name="NAMES">#N/A</definedName>
    <definedName name="net_sum1" localSheetId="0">[42]Sheet3!#REF!</definedName>
    <definedName name="net_sum1">[42]Sheet3!#REF!</definedName>
    <definedName name="net_sum2" localSheetId="0">[42]Sheet2!#REF!</definedName>
    <definedName name="net_sum2">[42]Sheet2!#REF!</definedName>
    <definedName name="NEW_PEDESTRIAN_OVERHEAD_BRIDGE" localSheetId="0">#REF!</definedName>
    <definedName name="NEW_PEDESTRIAN_OVERHEAD_BRIDGE">#REF!</definedName>
    <definedName name="NEWROW1">#N/A</definedName>
    <definedName name="NEWROW3">#N/A</definedName>
    <definedName name="NEWROW4">#N/A</definedName>
    <definedName name="noc" localSheetId="0">#REF!</definedName>
    <definedName name="noc">#REF!</definedName>
    <definedName name="NUMBER" localSheetId="0">#REF!</definedName>
    <definedName name="NUMBER">#REF!</definedName>
    <definedName name="O" localSheetId="0">#REF!</definedName>
    <definedName name="O">#REF!</definedName>
    <definedName name="OCM" localSheetId="0">#REF!</definedName>
    <definedName name="OCM">#REF!</definedName>
    <definedName name="OFFSITE_51">#N/A</definedName>
    <definedName name="OFFSITE_54" localSheetId="0">#REF!</definedName>
    <definedName name="OFFSITE_54">#REF!</definedName>
    <definedName name="OFFSITE_55" localSheetId="0">#REF!</definedName>
    <definedName name="OFFSITE_55">#REF!</definedName>
    <definedName name="OH" localSheetId="0">#REF!</definedName>
    <definedName name="OH">#REF!</definedName>
    <definedName name="OL" localSheetId="0">#REF!</definedName>
    <definedName name="OL">#REF!</definedName>
    <definedName name="oooha" localSheetId="0">#REF!</definedName>
    <definedName name="oooha">#REF!</definedName>
    <definedName name="OPO">[50]細目!$K$176</definedName>
    <definedName name="oxygen">[22]Source!$L$56</definedName>
    <definedName name="P" localSheetId="0">#REF!</definedName>
    <definedName name="P">#REF!</definedName>
    <definedName name="P_PRINT" localSheetId="0">#REF!</definedName>
    <definedName name="P_PRINT">#REF!</definedName>
    <definedName name="pads" localSheetId="0">[21]Inputs!#REF!</definedName>
    <definedName name="pads">[21]Inputs!#REF!</definedName>
    <definedName name="PAGE01" localSheetId="0">#REF!</definedName>
    <definedName name="PAGE01">#REF!</definedName>
    <definedName name="PAGE02" localSheetId="0">#REF!</definedName>
    <definedName name="PAGE02">#REF!</definedName>
    <definedName name="PAGE03" localSheetId="0">#REF!</definedName>
    <definedName name="PAGE03">#REF!</definedName>
    <definedName name="PAGE04" localSheetId="0">#REF!</definedName>
    <definedName name="PAGE04">#REF!</definedName>
    <definedName name="PAGE05" localSheetId="0">#REF!</definedName>
    <definedName name="PAGE05">#REF!</definedName>
    <definedName name="PAGE06" localSheetId="0">#REF!</definedName>
    <definedName name="PAGE06">#REF!</definedName>
    <definedName name="PAGE07" localSheetId="0">#REF!</definedName>
    <definedName name="PAGE07">#REF!</definedName>
    <definedName name="PAGE08" localSheetId="0">#REF!</definedName>
    <definedName name="PAGE08">#REF!</definedName>
    <definedName name="PAGE09" localSheetId="0">#REF!</definedName>
    <definedName name="PAGE09">#REF!</definedName>
    <definedName name="page1" localSheetId="0">#REF!</definedName>
    <definedName name="page1">#REF!</definedName>
    <definedName name="PAGE10" localSheetId="0">#REF!</definedName>
    <definedName name="PAGE10">#REF!</definedName>
    <definedName name="PAGE100" localSheetId="0">#REF!</definedName>
    <definedName name="PAGE100">#REF!</definedName>
    <definedName name="PAGE101" localSheetId="0">#REF!</definedName>
    <definedName name="PAGE101">#REF!</definedName>
    <definedName name="PAGE102_MainCollection" localSheetId="0">#REF!</definedName>
    <definedName name="PAGE102_MainCollection">#REF!</definedName>
    <definedName name="PAGE103" localSheetId="0">#REF!</definedName>
    <definedName name="PAGE103">#REF!</definedName>
    <definedName name="PAGE104" localSheetId="0">#REF!</definedName>
    <definedName name="PAGE104">#REF!</definedName>
    <definedName name="PAGE105" localSheetId="0">#REF!</definedName>
    <definedName name="PAGE105">#REF!</definedName>
    <definedName name="PAGE106" localSheetId="0">#REF!</definedName>
    <definedName name="PAGE106">#REF!</definedName>
    <definedName name="PAGE107" localSheetId="0">#REF!</definedName>
    <definedName name="PAGE107">#REF!</definedName>
    <definedName name="PAGE108" localSheetId="0">#REF!</definedName>
    <definedName name="PAGE108">#REF!</definedName>
    <definedName name="PAGE109" localSheetId="0">#REF!</definedName>
    <definedName name="PAGE109">#REF!</definedName>
    <definedName name="PAGE11" localSheetId="0">#REF!</definedName>
    <definedName name="PAGE11">#REF!</definedName>
    <definedName name="PAGE110_MainCollection" localSheetId="0">#REF!</definedName>
    <definedName name="PAGE110_MainCollection">#REF!</definedName>
    <definedName name="PAGE111_BILL39_SummaryOfTenders" localSheetId="0">#REF!</definedName>
    <definedName name="PAGE111_BILL39_SummaryOfTenders">#REF!</definedName>
    <definedName name="PAGE12" localSheetId="0">#REF!</definedName>
    <definedName name="PAGE12">#REF!</definedName>
    <definedName name="PAGE13" localSheetId="0">#REF!</definedName>
    <definedName name="PAGE13">#REF!</definedName>
    <definedName name="PAGE14" localSheetId="0">#REF!</definedName>
    <definedName name="PAGE14">#REF!</definedName>
    <definedName name="PAGE15" localSheetId="0">#REF!</definedName>
    <definedName name="PAGE15">#REF!</definedName>
    <definedName name="PAGE16_MainCollection" localSheetId="0">#REF!</definedName>
    <definedName name="PAGE16_MainCollection">#REF!</definedName>
    <definedName name="PAGE17" localSheetId="0">#REF!</definedName>
    <definedName name="PAGE17">#REF!</definedName>
    <definedName name="PAGE18" localSheetId="0">#REF!</definedName>
    <definedName name="PAGE18">#REF!</definedName>
    <definedName name="PAGE19" localSheetId="0">#REF!</definedName>
    <definedName name="PAGE19">#REF!</definedName>
    <definedName name="PAGE20" localSheetId="0">#REF!</definedName>
    <definedName name="PAGE20">#REF!</definedName>
    <definedName name="PAGE21" localSheetId="0">#REF!</definedName>
    <definedName name="PAGE21">#REF!</definedName>
    <definedName name="PAGE22" localSheetId="0">#REF!</definedName>
    <definedName name="PAGE22">#REF!</definedName>
    <definedName name="PAGE23" localSheetId="0">#REF!</definedName>
    <definedName name="PAGE23">#REF!</definedName>
    <definedName name="PAGE24" localSheetId="0">#REF!</definedName>
    <definedName name="PAGE24">#REF!</definedName>
    <definedName name="PAGE25" localSheetId="0">#REF!</definedName>
    <definedName name="PAGE25">#REF!</definedName>
    <definedName name="PAGE26" localSheetId="0">#REF!</definedName>
    <definedName name="PAGE26">#REF!</definedName>
    <definedName name="PAGE27" localSheetId="0">#REF!</definedName>
    <definedName name="PAGE27">#REF!</definedName>
    <definedName name="PAGE28" localSheetId="0">#REF!</definedName>
    <definedName name="PAGE28">#REF!</definedName>
    <definedName name="PAGE29" localSheetId="0">#REF!</definedName>
    <definedName name="PAGE29">#REF!</definedName>
    <definedName name="PAGE30" localSheetId="0">#REF!</definedName>
    <definedName name="PAGE30">#REF!</definedName>
    <definedName name="PAGE31_MainCollection" localSheetId="0">#REF!</definedName>
    <definedName name="PAGE31_MainCollection">#REF!</definedName>
    <definedName name="PAGE32" localSheetId="0">#REF!</definedName>
    <definedName name="PAGE32">#REF!</definedName>
    <definedName name="PAGE33" localSheetId="0">#REF!</definedName>
    <definedName name="PAGE33">#REF!</definedName>
    <definedName name="PAGE34" localSheetId="0">#REF!</definedName>
    <definedName name="PAGE34">#REF!</definedName>
    <definedName name="PAGE35" localSheetId="0">#REF!</definedName>
    <definedName name="PAGE35">#REF!</definedName>
    <definedName name="PAGE36" localSheetId="0">#REF!</definedName>
    <definedName name="PAGE36">#REF!</definedName>
    <definedName name="PAGE37" localSheetId="0">#REF!</definedName>
    <definedName name="PAGE37">#REF!</definedName>
    <definedName name="PAGE38" localSheetId="0">#REF!</definedName>
    <definedName name="PAGE38">#REF!</definedName>
    <definedName name="PAGE39" localSheetId="0">#REF!</definedName>
    <definedName name="PAGE39">#REF!</definedName>
    <definedName name="PAGE40" localSheetId="0">#REF!</definedName>
    <definedName name="PAGE40">#REF!</definedName>
    <definedName name="PAGE41" localSheetId="0">#REF!</definedName>
    <definedName name="PAGE41">#REF!</definedName>
    <definedName name="PAGE42" localSheetId="0">#REF!</definedName>
    <definedName name="PAGE42">#REF!</definedName>
    <definedName name="PAGE43" localSheetId="0">#REF!</definedName>
    <definedName name="PAGE43">#REF!</definedName>
    <definedName name="PAGE44" localSheetId="0">#REF!</definedName>
    <definedName name="PAGE44">#REF!</definedName>
    <definedName name="PAGE45" localSheetId="0">#REF!</definedName>
    <definedName name="PAGE45">#REF!</definedName>
    <definedName name="PAGE46_MainCollection" localSheetId="0">#REF!</definedName>
    <definedName name="PAGE46_MainCollection">#REF!</definedName>
    <definedName name="PAGE47" localSheetId="0">#REF!</definedName>
    <definedName name="PAGE47">#REF!</definedName>
    <definedName name="PAGE48" localSheetId="0">#REF!</definedName>
    <definedName name="PAGE48">#REF!</definedName>
    <definedName name="PAGE49" localSheetId="0">#REF!</definedName>
    <definedName name="PAGE49">#REF!</definedName>
    <definedName name="PAGE50" localSheetId="0">#REF!</definedName>
    <definedName name="PAGE50">#REF!</definedName>
    <definedName name="PAGE51" localSheetId="0">#REF!</definedName>
    <definedName name="PAGE51">#REF!</definedName>
    <definedName name="PAGE52" localSheetId="0">#REF!</definedName>
    <definedName name="PAGE52">#REF!</definedName>
    <definedName name="PAGE53" localSheetId="0">#REF!</definedName>
    <definedName name="PAGE53">#REF!</definedName>
    <definedName name="PAGE54_MainCollection" localSheetId="0">#REF!</definedName>
    <definedName name="PAGE54_MainCollection">#REF!</definedName>
    <definedName name="PAGE55" localSheetId="0">#REF!</definedName>
    <definedName name="PAGE55">#REF!</definedName>
    <definedName name="PAGE56" localSheetId="0">#REF!</definedName>
    <definedName name="PAGE56">#REF!</definedName>
    <definedName name="PAGE57" localSheetId="0">#REF!</definedName>
    <definedName name="PAGE57">#REF!</definedName>
    <definedName name="PAGE58" localSheetId="0">#REF!</definedName>
    <definedName name="PAGE58">#REF!</definedName>
    <definedName name="PAGE59" localSheetId="0">#REF!</definedName>
    <definedName name="PAGE59">#REF!</definedName>
    <definedName name="PAGE60" localSheetId="0">#REF!</definedName>
    <definedName name="PAGE60">#REF!</definedName>
    <definedName name="PAGE61_MainCollection" localSheetId="0">#REF!</definedName>
    <definedName name="PAGE61_MainCollection">#REF!</definedName>
    <definedName name="PAGE62" localSheetId="0">#REF!</definedName>
    <definedName name="PAGE62">#REF!</definedName>
    <definedName name="PAGE63" localSheetId="0">#REF!</definedName>
    <definedName name="PAGE63">#REF!</definedName>
    <definedName name="PAGE64" localSheetId="0">#REF!</definedName>
    <definedName name="PAGE64">#REF!</definedName>
    <definedName name="PAGE65" localSheetId="0">#REF!</definedName>
    <definedName name="PAGE65">#REF!</definedName>
    <definedName name="PAGE66_MainCollection" localSheetId="0">#REF!</definedName>
    <definedName name="PAGE66_MainCollection">#REF!</definedName>
    <definedName name="PAGE67" localSheetId="0">#REF!</definedName>
    <definedName name="PAGE67">#REF!</definedName>
    <definedName name="PAGE68" localSheetId="0">#REF!</definedName>
    <definedName name="PAGE68">#REF!</definedName>
    <definedName name="PAGE69" localSheetId="0">#REF!</definedName>
    <definedName name="PAGE69">#REF!</definedName>
    <definedName name="PAGE70" localSheetId="0">#REF!</definedName>
    <definedName name="PAGE70">#REF!</definedName>
    <definedName name="PAGE71" localSheetId="0">#REF!</definedName>
    <definedName name="PAGE71">#REF!</definedName>
    <definedName name="PAGE72" localSheetId="0">#REF!</definedName>
    <definedName name="PAGE72">#REF!</definedName>
    <definedName name="PAGE73" localSheetId="0">#REF!</definedName>
    <definedName name="PAGE73">#REF!</definedName>
    <definedName name="PAGE74" localSheetId="0">#REF!</definedName>
    <definedName name="PAGE74">#REF!</definedName>
    <definedName name="PAGE75" localSheetId="0">#REF!</definedName>
    <definedName name="PAGE75">#REF!</definedName>
    <definedName name="PAGE76" localSheetId="0">#REF!</definedName>
    <definedName name="PAGE76">#REF!</definedName>
    <definedName name="PAGE77" localSheetId="0">#REF!</definedName>
    <definedName name="PAGE77">#REF!</definedName>
    <definedName name="PAGE78_MainCollection" localSheetId="0">#REF!</definedName>
    <definedName name="PAGE78_MainCollection">#REF!</definedName>
    <definedName name="PAGE79" localSheetId="0">#REF!</definedName>
    <definedName name="PAGE79">#REF!</definedName>
    <definedName name="PAGE80" localSheetId="0">#REF!</definedName>
    <definedName name="PAGE80">#REF!</definedName>
    <definedName name="PAGE81" localSheetId="0">#REF!</definedName>
    <definedName name="PAGE81">#REF!</definedName>
    <definedName name="PAGE82" localSheetId="0">#REF!</definedName>
    <definedName name="PAGE82">#REF!</definedName>
    <definedName name="PAGE83" localSheetId="0">#REF!</definedName>
    <definedName name="PAGE83">#REF!</definedName>
    <definedName name="PAGE84" localSheetId="0">#REF!</definedName>
    <definedName name="PAGE84">#REF!</definedName>
    <definedName name="PAGE85" localSheetId="0">#REF!</definedName>
    <definedName name="PAGE85">#REF!</definedName>
    <definedName name="PAGE86_MainCollection" localSheetId="0">#REF!</definedName>
    <definedName name="PAGE86_MainCollection">#REF!</definedName>
    <definedName name="PAGE87" localSheetId="0">#REF!</definedName>
    <definedName name="PAGE87">#REF!</definedName>
    <definedName name="PAGE88" localSheetId="0">#REF!</definedName>
    <definedName name="PAGE88">#REF!</definedName>
    <definedName name="PAGE89" localSheetId="0">#REF!</definedName>
    <definedName name="PAGE89">#REF!</definedName>
    <definedName name="PAGE90" localSheetId="0">#REF!</definedName>
    <definedName name="PAGE90">#REF!</definedName>
    <definedName name="PAGE91" localSheetId="0">#REF!</definedName>
    <definedName name="PAGE91">#REF!</definedName>
    <definedName name="PAGE92" localSheetId="0">#REF!</definedName>
    <definedName name="PAGE92">#REF!</definedName>
    <definedName name="PAGE93" localSheetId="0">#REF!</definedName>
    <definedName name="PAGE93">#REF!</definedName>
    <definedName name="PAGE94_MainCollection" localSheetId="0">#REF!</definedName>
    <definedName name="PAGE94_MainCollection">#REF!</definedName>
    <definedName name="PAGE95" localSheetId="0">#REF!</definedName>
    <definedName name="PAGE95">#REF!</definedName>
    <definedName name="PAGE96" localSheetId="0">#REF!</definedName>
    <definedName name="PAGE96">#REF!</definedName>
    <definedName name="PAGE97" localSheetId="0">#REF!</definedName>
    <definedName name="PAGE97">#REF!</definedName>
    <definedName name="PAGE98" localSheetId="0">#REF!</definedName>
    <definedName name="PAGE98">#REF!</definedName>
    <definedName name="PAGE99" localSheetId="0">#REF!</definedName>
    <definedName name="PAGE99">#REF!</definedName>
    <definedName name="Painting" localSheetId="0">#REF!</definedName>
    <definedName name="Painting">#REF!</definedName>
    <definedName name="PANELF" localSheetId="0">#REF!</definedName>
    <definedName name="PANELF">#REF!</definedName>
    <definedName name="PANELF_1" localSheetId="0">#REF!</definedName>
    <definedName name="PANELF_1">#REF!</definedName>
    <definedName name="PANELL" localSheetId="0">#REF!</definedName>
    <definedName name="PANELL">#REF!</definedName>
    <definedName name="PANELL_1" localSheetId="0">#REF!</definedName>
    <definedName name="PANELL_1">#REF!</definedName>
    <definedName name="PAR_CIVIL">#N/A</definedName>
    <definedName name="PAR_ELECT">#N/A</definedName>
    <definedName name="PAR_MECH">#N/A</definedName>
    <definedName name="PartIDList" localSheetId="0">OFFSET(#REF!,0,0,COUNTA(#REF!)-1,1)</definedName>
    <definedName name="PartIDList">OFFSET(#REF!,0,0,COUNTA(#REF!)-1,1)</definedName>
    <definedName name="PartsDatabase" localSheetId="0">OFFSET([51]Breakdown!#REF!,0,0,COUNTA([51]Breakdown!#REF!),COUNTA([51]Breakdown!$A$1:$IV$1))</definedName>
    <definedName name="PartsDatabase">OFFSET([51]Breakdown!#REF!,0,0,COUNTA([51]Breakdown!#REF!),COUNTA([51]Breakdown!$A$1:$IV$1))</definedName>
    <definedName name="PartsLookdown" localSheetId="0">OFFSET('2026 DAILY TRANSACTIONS'!PartIDList,0,0,,2)</definedName>
    <definedName name="PartsLookdown">OFFSET(PartIDList,0,0,,2)</definedName>
    <definedName name="PartsLookdown_1" localSheetId="0">OFFSET('2026 DAILY TRANSACTIONS'!PartIDList,0,0,,2)</definedName>
    <definedName name="PartsLookdown_1">OFFSET(PartIDList,0,0,,2)</definedName>
    <definedName name="PartsLookup" localSheetId="0">OFFSET('2026 DAILY TRANSACTIONS'!PartIDList,0,0,,2)</definedName>
    <definedName name="PartsLookup">OFFSET(PartIDList,0,0,,2)</definedName>
    <definedName name="PartsLookup_1" localSheetId="0">OFFSET('2026 DAILY TRANSACTIONS'!PartIDList,0,0,,2)</definedName>
    <definedName name="PartsLookup_1">OFFSET(PartIDList,0,0,,2)</definedName>
    <definedName name="PAY">#N/A</definedName>
    <definedName name="PAYCRIT">#N/A</definedName>
    <definedName name="PAYITEM">#N/A</definedName>
    <definedName name="payloader" localSheetId="0">#REF!</definedName>
    <definedName name="payloader">#REF!</definedName>
    <definedName name="PC" localSheetId="0">[23]LIBRARY!#REF!</definedName>
    <definedName name="PC">[23]LIBRARY!#REF!</definedName>
    <definedName name="PCCP" localSheetId="0">[23]LIBRARY!#REF!</definedName>
    <definedName name="PCCP">[23]LIBRARY!#REF!</definedName>
    <definedName name="Pcement">[11]Source!$J$4</definedName>
    <definedName name="PEJF" localSheetId="0">#REF!</definedName>
    <definedName name="PEJF">#REF!</definedName>
    <definedName name="PercentComplete" localSheetId="0">'2026 DAILY TRANSACTIONS'!PercentCompleteBeyond*'2026 DAILY TRANSACTIONS'!PeriodInPlan</definedName>
    <definedName name="PercentComplete">PercentCompleteBeyond*PeriodInPlan</definedName>
    <definedName name="PercentCompleteBeyond" localSheetId="0">(#REF!=MEDIAN(#REF!,#REF!,#REF!+#REF!)*(#REF!&gt;0))*((#REF!&lt;(INT(#REF!+#REF!*#REF!)))+(#REF!=#REF!))*(#REF!&gt;0)</definedName>
    <definedName name="PercentCompleteBeyond">(#REF!=MEDIAN(#REF!,#REF!,#REF!+#REF!)*(#REF!&gt;0))*((#REF!&lt;(INT(#REF!+#REF!*#REF!)))+(#REF!=#REF!))*(#REF!&gt;0)</definedName>
    <definedName name="period_selected" localSheetId="0">#REF!</definedName>
    <definedName name="period_selected">#REF!</definedName>
    <definedName name="PeriodInActual" localSheetId="0">#REF!=MEDIAN(#REF!,#REF!,#REF!+#REF!-1)</definedName>
    <definedName name="PeriodInActual">#REF!=MEDIAN(#REF!,#REF!,#REF!+#REF!-1)</definedName>
    <definedName name="PeriodInPlan" localSheetId="0">#REF!=MEDIAN(#REF!,#REF!,#REF!+#REF!-1)</definedName>
    <definedName name="PeriodInPlan">#REF!=MEDIAN(#REF!,#REF!,#REF!+#REF!-1)</definedName>
    <definedName name="Peso" localSheetId="0">[21]Inputs!#REF!</definedName>
    <definedName name="Peso">[21]Inputs!#REF!</definedName>
    <definedName name="PHammer">[10]Source!$B$16</definedName>
    <definedName name="Phase">[35]Lists!$G$2:$G$7</definedName>
    <definedName name="Pile_Shoe">[11]Source!$J$35</definedName>
    <definedName name="pilehammer" localSheetId="0">#REF!</definedName>
    <definedName name="pilehammer">#REF!</definedName>
    <definedName name="Piling" localSheetId="0">#REF!</definedName>
    <definedName name="Piling">#REF!</definedName>
    <definedName name="Piling_1m" localSheetId="0">#REF!</definedName>
    <definedName name="Piling_1m">#REF!</definedName>
    <definedName name="pipe_inside_dia" localSheetId="0">#REF!</definedName>
    <definedName name="pipe_inside_dia">#REF!</definedName>
    <definedName name="pipe_outside_dia" localSheetId="0">#REF!</definedName>
    <definedName name="pipe_outside_dia">#REF!</definedName>
    <definedName name="pipe_painting_area" localSheetId="0">#REF!</definedName>
    <definedName name="pipe_painting_area">#REF!</definedName>
    <definedName name="pipe_wall_thickness" localSheetId="0">#REF!</definedName>
    <definedName name="pipe_wall_thickness">#REF!</definedName>
    <definedName name="PIPE50_HRS" localSheetId="0">#REF!</definedName>
    <definedName name="PIPE50_HRS">#REF!</definedName>
    <definedName name="PIPE50_LAB" localSheetId="0">#REF!</definedName>
    <definedName name="PIPE50_LAB">#REF!</definedName>
    <definedName name="PIPE50_MAT" localSheetId="0">#REF!</definedName>
    <definedName name="PIPE50_MAT">#REF!</definedName>
    <definedName name="PIPE50_PROD">#N/A</definedName>
    <definedName name="PIPE50_S_C" localSheetId="0">#REF!</definedName>
    <definedName name="PIPE50_S_C">#REF!</definedName>
    <definedName name="PIPE50_SC" localSheetId="0">#REF!</definedName>
    <definedName name="PIPE50_SC">#REF!</definedName>
    <definedName name="PIPE50_TOT" localSheetId="0">#REF!</definedName>
    <definedName name="PIPE50_TOT">#REF!</definedName>
    <definedName name="PIPE51_QTY">#N/A</definedName>
    <definedName name="PIPE54_QTY" localSheetId="0">#REF!</definedName>
    <definedName name="PIPE54_QTY">#REF!</definedName>
    <definedName name="PIPE55_QTY" localSheetId="0">#REF!</definedName>
    <definedName name="PIPE55_QTY">#REF!</definedName>
    <definedName name="pipes" localSheetId="0">#REF!</definedName>
    <definedName name="pipes">#REF!</definedName>
    <definedName name="PL" localSheetId="0">#REF!</definedName>
    <definedName name="PL">#REF!</definedName>
    <definedName name="placefill" localSheetId="0">[21]Inputs!#REF!</definedName>
    <definedName name="placefill">[21]Inputs!#REF!</definedName>
    <definedName name="Plan" localSheetId="0">'2026 DAILY TRANSACTIONS'!PeriodInPlan*(#REF!&gt;0)</definedName>
    <definedName name="Plan">PeriodInPlan*(#REF!&gt;0)</definedName>
    <definedName name="PlateCompactor">'[43]bid price schedule'!$G$171</definedName>
    <definedName name="Platform_Fitout" localSheetId="0">#REF!</definedName>
    <definedName name="Platform_Fitout">#REF!</definedName>
    <definedName name="Plumbing" localSheetId="0">#REF!</definedName>
    <definedName name="Plumbing">#REF!</definedName>
    <definedName name="Plywood12">[10]Source!$J$32</definedName>
    <definedName name="Plywood14">[11]Source!$J$11</definedName>
    <definedName name="pmark" localSheetId="0">#REF!</definedName>
    <definedName name="pmark">#REF!</definedName>
    <definedName name="popo" localSheetId="0" hidden="1">[52]electrical!#REF!</definedName>
    <definedName name="popo" hidden="1">[52]electrical!#REF!</definedName>
    <definedName name="popo1" localSheetId="0">#REF!</definedName>
    <definedName name="popo1">#REF!</definedName>
    <definedName name="Portland_Cement">[11]Source!$J$4</definedName>
    <definedName name="pp" localSheetId="0">#REF!</definedName>
    <definedName name="pp">#REF!</definedName>
    <definedName name="PPH_MULT">#N/A</definedName>
    <definedName name="PPP">[50]細目!$G$176</definedName>
    <definedName name="pppp" localSheetId="0">#REF!</definedName>
    <definedName name="pppp">#REF!</definedName>
    <definedName name="pr_Prelims" localSheetId="0">#REF!</definedName>
    <definedName name="pr_Prelims">#REF!</definedName>
    <definedName name="pre" localSheetId="0">#REF!</definedName>
    <definedName name="pre">#REF!</definedName>
    <definedName name="precast_prestressed_concrete_piles" localSheetId="0">#REF!</definedName>
    <definedName name="precast_prestressed_concrete_piles">#REF!</definedName>
    <definedName name="precast_prestressed_concrete_piles_450x_450" localSheetId="0">#REF!</definedName>
    <definedName name="precast_prestressed_concrete_piles_450x_450">#REF!</definedName>
    <definedName name="Prev_cert1" localSheetId="0">[42]Sheet3!#REF!</definedName>
    <definedName name="Prev_cert1">[42]Sheet3!#REF!</definedName>
    <definedName name="Prev_cert2" localSheetId="0">[42]Sheet2!#REF!</definedName>
    <definedName name="Prev_cert2">[42]Sheet2!#REF!</definedName>
    <definedName name="PREVIOUS">#N/A</definedName>
    <definedName name="Price" localSheetId="0">#REF!</definedName>
    <definedName name="Price">#REF!</definedName>
    <definedName name="_xlnm.Print_Area">#REF!</definedName>
    <definedName name="PRINT_AREA_MI" localSheetId="0">#REF!</definedName>
    <definedName name="PRINT_AREA_MI">#REF!</definedName>
    <definedName name="PRINT_LST">#N/A</definedName>
    <definedName name="_xlnm.Print_Titles">#N/A</definedName>
    <definedName name="PRINT_TITLES_MI" localSheetId="0">#REF!</definedName>
    <definedName name="PRINT_TITLES_MI">#REF!</definedName>
    <definedName name="PROFIT" localSheetId="0">#REF!</definedName>
    <definedName name="PROFIT">#REF!</definedName>
    <definedName name="progress" localSheetId="0">#REF!</definedName>
    <definedName name="progress">#REF!</definedName>
    <definedName name="Project_Eng" localSheetId="0">#REF!</definedName>
    <definedName name="Project_Eng">#REF!</definedName>
    <definedName name="projeng" localSheetId="0">#REF!</definedName>
    <definedName name="projeng">#REF!</definedName>
    <definedName name="PSCG_25meters" localSheetId="0">#REF!</definedName>
    <definedName name="PSCG_25meters">#REF!</definedName>
    <definedName name="PSCG_30meters" localSheetId="0">#REF!</definedName>
    <definedName name="PSCG_30meters">#REF!</definedName>
    <definedName name="PSCG_40meters" localSheetId="0">#REF!</definedName>
    <definedName name="PSCG_40meters">#REF!</definedName>
    <definedName name="PSCG_TYPE_IV_B_20meters" localSheetId="0">#REF!</definedName>
    <definedName name="PSCG_TYPE_IV_B_20meters">#REF!</definedName>
    <definedName name="puyet" localSheetId="0">#REF!</definedName>
    <definedName name="puyet">#REF!</definedName>
    <definedName name="Q" localSheetId="0">OFFSET('2026 DAILY TRANSACTIONS'!PartIDList,0,0,,2)</definedName>
    <definedName name="Q">OFFSET(PartIDList,0,0,,2)</definedName>
    <definedName name="QQQ" localSheetId="0">'[26]Net-Sell'!#REF!</definedName>
    <definedName name="QQQ">'[26]Net-Sell'!#REF!</definedName>
    <definedName name="QUALIFICATIONS" localSheetId="0">#REF!</definedName>
    <definedName name="QUALIFICATIONS">#REF!</definedName>
    <definedName name="quo" localSheetId="0">#REF!</definedName>
    <definedName name="quo">#REF!</definedName>
    <definedName name="RANGE_NAME">#N/A</definedName>
    <definedName name="RANGE_NAMES">#N/A</definedName>
    <definedName name="RCPC_72__Ø" localSheetId="0">#REF!</definedName>
    <definedName name="RCPC_72__Ø">#REF!</definedName>
    <definedName name="RECONCILIATION" localSheetId="0">#REF!</definedName>
    <definedName name="RECONCILIATION">#REF!</definedName>
    <definedName name="Reinforced_concrete" localSheetId="0">#REF!</definedName>
    <definedName name="Reinforced_concrete">#REF!</definedName>
    <definedName name="Reinforcing_Steel_bars">[11]Source!$J$41</definedName>
    <definedName name="Reinforcing_Steel_bars_grade_40">[10]Source!$J$41</definedName>
    <definedName name="Reinforcing_Steel_bars_grade_60">[11]Source!$J$42</definedName>
    <definedName name="Relocation">[53]PID!$A$1:$E$65536,[53]PID!$A$2:$IV$7</definedName>
    <definedName name="Retention1" localSheetId="0">[42]Sheet3!#REF!</definedName>
    <definedName name="Retention1">[42]Sheet3!#REF!</definedName>
    <definedName name="Retention2" localSheetId="0">[42]Sheet2!#REF!</definedName>
    <definedName name="Retention2">[42]Sheet2!#REF!</definedName>
    <definedName name="rfg" localSheetId="0">#REF!</definedName>
    <definedName name="rfg">#REF!</definedName>
    <definedName name="rfq" localSheetId="0" hidden="1">#REF!</definedName>
    <definedName name="rfq" hidden="1">#REF!</definedName>
    <definedName name="RGrader">[54]Source!$B$5</definedName>
    <definedName name="RH" localSheetId="0">#REF!</definedName>
    <definedName name="RH">#REF!</definedName>
    <definedName name="Riggerman" localSheetId="0">#REF!</definedName>
    <definedName name="Riggerman">#REF!</definedName>
    <definedName name="RJS" localSheetId="0">#REF!</definedName>
    <definedName name="RJS">#REF!</definedName>
    <definedName name="RMC_Class_A_4000_psi" localSheetId="0">#REF!</definedName>
    <definedName name="RMC_Class_A_4000_psi">#REF!</definedName>
    <definedName name="road" localSheetId="0">[21]Inputs!#REF!</definedName>
    <definedName name="road">[21]Inputs!#REF!</definedName>
    <definedName name="roadbase" localSheetId="0">[21]Inputs!#REF!</definedName>
    <definedName name="roadbase">[21]Inputs!#REF!</definedName>
    <definedName name="Roads" localSheetId="0">#REF!</definedName>
    <definedName name="Roads">#REF!</definedName>
    <definedName name="Rotary_Drill_Rig_with_accessories" localSheetId="0">#REF!</definedName>
    <definedName name="Rotary_Drill_Rig_with_accessories">#REF!</definedName>
    <definedName name="rotarydrillrig" localSheetId="0">#REF!</definedName>
    <definedName name="rotarydrillrig">#REF!</definedName>
    <definedName name="row" localSheetId="0">[55]SAL!#REF!</definedName>
    <definedName name="row">[55]SAL!#REF!</definedName>
    <definedName name="RRoller">[54]Source!$B$6</definedName>
    <definedName name="RRR" localSheetId="0">[56]SAL!#REF!</definedName>
    <definedName name="RRR">[56]SAL!#REF!</definedName>
    <definedName name="rrtr">[57]Source!$G$29</definedName>
    <definedName name="rsb" localSheetId="0">'[19]BILL 1'!#REF!</definedName>
    <definedName name="rsb">'[19]BILL 1'!#REF!</definedName>
    <definedName name="RSB10x6" localSheetId="0">#REF!</definedName>
    <definedName name="RSB10x6">#REF!</definedName>
    <definedName name="RSB10x9" localSheetId="0">#REF!</definedName>
    <definedName name="RSB10x9">#REF!</definedName>
    <definedName name="RSB12x6" localSheetId="0">#REF!</definedName>
    <definedName name="RSB12x6">#REF!</definedName>
    <definedName name="RSB12x9" localSheetId="0">#REF!</definedName>
    <definedName name="RSB12x9">#REF!</definedName>
    <definedName name="RSB16x6" localSheetId="0">#REF!</definedName>
    <definedName name="RSB16x6">#REF!</definedName>
    <definedName name="RSB16x9" localSheetId="0">#REF!</definedName>
    <definedName name="RSB16x9">#REF!</definedName>
    <definedName name="RSB20x6" localSheetId="0">#REF!</definedName>
    <definedName name="RSB20x6">#REF!</definedName>
    <definedName name="RSB20x9" localSheetId="0">#REF!</definedName>
    <definedName name="RSB20x9">#REF!</definedName>
    <definedName name="RSB25x6" localSheetId="0">#REF!</definedName>
    <definedName name="RSB25x6">#REF!</definedName>
    <definedName name="RSB25x9" localSheetId="0">#REF!</definedName>
    <definedName name="RSB25x9">#REF!</definedName>
    <definedName name="RSB28x6" localSheetId="0">#REF!</definedName>
    <definedName name="RSB28x6">#REF!</definedName>
    <definedName name="RSB28x9" localSheetId="0">#REF!</definedName>
    <definedName name="RSB28x9">#REF!</definedName>
    <definedName name="RSB32x6" localSheetId="0">#REF!</definedName>
    <definedName name="RSB32x6">#REF!</definedName>
    <definedName name="RSB32x9" localSheetId="0">#REF!</definedName>
    <definedName name="RSB32x9">#REF!</definedName>
    <definedName name="RSB36x6" localSheetId="0">#REF!</definedName>
    <definedName name="RSB36x6">#REF!</definedName>
    <definedName name="RSB36x9" localSheetId="0">#REF!</definedName>
    <definedName name="RSB36x9">#REF!</definedName>
    <definedName name="rss" localSheetId="0" hidden="1">'[58]TOSHIBA-Structure'!#REF!</definedName>
    <definedName name="rss" hidden="1">'[58]TOSHIBA-Structure'!#REF!</definedName>
    <definedName name="rthj" localSheetId="0">#REF!</definedName>
    <definedName name="rthj">#REF!</definedName>
    <definedName name="RTS" localSheetId="0">'[16]7IFS-5A'!#REF!</definedName>
    <definedName name="RTS">'[16]7IFS-5A'!#REF!</definedName>
    <definedName name="rty" localSheetId="0">'[20]BILL 1'!#REF!</definedName>
    <definedName name="rty">'[20]BILL 1'!#REF!</definedName>
    <definedName name="RUN">#N/A</definedName>
    <definedName name="S" localSheetId="0">#REF!</definedName>
    <definedName name="S">#REF!</definedName>
    <definedName name="S_保存" localSheetId="0">#REF!</definedName>
    <definedName name="S_保存">#REF!</definedName>
    <definedName name="sab" localSheetId="0">'[59]CS Pipes,Fittings-Lay. &amp; Inst.'!#REF!</definedName>
    <definedName name="sab">'[59]CS Pipes,Fittings-Lay. &amp; Inst.'!#REF!</definedName>
    <definedName name="sadgsarhg" localSheetId="0">#REF!</definedName>
    <definedName name="sadgsarhg">#REF!</definedName>
    <definedName name="Sanitary" localSheetId="0">#REF!</definedName>
    <definedName name="Sanitary">#REF!</definedName>
    <definedName name="SB" localSheetId="0">#REF!</definedName>
    <definedName name="SB">#REF!</definedName>
    <definedName name="SC_ADJUST">#N/A</definedName>
    <definedName name="schedule" localSheetId="0">#REF!</definedName>
    <definedName name="schedule">#REF!</definedName>
    <definedName name="sdf" localSheetId="0">#REF!</definedName>
    <definedName name="sdf">#REF!</definedName>
    <definedName name="sewer" localSheetId="0">#REF!</definedName>
    <definedName name="sewer">#REF!</definedName>
    <definedName name="Sewerage_system" localSheetId="0">#REF!</definedName>
    <definedName name="Sewerage_system">#REF!</definedName>
    <definedName name="sewerOverall" localSheetId="0">#REF!</definedName>
    <definedName name="sewerOverall">#REF!</definedName>
    <definedName name="SEX" localSheetId="0">#REF!</definedName>
    <definedName name="SEX">#REF!</definedName>
    <definedName name="SgD" localSheetId="0">#REF!</definedName>
    <definedName name="SgD">#REF!</definedName>
    <definedName name="sh" localSheetId="0">#REF!</definedName>
    <definedName name="sh">#REF!</definedName>
    <definedName name="ShiP" localSheetId="0">#REF!</definedName>
    <definedName name="ShiP">#REF!</definedName>
    <definedName name="Shop_45WeldN">[41]SHOP!$CQ$7:$DC$27</definedName>
    <definedName name="Shop_45WeldN_Reinf">[41]SHOP!$DD$7:$DP$27</definedName>
    <definedName name="Shop_90CplgWeld">[41]SHOP!$ED$7:$EF$15</definedName>
    <definedName name="Shop_90WeldN">[41]SHOP!$BQ$7:$CC$27</definedName>
    <definedName name="Shop_90WeldN_Reinf">[41]SHOP!$CD$7:$CP$27</definedName>
    <definedName name="Shop_AttSOF">[41]SHOP!$BA$7:$BH$27</definedName>
    <definedName name="Shop_AttWNF">[41]SHOP!$BI$7:$BP$27</definedName>
    <definedName name="Shop_Bevel">[41]SHOP!$AN$7:$AZ$27</definedName>
    <definedName name="Shop_Cut">[41]SHOP!$AA$7:$AM$27</definedName>
    <definedName name="Shop_Handling">[41]SHOP!$A$7:$M$27</definedName>
    <definedName name="Shop_OletWeld">[41]SHOP!$DQ$7:$EC$27</definedName>
    <definedName name="Shop_SocketWeld">[41]SHOP!$EG$7:$ES$15</definedName>
    <definedName name="Shop_Threading">[41]SHOP!$ET$7:$FF$27</definedName>
    <definedName name="Shop_Weld">[41]SHOP!$N$7:$Z$27</definedName>
    <definedName name="Site_clearance" localSheetId="0">#REF!</definedName>
    <definedName name="Site_clearance">#REF!</definedName>
    <definedName name="SITE2" localSheetId="0">'[55]CAMPO &amp; PC_BC'!#REF!</definedName>
    <definedName name="SITE2">'[55]CAMPO &amp; PC_BC'!#REF!</definedName>
    <definedName name="siteeequip" localSheetId="0">#REF!</definedName>
    <definedName name="siteeequip">#REF!</definedName>
    <definedName name="siteequip" localSheetId="0">#REF!</definedName>
    <definedName name="siteequip">#REF!</definedName>
    <definedName name="SM">#N/A</definedName>
    <definedName name="SP" localSheetId="0">#REF!</definedName>
    <definedName name="SP">#REF!</definedName>
    <definedName name="SPI">'[60]BOQ-E(1).Net'!$V$2</definedName>
    <definedName name="split" localSheetId="0">#REF!</definedName>
    <definedName name="split">#REF!</definedName>
    <definedName name="square_bar_20_x_20" localSheetId="0">#REF!</definedName>
    <definedName name="square_bar_20_x_20">#REF!</definedName>
    <definedName name="SRTPAY">#N/A</definedName>
    <definedName name="ST" localSheetId="0">#REF!</definedName>
    <definedName name="ST">#REF!</definedName>
    <definedName name="STACK40_HRS" localSheetId="0">#REF!</definedName>
    <definedName name="STACK40_HRS">#REF!</definedName>
    <definedName name="STACK40_LAB" localSheetId="0">#REF!</definedName>
    <definedName name="STACK40_LAB">#REF!</definedName>
    <definedName name="STACK40_MAT" localSheetId="0">#REF!</definedName>
    <definedName name="STACK40_MAT">#REF!</definedName>
    <definedName name="STACK40_S_C" localSheetId="0">#REF!</definedName>
    <definedName name="STACK40_S_C">#REF!</definedName>
    <definedName name="STACK40_SC" localSheetId="0">#REF!</definedName>
    <definedName name="STACK40_SC">#REF!</definedName>
    <definedName name="STACK40_TOT" localSheetId="0">#REF!</definedName>
    <definedName name="STACK40_TOT">#REF!</definedName>
    <definedName name="stainless_steel" localSheetId="0">#REF!</definedName>
    <definedName name="stainless_steel">#REF!</definedName>
    <definedName name="stake_truck_cargo" localSheetId="0">#REF!</definedName>
    <definedName name="stake_truck_cargo">#REF!</definedName>
    <definedName name="staketruckcargo" localSheetId="0">#REF!</definedName>
    <definedName name="staketruckcargo">#REF!</definedName>
    <definedName name="STANDARD_BUS_SHELTER" localSheetId="0">'[46]11.Bus Shelter-Bay'!#REF!</definedName>
    <definedName name="STANDARD_BUS_SHELTER">'[46]11.Bus Shelter-Bay'!#REF!</definedName>
    <definedName name="START1">#N/A</definedName>
    <definedName name="START2">#N/A</definedName>
    <definedName name="START3">#N/A</definedName>
    <definedName name="START4">#N/A</definedName>
    <definedName name="START5">#N/A</definedName>
    <definedName name="STARTING">#N/A</definedName>
    <definedName name="Station_drainage" localSheetId="0">#REF!</definedName>
    <definedName name="Station_drainage">#REF!</definedName>
    <definedName name="Station_Fitout" localSheetId="0">#REF!</definedName>
    <definedName name="Station_Fitout">#REF!</definedName>
    <definedName name="steel_plate_10mmthk" localSheetId="0">#REF!</definedName>
    <definedName name="steel_plate_10mmthk">#REF!</definedName>
    <definedName name="steel_plate_12mmthk" localSheetId="0">#REF!</definedName>
    <definedName name="steel_plate_12mmthk">#REF!</definedName>
    <definedName name="steel_plate_9mm_thk" localSheetId="0">#REF!</definedName>
    <definedName name="steel_plate_9mm_thk">#REF!</definedName>
    <definedName name="steel_plate_bender" localSheetId="0">#REF!</definedName>
    <definedName name="steel_plate_bender">#REF!</definedName>
    <definedName name="Steel_spike" localSheetId="0">#REF!</definedName>
    <definedName name="Steel_spike">#REF!</definedName>
    <definedName name="Steelman" localSheetId="0">#REF!</definedName>
    <definedName name="Steelman">#REF!</definedName>
    <definedName name="STG40_HRS">#N/A</definedName>
    <definedName name="STG40_LAB">#N/A</definedName>
    <definedName name="STG40_MAT">#N/A</definedName>
    <definedName name="STG40_S_C">#N/A</definedName>
    <definedName name="STG40_SC">#N/A</definedName>
    <definedName name="STG40_TOT">#N/A</definedName>
    <definedName name="stockfence" localSheetId="0">[21]Inputs!#REF!</definedName>
    <definedName name="stockfence">[21]Inputs!#REF!</definedName>
    <definedName name="striptopsoil" localSheetId="0">[21]Inputs!#REF!</definedName>
    <definedName name="striptopsoil">[21]Inputs!#REF!</definedName>
    <definedName name="STRUCON" localSheetId="0">[23]LIBRARY!#REF!</definedName>
    <definedName name="STRUCON">[23]LIBRARY!#REF!</definedName>
    <definedName name="structequip" localSheetId="0">#REF!</definedName>
    <definedName name="structequip">#REF!</definedName>
    <definedName name="structinstcrane" localSheetId="0">#REF!</definedName>
    <definedName name="structinstcrane">#REF!</definedName>
    <definedName name="structinsthrs" localSheetId="0">#REF!</definedName>
    <definedName name="structinsthrs">#REF!</definedName>
    <definedName name="Structural_steelwork" localSheetId="0">#REF!</definedName>
    <definedName name="Structural_steelwork">#REF!</definedName>
    <definedName name="Sub" localSheetId="0">#REF!</definedName>
    <definedName name="Sub">#REF!</definedName>
    <definedName name="subgrade" localSheetId="0">[21]Inputs!#REF!</definedName>
    <definedName name="subgrade">[21]Inputs!#REF!</definedName>
    <definedName name="submersiblepumps" localSheetId="0">#REF!</definedName>
    <definedName name="submersiblepumps">#REF!</definedName>
    <definedName name="SUBTOTALS">#N/A</definedName>
    <definedName name="sum" localSheetId="0">#REF!</definedName>
    <definedName name="sum">#REF!</definedName>
    <definedName name="SUM_DATA">#N/A</definedName>
    <definedName name="SUMICON" localSheetId="0">#REF!</definedName>
    <definedName name="SUMICON">#REF!</definedName>
    <definedName name="summary" localSheetId="0">#REF!</definedName>
    <definedName name="summary">#REF!</definedName>
    <definedName name="SUMMARY2">#N/A</definedName>
    <definedName name="SYS">#N/A</definedName>
    <definedName name="SYSTEM">#N/A</definedName>
    <definedName name="T" localSheetId="0">#REF!</definedName>
    <definedName name="T">#REF!</definedName>
    <definedName name="t.1.1" localSheetId="0">'[27]BILL 1'!#REF!</definedName>
    <definedName name="t.1.1">'[27]BILL 1'!#REF!</definedName>
    <definedName name="t.1.2" localSheetId="0">'[27]BILL 1'!#REF!</definedName>
    <definedName name="t.1.2">'[27]BILL 1'!#REF!</definedName>
    <definedName name="t.1.3" localSheetId="0">'[27]BILL 1'!#REF!</definedName>
    <definedName name="t.1.3">'[27]BILL 1'!#REF!</definedName>
    <definedName name="t.1.4" localSheetId="0">'[27]BILL 1'!#REF!</definedName>
    <definedName name="t.1.4">'[27]BILL 1'!#REF!</definedName>
    <definedName name="t.2.1a" localSheetId="0">'[27]BILL 1'!#REF!</definedName>
    <definedName name="t.2.1a">'[27]BILL 1'!#REF!</definedName>
    <definedName name="t.2.2a" localSheetId="0">'[27]BILL 1'!#REF!</definedName>
    <definedName name="t.2.2a">'[27]BILL 1'!#REF!</definedName>
    <definedName name="t.2.2b" localSheetId="0">[55]SAL!#REF!</definedName>
    <definedName name="t.2.2b">[55]SAL!#REF!</definedName>
    <definedName name="t.2.3b" localSheetId="0">'[27]BILL 1'!#REF!</definedName>
    <definedName name="t.2.3b">'[27]BILL 1'!#REF!</definedName>
    <definedName name="t.2.4b" localSheetId="0">'[27]BILL 1'!#REF!</definedName>
    <definedName name="t.2.4b">'[27]BILL 1'!#REF!</definedName>
    <definedName name="t.3.1a" localSheetId="0">'[27]BILL 1'!#REF!</definedName>
    <definedName name="t.3.1a">'[27]BILL 1'!#REF!</definedName>
    <definedName name="T.3.2.B" localSheetId="0">[55]SAL!#REF!</definedName>
    <definedName name="T.3.2.B">[55]SAL!#REF!</definedName>
    <definedName name="t.3.2b" localSheetId="0">'[27]BILL 1'!#REF!</definedName>
    <definedName name="t.3.2b">'[27]BILL 1'!#REF!</definedName>
    <definedName name="t.4.1" localSheetId="0">'[27]BILL 1'!#REF!</definedName>
    <definedName name="t.4.1">'[27]BILL 1'!#REF!</definedName>
    <definedName name="t.4.1a" localSheetId="0">'[27]BILL 1'!#REF!</definedName>
    <definedName name="t.4.1a">'[27]BILL 1'!#REF!</definedName>
    <definedName name="t.4.2b" localSheetId="0">'[27]BILL 1'!#REF!</definedName>
    <definedName name="t.4.2b">'[27]BILL 1'!#REF!</definedName>
    <definedName name="t.4.3b" localSheetId="0">[55]SAL!#REF!</definedName>
    <definedName name="t.4.3b">[55]SAL!#REF!</definedName>
    <definedName name="T.4.4TSZ" localSheetId="0">[55]SAL!#REF!</definedName>
    <definedName name="T.4.4TSZ">[55]SAL!#REF!</definedName>
    <definedName name="t.5.1" localSheetId="0">'[27]BILL 1'!#REF!</definedName>
    <definedName name="t.5.1">'[27]BILL 1'!#REF!</definedName>
    <definedName name="t.5.2" localSheetId="0">'[27]BILL 1'!#REF!</definedName>
    <definedName name="t.5.2">'[27]BILL 1'!#REF!</definedName>
    <definedName name="t.5.3" localSheetId="0">'[27]BILL 1'!#REF!</definedName>
    <definedName name="t.5.3">'[27]BILL 1'!#REF!</definedName>
    <definedName name="t.6.1" localSheetId="0">'[27]BILL 1'!#REF!</definedName>
    <definedName name="t.6.1">'[27]BILL 1'!#REF!</definedName>
    <definedName name="t.6.2" localSheetId="0">'[27]BILL 1'!#REF!</definedName>
    <definedName name="t.6.2">'[27]BILL 1'!#REF!</definedName>
    <definedName name="t.6.3" localSheetId="0">'[27]BILL 1'!#REF!</definedName>
    <definedName name="t.6.3">'[27]BILL 1'!#REF!</definedName>
    <definedName name="t.6.4" localSheetId="0">'[27]BILL 1'!#REF!</definedName>
    <definedName name="t.6.4">'[27]BILL 1'!#REF!</definedName>
    <definedName name="t.6.5" localSheetId="0">'[27]BILL 1'!#REF!</definedName>
    <definedName name="t.6.5">'[27]BILL 1'!#REF!</definedName>
    <definedName name="t.7.1" localSheetId="0">'[27]BILL 1'!#REF!</definedName>
    <definedName name="t.7.1">'[27]BILL 1'!#REF!</definedName>
    <definedName name="t.7.2" localSheetId="0">'[27]BILL 1'!#REF!</definedName>
    <definedName name="t.7.2">'[27]BILL 1'!#REF!</definedName>
    <definedName name="t.7.3" localSheetId="0">'[27]BILL 1'!#REF!</definedName>
    <definedName name="t.7.3">'[27]BILL 1'!#REF!</definedName>
    <definedName name="t.8.1" localSheetId="0">'[27]BILL 1'!#REF!</definedName>
    <definedName name="t.8.1">'[27]BILL 1'!#REF!</definedName>
    <definedName name="t.8.2" localSheetId="0">'[27]BILL 1'!#REF!</definedName>
    <definedName name="t.8.2">'[27]BILL 1'!#REF!</definedName>
    <definedName name="t.9.1" localSheetId="0">'[27]BILL 1'!#REF!</definedName>
    <definedName name="t.9.1">'[27]BILL 1'!#REF!</definedName>
    <definedName name="t.9.2" localSheetId="0">'[27]BILL 1'!#REF!</definedName>
    <definedName name="t.9.2">'[27]BILL 1'!#REF!</definedName>
    <definedName name="t.9.3" localSheetId="0">'[27]BILL 1'!#REF!</definedName>
    <definedName name="t.9.3">'[27]BILL 1'!#REF!</definedName>
    <definedName name="TABLE">#N/A</definedName>
    <definedName name="TB" localSheetId="0">#REF!</definedName>
    <definedName name="TB">#REF!</definedName>
    <definedName name="Temp" localSheetId="0">#REF!</definedName>
    <definedName name="Temp">#REF!</definedName>
    <definedName name="Temporary_drainage_diversion" localSheetId="0">#REF!</definedName>
    <definedName name="Temporary_drainage_diversion">#REF!</definedName>
    <definedName name="Temporary_shoring_diaphragm_walls" localSheetId="0">#REF!</definedName>
    <definedName name="Temporary_shoring_diaphragm_walls">#REF!</definedName>
    <definedName name="Temporary_traffic_diversion" localSheetId="0">#REF!</definedName>
    <definedName name="Temporary_traffic_diversion">#REF!</definedName>
    <definedName name="TH" localSheetId="0">'[26]Net-Sell'!#REF!</definedName>
    <definedName name="TH">'[26]Net-Sell'!#REF!</definedName>
    <definedName name="Tie_wires">[11]Source!$J$13</definedName>
    <definedName name="TIME">#N/A</definedName>
    <definedName name="TIME1">#N/A</definedName>
    <definedName name="TITLE" localSheetId="0">#REF!</definedName>
    <definedName name="TITLE">#REF!</definedName>
    <definedName name="TitleRegion..BO60" localSheetId="0">#REF!</definedName>
    <definedName name="TitleRegion..BO60">#REF!</definedName>
    <definedName name="TMixer">[11]Source!$B$10</definedName>
    <definedName name="tmp" localSheetId="0">'[27]BILL 1'!#REF!</definedName>
    <definedName name="tmp">'[27]BILL 1'!#REF!</definedName>
    <definedName name="tot.1" localSheetId="0">'[27]BILL 1'!#REF!</definedName>
    <definedName name="tot.1">'[27]BILL 1'!#REF!</definedName>
    <definedName name="tot.2" localSheetId="0">[55]SAL!#REF!</definedName>
    <definedName name="tot.2">[55]SAL!#REF!</definedName>
    <definedName name="TOT2.2A" localSheetId="0">'[27]BILL 1'!#REF!</definedName>
    <definedName name="TOT2.2A">'[27]BILL 1'!#REF!</definedName>
    <definedName name="TOTAL">#N/A</definedName>
    <definedName name="TOTAL_COST" localSheetId="0">#REF!</definedName>
    <definedName name="TOTAL_COST">#REF!</definedName>
    <definedName name="TOTAL_I" localSheetId="0">#REF!</definedName>
    <definedName name="TOTAL_I">#REF!</definedName>
    <definedName name="TOTAL_II" localSheetId="0">#REF!</definedName>
    <definedName name="TOTAL_II">#REF!</definedName>
    <definedName name="TOTAL_III" localSheetId="0">#REF!</definedName>
    <definedName name="TOTAL_III">#REF!</definedName>
    <definedName name="total2" localSheetId="0">#REF!</definedName>
    <definedName name="total2">#REF!</definedName>
    <definedName name="total32" localSheetId="0">#REF!</definedName>
    <definedName name="total32">#REF!</definedName>
    <definedName name="total72" localSheetId="0">#REF!</definedName>
    <definedName name="total72">#REF!</definedName>
    <definedName name="Tr" localSheetId="0">#REF!</definedName>
    <definedName name="Tr">#REF!</definedName>
    <definedName name="Trailer_with_truck_tractor">[11]Source!$B$21</definedName>
    <definedName name="trailerwithtrucktractor">[25]Source!$G$39</definedName>
    <definedName name="Tremie_Pipe" localSheetId="0">#REF!</definedName>
    <definedName name="Tremie_Pipe">#REF!</definedName>
    <definedName name="trial" localSheetId="0">#REF!</definedName>
    <definedName name="trial">#REF!</definedName>
    <definedName name="truck_mounted_crane">[11]Source!$B$23</definedName>
    <definedName name="TSPP1200">[23]LIBRARY!$D$512</definedName>
    <definedName name="txBduct" localSheetId="0">#REF!</definedName>
    <definedName name="txBduct">#REF!</definedName>
    <definedName name="txCable" localSheetId="0">#REF!</definedName>
    <definedName name="txCable">#REF!</definedName>
    <definedName name="txGenset" localSheetId="0">#REF!</definedName>
    <definedName name="txGenset">#REF!</definedName>
    <definedName name="txPanel" localSheetId="0">#REF!</definedName>
    <definedName name="txPanel">#REF!</definedName>
    <definedName name="txXfrmr" localSheetId="0">#REF!</definedName>
    <definedName name="txXfrmr">#REF!</definedName>
    <definedName name="Type">[35]Lists!$E$2:$E$43</definedName>
    <definedName name="U_G">#N/A</definedName>
    <definedName name="UA" localSheetId="0">#REF!</definedName>
    <definedName name="UA">#REF!</definedName>
    <definedName name="UIOP">[50]細目!$G$463</definedName>
    <definedName name="UNIT_MHR" localSheetId="0">'[29]R.Lab Cos'!#REF!</definedName>
    <definedName name="UNIT_MHR">'[29]R.Lab Cos'!#REF!</definedName>
    <definedName name="uo" localSheetId="0">'[20]BILL 1'!#REF!</definedName>
    <definedName name="uo">'[20]BILL 1'!#REF!</definedName>
    <definedName name="UsD" localSheetId="0">#REF!</definedName>
    <definedName name="UsD">#REF!</definedName>
    <definedName name="UW" localSheetId="0">#REF!</definedName>
    <definedName name="UW">#REF!</definedName>
    <definedName name="uwt">'[61]GRAND SUM'!$A$1:$N$31</definedName>
    <definedName name="val" localSheetId="0">'[27]BILL 1'!#REF!</definedName>
    <definedName name="val">'[27]BILL 1'!#REF!</definedName>
    <definedName name="VAT" localSheetId="0">#REF!</definedName>
    <definedName name="VAT">#REF!</definedName>
    <definedName name="ver" localSheetId="0">#REF!</definedName>
    <definedName name="ver">#REF!</definedName>
    <definedName name="vibro_hammer">[11]Source!$B$30</definedName>
    <definedName name="vibrohammerelectricdriven">[25]Source!$G$41</definedName>
    <definedName name="vibrohammerhyraulicdriven" localSheetId="0">#REF!</definedName>
    <definedName name="vibrohammerhyraulicdriven">#REF!</definedName>
    <definedName name="VIEW">#N/A</definedName>
    <definedName name="W" localSheetId="0">#REF!</definedName>
    <definedName name="W">#REF!</definedName>
    <definedName name="W_16x_16_x_12mm_I_beam" localSheetId="0">#REF!</definedName>
    <definedName name="W_16x_16_x_12mm_I_beam">#REF!</definedName>
    <definedName name="Washed_Gravel">[11]Source!$J$6</definedName>
    <definedName name="Washed_Sand">[11]Source!$J$5</definedName>
    <definedName name="water_pump">[62]Source!$B$24</definedName>
    <definedName name="Waterproofing" localSheetId="0">#REF!</definedName>
    <definedName name="Waterproofing">#REF!</definedName>
    <definedName name="waterpump" localSheetId="0">#REF!</definedName>
    <definedName name="waterpump">#REF!</definedName>
    <definedName name="watertank" localSheetId="0">#REF!</definedName>
    <definedName name="watertank">#REF!</definedName>
    <definedName name="WaterTruck">'[43]bid price schedule'!$G$170</definedName>
    <definedName name="WB">[63]BBS!$C$97:$E$111</definedName>
    <definedName name="wc" localSheetId="0">'[64]BOQ-E'!#REF!</definedName>
    <definedName name="wc">'[64]BOQ-E'!#REF!</definedName>
    <definedName name="WE" localSheetId="0">#REF!</definedName>
    <definedName name="WE">#REF!</definedName>
    <definedName name="weekly.mh" localSheetId="0">#REF!</definedName>
    <definedName name="weekly.mh">#REF!</definedName>
    <definedName name="weekly.sheet" localSheetId="0">#REF!</definedName>
    <definedName name="weekly.sheet">#REF!</definedName>
    <definedName name="Weight_45Elbow">[41]WEIGHT!$AA$7:$AM$27</definedName>
    <definedName name="Weight_90Elbow">[41]WEIGHT!$N$7:$Z$27</definedName>
    <definedName name="Weight_Cap">[41]WEIGHT!$BA$7:$BM$27</definedName>
    <definedName name="Weight_Pipe">[41]WEIGHT!$A$7:$M$27</definedName>
    <definedName name="Weight_SOF">[41]WEIGHT!$BN$7:$BU$27</definedName>
    <definedName name="Weight_TeeEqual">[41]WEIGHT!$AN$7:$AZ$27</definedName>
    <definedName name="Weight_ValveFlg">[41]WEIGHT!$CD$7:$CK$27</definedName>
    <definedName name="Weight_WeldRod">[41]WEIGHT!$CL$7:$CX$27</definedName>
    <definedName name="Weight_WNF">[41]WEIGHT!$BV$7:$CC$27</definedName>
    <definedName name="welder" localSheetId="0">#REF!</definedName>
    <definedName name="welder">#REF!</definedName>
    <definedName name="Welding_Machine" localSheetId="0">#REF!</definedName>
    <definedName name="Welding_Machine">#REF!</definedName>
    <definedName name="welding_rod_7018">[22]Source!$L$58</definedName>
    <definedName name="weldingmachine">[65]Source!$G$47</definedName>
    <definedName name="WF" localSheetId="0">#REF!</definedName>
    <definedName name="WF">#REF!</definedName>
    <definedName name="Wg" localSheetId="0">#REF!</definedName>
    <definedName name="Wg">#REF!</definedName>
    <definedName name="WGravel">[11]Source!$J$6</definedName>
    <definedName name="Window">'[40]D &amp; W sizes'!$G$3:$I$19</definedName>
    <definedName name="Wn" localSheetId="0">#REF!</definedName>
    <definedName name="Wn">#REF!</definedName>
    <definedName name="Wood_Frame_COLUMNSBEAMS">[37]Tables!$T$4:$X$6</definedName>
    <definedName name="Works">'[33]5-Digit'!$A$3</definedName>
    <definedName name="WSand">[11]Source!$J$5</definedName>
    <definedName name="WT">[34]B.100!$T$16:$T$49</definedName>
    <definedName name="WTank">[11]Source!$B$11</definedName>
    <definedName name="WTruck">[11]Source!$B$7</definedName>
    <definedName name="WWT" localSheetId="0">'[26]Net-Sell'!#REF!</definedName>
    <definedName name="WWT">'[26]Net-Sell'!#REF!</definedName>
    <definedName name="WWW" localSheetId="0">#REF!</definedName>
    <definedName name="WWW">#REF!</definedName>
    <definedName name="x" localSheetId="0">#REF!</definedName>
    <definedName name="x">#REF!</definedName>
    <definedName name="XT" localSheetId="0">#REF!</definedName>
    <definedName name="XT">#REF!</definedName>
    <definedName name="XTAX" localSheetId="0">#REF!</definedName>
    <definedName name="XTAX">#REF!</definedName>
    <definedName name="xtra" localSheetId="0">#REF!</definedName>
    <definedName name="xtra">#REF!</definedName>
    <definedName name="XXX">[50]細目!$K$65</definedName>
    <definedName name="yakal" localSheetId="0">#REF!</definedName>
    <definedName name="yakal">#REF!</definedName>
    <definedName name="YARD">#N/A</definedName>
    <definedName name="YARDLAB">#N/A</definedName>
    <definedName name="YARDMAT">#N/A</definedName>
    <definedName name="YEN" localSheetId="0">#REF!</definedName>
    <definedName name="YEN">#REF!</definedName>
    <definedName name="YES">#N/A</definedName>
    <definedName name="YYY">'[66]STAFFSCHED '!$A$1:$AK$85</definedName>
    <definedName name="Z" localSheetId="0">#REF!</definedName>
    <definedName name="Z">#REF!</definedName>
    <definedName name="ZERO">#N/A</definedName>
    <definedName name="zzz">'[66]STAFFSCHED '!$A$1:$AK$85</definedName>
    <definedName name="ZZZZZ">[50]細目!$S$452</definedName>
    <definedName name="ｴﾝ_ﾎﾟｰｼｮﾝ" localSheetId="0">#REF!</definedName>
    <definedName name="ｴﾝ_ﾎﾟｰｼｮﾝ">#REF!</definedName>
    <definedName name="ﾃﾞｰﾀｰﾌｧｲﾙよりﾃﾞ" localSheetId="0">#REF!</definedName>
    <definedName name="ﾃﾞｰﾀｰﾌｧｲﾙよりﾃﾞ">#REF!</definedName>
    <definedName name="ﾄﾞﾙ_ﾎﾟｰｼｮﾝ" localSheetId="0">#REF!</definedName>
    <definedName name="ﾄﾞﾙ_ﾎﾟｰｼｮﾝ">#REF!</definedName>
    <definedName name="ﾍﾟｿ_ﾎﾟｰｼｮﾝ" localSheetId="0">#REF!</definedName>
    <definedName name="ﾍﾟｿ_ﾎﾟｰｼｮﾝ">#REF!</definedName>
    <definedName name="以下不取特培费" localSheetId="0">#REF!</definedName>
    <definedName name="以下不取特培费">#REF!</definedName>
    <definedName name="守衛室１">[50]細目!$G$631</definedName>
    <definedName name="守衛室２">[50]細目!$K$631</definedName>
    <definedName name="工場内部壁１">[50]細目!$G$204</definedName>
    <definedName name="工場内部壁２">[50]細目!$K$204</definedName>
    <definedName name="工場内部天井１">[50]細目!$G$273</definedName>
    <definedName name="工場内部天井２">[50]細目!$K$273</definedName>
    <definedName name="工場内部天井ドル">[50]細目!$S$273</definedName>
    <definedName name="工場内部床１">[50]細目!$G$184</definedName>
    <definedName name="工場内部床２">[50]細目!$K$184</definedName>
    <definedName name="工場内部建具１">[50]細目!$G$260</definedName>
    <definedName name="工場内部建具２">[50]細目!$K$260</definedName>
    <definedName name="工場内部建具ドル">[50]細目!$S$260</definedName>
    <definedName name="工場内部雑１">[50]細目!$G$314</definedName>
    <definedName name="工場内部雑2">[50]細目!$K$314</definedName>
    <definedName name="工場土工事１">[50]細目!$G$18</definedName>
    <definedName name="工場土工事２">[50]細目!$K$18</definedName>
    <definedName name="工場外壁１">[50]細目!$G$105</definedName>
    <definedName name="工場外壁２">[50]細目!$K$105</definedName>
    <definedName name="工場外部建具１">[50]細目!$G$167</definedName>
    <definedName name="工場外部建具２">[50]細目!$K$167</definedName>
    <definedName name="工場外部建具ドル">[50]細目!$S$167</definedName>
    <definedName name="工場外部雑１">[50]細目!$G$176</definedName>
    <definedName name="工場外部雑２">[50]細目!$K$176</definedName>
    <definedName name="工場屋根１">[50]細目!$G$95</definedName>
    <definedName name="工場屋根２">[50]細目!$K$95</definedName>
    <definedName name="工場屋根ドル">[50]細目!$S$95</definedName>
    <definedName name="工場躯体１">[50]細目!$G$65</definedName>
    <definedName name="工場躯体２">[50]細目!$K$65</definedName>
    <definedName name="掛率" localSheetId="0">#REF!</definedName>
    <definedName name="掛率">#REF!</definedName>
    <definedName name="新規ｧｲﾙに保存_ﾌ" localSheetId="0">#REF!</definedName>
    <definedName name="新規ｧｲﾙに保存_ﾌ">#REF!</definedName>
    <definedName name="管理内部壁１">[50]細目!$G$504</definedName>
    <definedName name="管理内部壁２">[50]細目!$K$504</definedName>
    <definedName name="管理内部天井１">[50]細目!$G$563</definedName>
    <definedName name="管理内部天井２">[50]細目!$K$563</definedName>
    <definedName name="管理内部床１">[50]細目!$G$486</definedName>
    <definedName name="管理内部床２">[50]細目!$K$486</definedName>
    <definedName name="管理内部建具１">[50]細目!$G$549</definedName>
    <definedName name="管理内部建具２">[50]細目!$K$549</definedName>
    <definedName name="管理内部建具ドル">[50]細目!$S$549</definedName>
    <definedName name="管理内部雑１">[50]細目!$G$584</definedName>
    <definedName name="管理内部雑２">[50]細目!$K$584</definedName>
    <definedName name="管理土工事１">[50]細目!$G$355</definedName>
    <definedName name="管理土工事２">[50]細目!$K$355</definedName>
    <definedName name="管理外壁１">[50]細目!$G$426</definedName>
    <definedName name="管理外壁２">[50]細目!$K$426</definedName>
    <definedName name="管理外部建具１">[50]細目!$G$452</definedName>
    <definedName name="管理外部建具２">[50]細目!$K$452</definedName>
    <definedName name="管理外部建具ドル">[50]細目!$S$452</definedName>
    <definedName name="管理外部雑１">[50]細目!$G$463</definedName>
    <definedName name="管理外部雑２">[50]細目!$K$463</definedName>
    <definedName name="管理屋根１">[50]細目!$G$416</definedName>
    <definedName name="管理屋根２">[50]細目!$K$416</definedName>
    <definedName name="管理躯体１">[50]細目!$G$395</definedName>
    <definedName name="管理躯体２">[50]細目!$K$395</definedName>
    <definedName name="訂正_修正" localSheetId="0">#REF!</definedName>
    <definedName name="訂正_修正">#REF!</definedName>
    <definedName name="訂正･修正" localSheetId="0">#REF!</definedName>
    <definedName name="訂正･修正">#REF!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506" i="1" l="1"/>
  <c r="K2505" i="1"/>
  <c r="K2504" i="1"/>
  <c r="K2503" i="1"/>
  <c r="K2502" i="1"/>
  <c r="K2501" i="1"/>
  <c r="K2500" i="1"/>
  <c r="K2499" i="1"/>
  <c r="K2498" i="1"/>
  <c r="K2497" i="1"/>
  <c r="K2496" i="1"/>
  <c r="K2495" i="1"/>
  <c r="K2494" i="1"/>
  <c r="K2493" i="1"/>
  <c r="K2492" i="1"/>
  <c r="K2491" i="1"/>
  <c r="K2490" i="1"/>
  <c r="K2489" i="1"/>
  <c r="K2488" i="1"/>
  <c r="K2487" i="1"/>
  <c r="K2486" i="1"/>
  <c r="K2485" i="1"/>
  <c r="K2484" i="1"/>
  <c r="K2483" i="1"/>
  <c r="K2482" i="1"/>
  <c r="K2481" i="1"/>
  <c r="J2480" i="1"/>
  <c r="K2480" i="1" s="1"/>
  <c r="K2479" i="1"/>
  <c r="F2479" i="1"/>
  <c r="J2478" i="1"/>
  <c r="K2478" i="1" s="1"/>
  <c r="K2477" i="1"/>
  <c r="J2476" i="1"/>
  <c r="K2476" i="1" s="1"/>
  <c r="K2475" i="1"/>
  <c r="J2474" i="1"/>
  <c r="K2474" i="1" s="1"/>
  <c r="K2473" i="1"/>
  <c r="K2471" i="1"/>
  <c r="I2471" i="1"/>
  <c r="K2470" i="1"/>
  <c r="I2470" i="1"/>
  <c r="J2472" i="1" s="1"/>
  <c r="K2472" i="1" s="1"/>
  <c r="F2470" i="1"/>
  <c r="J2469" i="1"/>
  <c r="K2469" i="1" s="1"/>
  <c r="K2468" i="1"/>
  <c r="J2467" i="1"/>
  <c r="K2467" i="1" s="1"/>
  <c r="K2466" i="1"/>
  <c r="J2465" i="1"/>
  <c r="K2465" i="1" s="1"/>
  <c r="K2464" i="1"/>
  <c r="K2463" i="1"/>
  <c r="J2462" i="1"/>
  <c r="K2462" i="1" s="1"/>
  <c r="K2461" i="1"/>
  <c r="J2460" i="1"/>
  <c r="K2460" i="1" s="1"/>
  <c r="K2459" i="1"/>
  <c r="J2458" i="1"/>
  <c r="K2458" i="1" s="1"/>
  <c r="K2457" i="1"/>
  <c r="K2456" i="1"/>
  <c r="F2456" i="1"/>
  <c r="J2455" i="1"/>
  <c r="K2455" i="1" s="1"/>
  <c r="K2454" i="1"/>
  <c r="J2453" i="1"/>
  <c r="K2453" i="1" s="1"/>
  <c r="K2452" i="1"/>
  <c r="J2451" i="1"/>
  <c r="K2451" i="1" s="1"/>
  <c r="K2450" i="1"/>
  <c r="J2449" i="1"/>
  <c r="K2449" i="1" s="1"/>
  <c r="K2448" i="1"/>
  <c r="J2447" i="1"/>
  <c r="K2447" i="1" s="1"/>
  <c r="K2446" i="1"/>
  <c r="F2446" i="1"/>
  <c r="J2445" i="1"/>
  <c r="K2445" i="1" s="1"/>
  <c r="K2444" i="1"/>
  <c r="K2443" i="1"/>
  <c r="K2442" i="1"/>
  <c r="K2441" i="1"/>
  <c r="K2440" i="1"/>
  <c r="K2439" i="1"/>
  <c r="K2438" i="1"/>
  <c r="K2437" i="1"/>
  <c r="K2436" i="1"/>
  <c r="K2435" i="1"/>
  <c r="K2434" i="1"/>
  <c r="F2434" i="1"/>
  <c r="J2433" i="1"/>
  <c r="K2433" i="1" s="1"/>
  <c r="K2432" i="1"/>
  <c r="J2431" i="1"/>
  <c r="K2431" i="1" s="1"/>
  <c r="K2430" i="1"/>
  <c r="J2429" i="1"/>
  <c r="K2429" i="1" s="1"/>
  <c r="K2428" i="1"/>
  <c r="J2427" i="1"/>
  <c r="K2427" i="1" s="1"/>
  <c r="K2426" i="1"/>
  <c r="J2425" i="1"/>
  <c r="K2425" i="1" s="1"/>
  <c r="K2424" i="1"/>
  <c r="J2423" i="1"/>
  <c r="K2423" i="1" s="1"/>
  <c r="K2422" i="1"/>
  <c r="J2421" i="1"/>
  <c r="K2421" i="1" s="1"/>
  <c r="V2420" i="1"/>
  <c r="K2420" i="1"/>
  <c r="J2419" i="1"/>
  <c r="K2419" i="1" s="1"/>
  <c r="K2418" i="1"/>
  <c r="J2417" i="1"/>
  <c r="K2417" i="1" s="1"/>
  <c r="K2416" i="1"/>
  <c r="J2415" i="1"/>
  <c r="K2415" i="1" s="1"/>
  <c r="K2414" i="1"/>
  <c r="J2413" i="1"/>
  <c r="K2413" i="1" s="1"/>
  <c r="K2412" i="1"/>
  <c r="F2412" i="1"/>
  <c r="J2411" i="1"/>
  <c r="K2411" i="1" s="1"/>
  <c r="K2410" i="1"/>
  <c r="J2409" i="1"/>
  <c r="K2409" i="1" s="1"/>
  <c r="K2408" i="1"/>
  <c r="J2407" i="1"/>
  <c r="K2407" i="1" s="1"/>
  <c r="K2406" i="1"/>
  <c r="J2405" i="1"/>
  <c r="K2405" i="1" s="1"/>
  <c r="K2404" i="1"/>
  <c r="F2404" i="1"/>
  <c r="J2403" i="1"/>
  <c r="K2403" i="1" s="1"/>
  <c r="K2402" i="1"/>
  <c r="J2401" i="1"/>
  <c r="K2401" i="1" s="1"/>
  <c r="K2400" i="1"/>
  <c r="J2399" i="1"/>
  <c r="K2398" i="1"/>
  <c r="J2397" i="1"/>
  <c r="K2397" i="1" s="1"/>
  <c r="K2396" i="1"/>
  <c r="J2395" i="1"/>
  <c r="K2395" i="1" s="1"/>
  <c r="K2394" i="1"/>
  <c r="K2393" i="1"/>
  <c r="F2393" i="1"/>
  <c r="J2392" i="1"/>
  <c r="K2392" i="1" s="1"/>
  <c r="K2391" i="1"/>
  <c r="J2390" i="1"/>
  <c r="K2390" i="1" s="1"/>
  <c r="K2389" i="1"/>
  <c r="K2388" i="1"/>
  <c r="J2387" i="1"/>
  <c r="K2387" i="1" s="1"/>
  <c r="K2386" i="1"/>
  <c r="K2385" i="1"/>
  <c r="K2384" i="1"/>
  <c r="K2383" i="1"/>
  <c r="J2382" i="1"/>
  <c r="K2382" i="1" s="1"/>
  <c r="K2381" i="1"/>
  <c r="F2381" i="1"/>
  <c r="K2380" i="1"/>
  <c r="K2379" i="1"/>
  <c r="K2378" i="1"/>
  <c r="K2377" i="1"/>
  <c r="K2376" i="1"/>
  <c r="K2375" i="1"/>
  <c r="K2374" i="1"/>
  <c r="K2373" i="1"/>
  <c r="K2372" i="1"/>
  <c r="K2371" i="1"/>
  <c r="J2370" i="1"/>
  <c r="K2370" i="1" s="1"/>
  <c r="K2369" i="1"/>
  <c r="K2368" i="1"/>
  <c r="K2367" i="1"/>
  <c r="L2366" i="1"/>
  <c r="K2366" i="1"/>
  <c r="F2366" i="1"/>
  <c r="J2365" i="1"/>
  <c r="K2365" i="1" s="1"/>
  <c r="K2364" i="1"/>
  <c r="J2363" i="1"/>
  <c r="K2363" i="1" s="1"/>
  <c r="K2362" i="1"/>
  <c r="J2361" i="1"/>
  <c r="K2361" i="1" s="1"/>
  <c r="K2360" i="1"/>
  <c r="J2359" i="1"/>
  <c r="K2359" i="1" s="1"/>
  <c r="K2358" i="1"/>
  <c r="F2358" i="1"/>
  <c r="J2357" i="1"/>
  <c r="K2357" i="1" s="1"/>
  <c r="K2356" i="1"/>
  <c r="F2356" i="1"/>
  <c r="J2355" i="1"/>
  <c r="K2355" i="1" s="1"/>
  <c r="K2354" i="1"/>
  <c r="F2354" i="1"/>
  <c r="K2353" i="1"/>
  <c r="F2353" i="1"/>
  <c r="K2352" i="1"/>
  <c r="F2352" i="1"/>
  <c r="J2351" i="1"/>
  <c r="K2351" i="1" s="1"/>
  <c r="K2350" i="1"/>
  <c r="J2349" i="1"/>
  <c r="K2349" i="1" s="1"/>
  <c r="K2348" i="1"/>
  <c r="K2347" i="1"/>
  <c r="F2347" i="1"/>
  <c r="J2346" i="1"/>
  <c r="K2346" i="1" s="1"/>
  <c r="K2345" i="1"/>
  <c r="K2344" i="1"/>
  <c r="K2343" i="1"/>
  <c r="K2342" i="1"/>
  <c r="K2341" i="1"/>
  <c r="K2340" i="1"/>
  <c r="K2339" i="1"/>
  <c r="K2338" i="1"/>
  <c r="K2337" i="1"/>
  <c r="K2336" i="1"/>
  <c r="J2335" i="1"/>
  <c r="K2335" i="1" s="1"/>
  <c r="K2334" i="1"/>
  <c r="K2333" i="1"/>
  <c r="K2332" i="1"/>
  <c r="K2331" i="1"/>
  <c r="K2330" i="1"/>
  <c r="K2329" i="1"/>
  <c r="K2327" i="1"/>
  <c r="K2326" i="1"/>
  <c r="I2325" i="1"/>
  <c r="K2325" i="1" s="1"/>
  <c r="K2324" i="1"/>
  <c r="I2324" i="1"/>
  <c r="J2328" i="1" s="1"/>
  <c r="K2328" i="1" s="1"/>
  <c r="K2323" i="1"/>
  <c r="K2322" i="1"/>
  <c r="K2321" i="1"/>
  <c r="K2320" i="1"/>
  <c r="K2319" i="1"/>
  <c r="K2318" i="1"/>
  <c r="F2318" i="1"/>
  <c r="J2317" i="1"/>
  <c r="K2317" i="1" s="1"/>
  <c r="K2316" i="1"/>
  <c r="J2315" i="1"/>
  <c r="K2315" i="1" s="1"/>
  <c r="K2314" i="1"/>
  <c r="J2313" i="1"/>
  <c r="K2313" i="1" s="1"/>
  <c r="K2312" i="1"/>
  <c r="J2311" i="1"/>
  <c r="K2311" i="1" s="1"/>
  <c r="K2310" i="1"/>
  <c r="K2309" i="1"/>
  <c r="J2308" i="1"/>
  <c r="K2308" i="1" s="1"/>
  <c r="K2307" i="1"/>
  <c r="J2306" i="1"/>
  <c r="K2306" i="1" s="1"/>
  <c r="K2305" i="1"/>
  <c r="J2304" i="1"/>
  <c r="K2304" i="1" s="1"/>
  <c r="K2303" i="1"/>
  <c r="K2302" i="1"/>
  <c r="J2301" i="1"/>
  <c r="K2301" i="1" s="1"/>
  <c r="K2300" i="1"/>
  <c r="J2299" i="1"/>
  <c r="K2299" i="1" s="1"/>
  <c r="K2298" i="1"/>
  <c r="J2297" i="1"/>
  <c r="K2297" i="1" s="1"/>
  <c r="K2296" i="1"/>
  <c r="J2295" i="1"/>
  <c r="K2295" i="1" s="1"/>
  <c r="K2294" i="1"/>
  <c r="J2293" i="1"/>
  <c r="K2293" i="1" s="1"/>
  <c r="K2292" i="1"/>
  <c r="J2291" i="1"/>
  <c r="K2291" i="1" s="1"/>
  <c r="K2290" i="1"/>
  <c r="J2289" i="1"/>
  <c r="K2289" i="1" s="1"/>
  <c r="K2288" i="1"/>
  <c r="J2287" i="1"/>
  <c r="K2287" i="1" s="1"/>
  <c r="K2286" i="1"/>
  <c r="J2285" i="1"/>
  <c r="K2285" i="1" s="1"/>
  <c r="K2284" i="1"/>
  <c r="J2283" i="1"/>
  <c r="K2283" i="1" s="1"/>
  <c r="K2282" i="1"/>
  <c r="J2281" i="1"/>
  <c r="K2281" i="1" s="1"/>
  <c r="K2280" i="1"/>
  <c r="J2279" i="1"/>
  <c r="K2279" i="1" s="1"/>
  <c r="K2278" i="1"/>
  <c r="K2277" i="1"/>
  <c r="J2276" i="1"/>
  <c r="K2276" i="1" s="1"/>
  <c r="K2275" i="1"/>
  <c r="F2275" i="1"/>
  <c r="J2274" i="1"/>
  <c r="K2274" i="1" s="1"/>
  <c r="K2273" i="1"/>
  <c r="J2272" i="1"/>
  <c r="K2272" i="1" s="1"/>
  <c r="K2271" i="1"/>
  <c r="K2270" i="1"/>
  <c r="K2269" i="1"/>
  <c r="K2268" i="1"/>
  <c r="K2267" i="1"/>
  <c r="F2267" i="1"/>
  <c r="J2266" i="1"/>
  <c r="K2266" i="1" s="1"/>
  <c r="K2265" i="1"/>
  <c r="J2264" i="1"/>
  <c r="K2264" i="1" s="1"/>
  <c r="K2263" i="1"/>
  <c r="F2263" i="1"/>
  <c r="K2261" i="1"/>
  <c r="I2261" i="1"/>
  <c r="I2260" i="1"/>
  <c r="F2260" i="1"/>
  <c r="I2258" i="1"/>
  <c r="K2258" i="1" s="1"/>
  <c r="I2257" i="1"/>
  <c r="K2257" i="1" s="1"/>
  <c r="F2257" i="1"/>
  <c r="K2256" i="1"/>
  <c r="F2256" i="1"/>
  <c r="K2255" i="1"/>
  <c r="F2255" i="1"/>
  <c r="J2254" i="1"/>
  <c r="K2254" i="1" s="1"/>
  <c r="K2253" i="1"/>
  <c r="J2252" i="1"/>
  <c r="K2252" i="1" s="1"/>
  <c r="K2251" i="1"/>
  <c r="J2250" i="1"/>
  <c r="K2250" i="1" s="1"/>
  <c r="K2249" i="1"/>
  <c r="J2248" i="1"/>
  <c r="K2248" i="1" s="1"/>
  <c r="K2247" i="1"/>
  <c r="J2246" i="1"/>
  <c r="K2246" i="1" s="1"/>
  <c r="K2245" i="1"/>
  <c r="J2244" i="1"/>
  <c r="K2244" i="1" s="1"/>
  <c r="K2243" i="1"/>
  <c r="J2242" i="1"/>
  <c r="K2242" i="1" s="1"/>
  <c r="K2241" i="1"/>
  <c r="K2240" i="1"/>
  <c r="J2239" i="1"/>
  <c r="K2239" i="1" s="1"/>
  <c r="K2238" i="1"/>
  <c r="K2237" i="1"/>
  <c r="J2236" i="1"/>
  <c r="K2236" i="1" s="1"/>
  <c r="K2235" i="1"/>
  <c r="K2234" i="1"/>
  <c r="K2233" i="1"/>
  <c r="F2233" i="1"/>
  <c r="J2232" i="1"/>
  <c r="K2232" i="1" s="1"/>
  <c r="K2231" i="1"/>
  <c r="K2230" i="1"/>
  <c r="K2229" i="1"/>
  <c r="F2229" i="1"/>
  <c r="J2228" i="1"/>
  <c r="K2228" i="1" s="1"/>
  <c r="V2227" i="1"/>
  <c r="K2227" i="1"/>
  <c r="J2226" i="1"/>
  <c r="K2226" i="1" s="1"/>
  <c r="K2225" i="1"/>
  <c r="J2224" i="1"/>
  <c r="K2224" i="1" s="1"/>
  <c r="K2223" i="1"/>
  <c r="J2222" i="1"/>
  <c r="K2222" i="1" s="1"/>
  <c r="K2221" i="1"/>
  <c r="K2220" i="1"/>
  <c r="K2219" i="1"/>
  <c r="F2219" i="1"/>
  <c r="K2218" i="1"/>
  <c r="J2217" i="1"/>
  <c r="K2217" i="1" s="1"/>
  <c r="K2216" i="1"/>
  <c r="F2216" i="1"/>
  <c r="J2215" i="1"/>
  <c r="K2215" i="1" s="1"/>
  <c r="K2214" i="1"/>
  <c r="J2213" i="1"/>
  <c r="K2213" i="1" s="1"/>
  <c r="K2212" i="1"/>
  <c r="J2211" i="1"/>
  <c r="K2211" i="1" s="1"/>
  <c r="K2210" i="1"/>
  <c r="F2210" i="1"/>
  <c r="J2209" i="1"/>
  <c r="K2209" i="1" s="1"/>
  <c r="K2208" i="1"/>
  <c r="J2207" i="1"/>
  <c r="K2207" i="1" s="1"/>
  <c r="K2206" i="1"/>
  <c r="J2205" i="1"/>
  <c r="K2205" i="1" s="1"/>
  <c r="K2204" i="1"/>
  <c r="F2204" i="1"/>
  <c r="J2203" i="1"/>
  <c r="K2203" i="1" s="1"/>
  <c r="K2202" i="1"/>
  <c r="F2202" i="1"/>
  <c r="J2201" i="1"/>
  <c r="K2201" i="1" s="1"/>
  <c r="K2200" i="1"/>
  <c r="K2199" i="1"/>
  <c r="F2199" i="1"/>
  <c r="J2198" i="1"/>
  <c r="K2198" i="1" s="1"/>
  <c r="K2197" i="1"/>
  <c r="K2196" i="1"/>
  <c r="F2196" i="1"/>
  <c r="J2195" i="1"/>
  <c r="K2195" i="1" s="1"/>
  <c r="K2194" i="1"/>
  <c r="J2193" i="1"/>
  <c r="K2193" i="1" s="1"/>
  <c r="K2192" i="1"/>
  <c r="J2191" i="1"/>
  <c r="K2191" i="1" s="1"/>
  <c r="K2190" i="1"/>
  <c r="J2189" i="1"/>
  <c r="K2189" i="1" s="1"/>
  <c r="K2188" i="1"/>
  <c r="J2187" i="1"/>
  <c r="K2187" i="1" s="1"/>
  <c r="K2186" i="1"/>
  <c r="J2185" i="1"/>
  <c r="K2185" i="1" s="1"/>
  <c r="K2184" i="1"/>
  <c r="J2183" i="1"/>
  <c r="K2183" i="1" s="1"/>
  <c r="K2182" i="1"/>
  <c r="J2181" i="1"/>
  <c r="K2181" i="1" s="1"/>
  <c r="K2180" i="1"/>
  <c r="J2179" i="1"/>
  <c r="K2179" i="1" s="1"/>
  <c r="K2178" i="1"/>
  <c r="K2177" i="1"/>
  <c r="K2176" i="1"/>
  <c r="J2175" i="1"/>
  <c r="K2175" i="1" s="1"/>
  <c r="K2174" i="1"/>
  <c r="K2173" i="1"/>
  <c r="F2173" i="1"/>
  <c r="K2172" i="1"/>
  <c r="F2172" i="1"/>
  <c r="K2171" i="1"/>
  <c r="F2171" i="1"/>
  <c r="J2170" i="1"/>
  <c r="K2170" i="1" s="1"/>
  <c r="K2169" i="1"/>
  <c r="K2168" i="1"/>
  <c r="K2167" i="1"/>
  <c r="K2166" i="1"/>
  <c r="K2165" i="1"/>
  <c r="K2164" i="1"/>
  <c r="K2163" i="1"/>
  <c r="J2162" i="1"/>
  <c r="K2162" i="1" s="1"/>
  <c r="K2161" i="1"/>
  <c r="I2158" i="1"/>
  <c r="K2158" i="1" s="1"/>
  <c r="I2157" i="1"/>
  <c r="K2157" i="1" s="1"/>
  <c r="F2157" i="1"/>
  <c r="J2156" i="1"/>
  <c r="K2156" i="1" s="1"/>
  <c r="K2155" i="1"/>
  <c r="F2155" i="1"/>
  <c r="J2154" i="1"/>
  <c r="K2154" i="1" s="1"/>
  <c r="K2153" i="1"/>
  <c r="F2153" i="1"/>
  <c r="K2152" i="1"/>
  <c r="K2151" i="1"/>
  <c r="J2150" i="1"/>
  <c r="K2150" i="1" s="1"/>
  <c r="K2149" i="1"/>
  <c r="K2148" i="1"/>
  <c r="K2147" i="1"/>
  <c r="J2146" i="1"/>
  <c r="K2146" i="1" s="1"/>
  <c r="K2145" i="1"/>
  <c r="J2144" i="1"/>
  <c r="K2144" i="1" s="1"/>
  <c r="K2143" i="1"/>
  <c r="J2142" i="1"/>
  <c r="K2142" i="1" s="1"/>
  <c r="K2141" i="1"/>
  <c r="J2140" i="1"/>
  <c r="K2140" i="1" s="1"/>
  <c r="K2139" i="1"/>
  <c r="J2138" i="1"/>
  <c r="K2138" i="1" s="1"/>
  <c r="K2137" i="1"/>
  <c r="J2136" i="1"/>
  <c r="K2136" i="1" s="1"/>
  <c r="K2135" i="1"/>
  <c r="J2134" i="1"/>
  <c r="K2134" i="1" s="1"/>
  <c r="K2133" i="1"/>
  <c r="I2129" i="1"/>
  <c r="J2131" i="1" s="1"/>
  <c r="K2131" i="1" s="1"/>
  <c r="F2129" i="1"/>
  <c r="K2125" i="1"/>
  <c r="I2125" i="1"/>
  <c r="F2125" i="1"/>
  <c r="J2124" i="1"/>
  <c r="K2124" i="1" s="1"/>
  <c r="K2123" i="1"/>
  <c r="K2122" i="1"/>
  <c r="K2121" i="1"/>
  <c r="K2120" i="1"/>
  <c r="F2120" i="1"/>
  <c r="J2119" i="1"/>
  <c r="K2119" i="1" s="1"/>
  <c r="K2118" i="1"/>
  <c r="K2117" i="1"/>
  <c r="K2116" i="1"/>
  <c r="K2115" i="1"/>
  <c r="K2114" i="1"/>
  <c r="K2113" i="1"/>
  <c r="F2113" i="1"/>
  <c r="J2112" i="1"/>
  <c r="K2112" i="1" s="1"/>
  <c r="K2111" i="1"/>
  <c r="K2110" i="1"/>
  <c r="K2109" i="1"/>
  <c r="K2108" i="1"/>
  <c r="J2107" i="1"/>
  <c r="K2107" i="1" s="1"/>
  <c r="K2106" i="1"/>
  <c r="J2105" i="1"/>
  <c r="K2105" i="1" s="1"/>
  <c r="K2104" i="1"/>
  <c r="K2103" i="1"/>
  <c r="K2102" i="1"/>
  <c r="K2101" i="1"/>
  <c r="K2100" i="1"/>
  <c r="K2099" i="1"/>
  <c r="K2098" i="1"/>
  <c r="K2097" i="1"/>
  <c r="K2096" i="1"/>
  <c r="K2095" i="1"/>
  <c r="K2094" i="1"/>
  <c r="K2093" i="1"/>
  <c r="K2092" i="1"/>
  <c r="K2091" i="1"/>
  <c r="K2090" i="1"/>
  <c r="K2089" i="1"/>
  <c r="K2088" i="1"/>
  <c r="K2087" i="1"/>
  <c r="F2087" i="1"/>
  <c r="J2086" i="1"/>
  <c r="K2086" i="1" s="1"/>
  <c r="K2085" i="1"/>
  <c r="J2084" i="1"/>
  <c r="K2084" i="1" s="1"/>
  <c r="K2083" i="1"/>
  <c r="J2082" i="1"/>
  <c r="K2082" i="1" s="1"/>
  <c r="K2081" i="1"/>
  <c r="J2080" i="1"/>
  <c r="K2080" i="1" s="1"/>
  <c r="K2079" i="1"/>
  <c r="K2078" i="1"/>
  <c r="K2077" i="1"/>
  <c r="K2076" i="1"/>
  <c r="K2075" i="1"/>
  <c r="K2074" i="1"/>
  <c r="K2073" i="1"/>
  <c r="K2072" i="1"/>
  <c r="K2071" i="1"/>
  <c r="F2071" i="1"/>
  <c r="J2070" i="1"/>
  <c r="K2070" i="1" s="1"/>
  <c r="K2069" i="1"/>
  <c r="K2067" i="1"/>
  <c r="I2067" i="1"/>
  <c r="I2066" i="1"/>
  <c r="K2066" i="1" s="1"/>
  <c r="J2065" i="1"/>
  <c r="K2065" i="1" s="1"/>
  <c r="K2064" i="1"/>
  <c r="K2063" i="1"/>
  <c r="F2063" i="1"/>
  <c r="J2062" i="1"/>
  <c r="K2062" i="1" s="1"/>
  <c r="K2061" i="1"/>
  <c r="K2060" i="1"/>
  <c r="F2060" i="1"/>
  <c r="J2059" i="1"/>
  <c r="K2059" i="1" s="1"/>
  <c r="K2058" i="1"/>
  <c r="J2057" i="1"/>
  <c r="K2057" i="1" s="1"/>
  <c r="K2056" i="1"/>
  <c r="J2055" i="1"/>
  <c r="K2055" i="1" s="1"/>
  <c r="K2054" i="1"/>
  <c r="J2053" i="1"/>
  <c r="K2053" i="1" s="1"/>
  <c r="K2052" i="1"/>
  <c r="J2051" i="1"/>
  <c r="K2051" i="1" s="1"/>
  <c r="K2050" i="1"/>
  <c r="F2050" i="1"/>
  <c r="J2049" i="1"/>
  <c r="K2049" i="1" s="1"/>
  <c r="K2048" i="1"/>
  <c r="J2047" i="1"/>
  <c r="K2047" i="1" s="1"/>
  <c r="K2046" i="1"/>
  <c r="J2045" i="1"/>
  <c r="K2045" i="1" s="1"/>
  <c r="K2044" i="1"/>
  <c r="J2043" i="1"/>
  <c r="K2043" i="1" s="1"/>
  <c r="K2042" i="1"/>
  <c r="J2041" i="1"/>
  <c r="K2041" i="1" s="1"/>
  <c r="K2040" i="1"/>
  <c r="J2039" i="1"/>
  <c r="K2039" i="1" s="1"/>
  <c r="K2038" i="1"/>
  <c r="K2037" i="1"/>
  <c r="F2037" i="1"/>
  <c r="J2036" i="1"/>
  <c r="K2036" i="1" s="1"/>
  <c r="K2035" i="1"/>
  <c r="F2035" i="1"/>
  <c r="J2034" i="1"/>
  <c r="K2034" i="1" s="1"/>
  <c r="K2033" i="1"/>
  <c r="F2033" i="1"/>
  <c r="I2030" i="1"/>
  <c r="K2030" i="1" s="1"/>
  <c r="I2029" i="1"/>
  <c r="K2029" i="1" s="1"/>
  <c r="F2029" i="1"/>
  <c r="J2028" i="1"/>
  <c r="K2028" i="1" s="1"/>
  <c r="K2027" i="1"/>
  <c r="F2027" i="1"/>
  <c r="J2026" i="1"/>
  <c r="K2026" i="1" s="1"/>
  <c r="K2025" i="1"/>
  <c r="F2025" i="1"/>
  <c r="J2024" i="1"/>
  <c r="K2024" i="1" s="1"/>
  <c r="K2023" i="1"/>
  <c r="F2023" i="1"/>
  <c r="J2022" i="1"/>
  <c r="K2022" i="1" s="1"/>
  <c r="K2021" i="1"/>
  <c r="J2020" i="1"/>
  <c r="K2020" i="1" s="1"/>
  <c r="K2019" i="1"/>
  <c r="J2018" i="1"/>
  <c r="K2018" i="1" s="1"/>
  <c r="K2017" i="1"/>
  <c r="J2016" i="1"/>
  <c r="K2016" i="1" s="1"/>
  <c r="K2015" i="1"/>
  <c r="J2014" i="1"/>
  <c r="K2014" i="1" s="1"/>
  <c r="K2013" i="1"/>
  <c r="J2012" i="1"/>
  <c r="K2012" i="1" s="1"/>
  <c r="K2011" i="1"/>
  <c r="J2010" i="1"/>
  <c r="K2010" i="1" s="1"/>
  <c r="K2009" i="1"/>
  <c r="J2008" i="1"/>
  <c r="K2008" i="1" s="1"/>
  <c r="K2007" i="1"/>
  <c r="J2006" i="1"/>
  <c r="K2006" i="1" s="1"/>
  <c r="K2005" i="1"/>
  <c r="K2004" i="1"/>
  <c r="F2004" i="1"/>
  <c r="J2003" i="1"/>
  <c r="K2003" i="1" s="1"/>
  <c r="K2002" i="1"/>
  <c r="J2001" i="1"/>
  <c r="K2001" i="1" s="1"/>
  <c r="K2000" i="1"/>
  <c r="K1999" i="1"/>
  <c r="K1998" i="1"/>
  <c r="J1997" i="1"/>
  <c r="K1997" i="1" s="1"/>
  <c r="K1996" i="1"/>
  <c r="F1996" i="1"/>
  <c r="J1995" i="1"/>
  <c r="K1995" i="1" s="1"/>
  <c r="K1994" i="1"/>
  <c r="K1993" i="1"/>
  <c r="K1992" i="1"/>
  <c r="K1991" i="1"/>
  <c r="F1991" i="1"/>
  <c r="J1990" i="1"/>
  <c r="K1990" i="1" s="1"/>
  <c r="K1989" i="1"/>
  <c r="J1988" i="1"/>
  <c r="K1988" i="1" s="1"/>
  <c r="K1987" i="1"/>
  <c r="K1986" i="1"/>
  <c r="K1985" i="1"/>
  <c r="K1984" i="1"/>
  <c r="F1984" i="1"/>
  <c r="J1983" i="1"/>
  <c r="K1983" i="1" s="1"/>
  <c r="K1982" i="1"/>
  <c r="K1981" i="1"/>
  <c r="F1981" i="1"/>
  <c r="J1980" i="1"/>
  <c r="K1980" i="1" s="1"/>
  <c r="K1979" i="1"/>
  <c r="F1979" i="1"/>
  <c r="J1978" i="1"/>
  <c r="K1978" i="1" s="1"/>
  <c r="K1977" i="1"/>
  <c r="J1976" i="1"/>
  <c r="K1976" i="1" s="1"/>
  <c r="K1975" i="1"/>
  <c r="J1974" i="1"/>
  <c r="K1974" i="1" s="1"/>
  <c r="K1973" i="1"/>
  <c r="J1972" i="1"/>
  <c r="K1972" i="1" s="1"/>
  <c r="K1971" i="1"/>
  <c r="K1970" i="1"/>
  <c r="J1969" i="1"/>
  <c r="K1969" i="1" s="1"/>
  <c r="K1968" i="1"/>
  <c r="K1967" i="1"/>
  <c r="K1966" i="1"/>
  <c r="F1966" i="1"/>
  <c r="J1965" i="1"/>
  <c r="K1965" i="1" s="1"/>
  <c r="K1964" i="1"/>
  <c r="K1963" i="1"/>
  <c r="K1962" i="1"/>
  <c r="F1962" i="1"/>
  <c r="J1961" i="1"/>
  <c r="K1961" i="1" s="1"/>
  <c r="K1960" i="1"/>
  <c r="F1960" i="1"/>
  <c r="J1959" i="1"/>
  <c r="K1959" i="1" s="1"/>
  <c r="K1958" i="1"/>
  <c r="J1957" i="1"/>
  <c r="K1957" i="1" s="1"/>
  <c r="K1956" i="1"/>
  <c r="F1956" i="1"/>
  <c r="J1955" i="1"/>
  <c r="K1955" i="1" s="1"/>
  <c r="K1954" i="1"/>
  <c r="J1953" i="1"/>
  <c r="K1953" i="1" s="1"/>
  <c r="K1952" i="1"/>
  <c r="J1951" i="1"/>
  <c r="K1951" i="1" s="1"/>
  <c r="K1950" i="1"/>
  <c r="J1949" i="1"/>
  <c r="K1949" i="1" s="1"/>
  <c r="K1948" i="1"/>
  <c r="J1947" i="1"/>
  <c r="K1947" i="1" s="1"/>
  <c r="K1946" i="1"/>
  <c r="J1945" i="1"/>
  <c r="K1945" i="1" s="1"/>
  <c r="K1944" i="1"/>
  <c r="J1943" i="1"/>
  <c r="K1943" i="1" s="1"/>
  <c r="K1942" i="1"/>
  <c r="J1940" i="1"/>
  <c r="K1940" i="1" s="1"/>
  <c r="I1938" i="1"/>
  <c r="I1939" i="1" s="1"/>
  <c r="K1939" i="1" s="1"/>
  <c r="F1938" i="1"/>
  <c r="J1936" i="1"/>
  <c r="K1936" i="1" s="1"/>
  <c r="I1934" i="1"/>
  <c r="F1934" i="1"/>
  <c r="I1931" i="1"/>
  <c r="K1931" i="1" s="1"/>
  <c r="K1930" i="1"/>
  <c r="I1930" i="1"/>
  <c r="F1930" i="1"/>
  <c r="J1929" i="1"/>
  <c r="K1929" i="1" s="1"/>
  <c r="K1928" i="1"/>
  <c r="J1927" i="1"/>
  <c r="K1927" i="1" s="1"/>
  <c r="K1926" i="1"/>
  <c r="J1925" i="1"/>
  <c r="K1925" i="1" s="1"/>
  <c r="K1924" i="1"/>
  <c r="J1923" i="1"/>
  <c r="K1923" i="1" s="1"/>
  <c r="K1922" i="1"/>
  <c r="J1921" i="1"/>
  <c r="K1921" i="1" s="1"/>
  <c r="K1920" i="1"/>
  <c r="J1919" i="1"/>
  <c r="K1919" i="1" s="1"/>
  <c r="K1918" i="1"/>
  <c r="J1917" i="1"/>
  <c r="K1917" i="1" s="1"/>
  <c r="K1916" i="1"/>
  <c r="J1915" i="1"/>
  <c r="K1915" i="1" s="1"/>
  <c r="K1914" i="1"/>
  <c r="J1913" i="1"/>
  <c r="K1913" i="1" s="1"/>
  <c r="K1912" i="1"/>
  <c r="J1911" i="1"/>
  <c r="K1911" i="1" s="1"/>
  <c r="K1910" i="1"/>
  <c r="J1909" i="1"/>
  <c r="K1909" i="1" s="1"/>
  <c r="K1908" i="1"/>
  <c r="J1907" i="1"/>
  <c r="K1907" i="1" s="1"/>
  <c r="K1906" i="1"/>
  <c r="J1905" i="1"/>
  <c r="K1905" i="1" s="1"/>
  <c r="K1904" i="1"/>
  <c r="J1903" i="1"/>
  <c r="K1903" i="1" s="1"/>
  <c r="K1902" i="1"/>
  <c r="J1901" i="1"/>
  <c r="K1901" i="1" s="1"/>
  <c r="K1900" i="1"/>
  <c r="J1899" i="1"/>
  <c r="K1899" i="1" s="1"/>
  <c r="K1898" i="1"/>
  <c r="J1897" i="1"/>
  <c r="K1897" i="1" s="1"/>
  <c r="L1896" i="1"/>
  <c r="K1896" i="1"/>
  <c r="J1895" i="1"/>
  <c r="K1895" i="1" s="1"/>
  <c r="K1894" i="1"/>
  <c r="J1893" i="1"/>
  <c r="K1893" i="1" s="1"/>
  <c r="K1892" i="1"/>
  <c r="K1891" i="1"/>
  <c r="K1890" i="1"/>
  <c r="K1889" i="1"/>
  <c r="J1888" i="1"/>
  <c r="K1888" i="1" s="1"/>
  <c r="K1887" i="1"/>
  <c r="J1886" i="1"/>
  <c r="K1886" i="1" s="1"/>
  <c r="K1885" i="1"/>
  <c r="J1884" i="1"/>
  <c r="K1884" i="1" s="1"/>
  <c r="K1883" i="1"/>
  <c r="J1882" i="1"/>
  <c r="K1882" i="1" s="1"/>
  <c r="K1881" i="1"/>
  <c r="J1880" i="1"/>
  <c r="K1880" i="1" s="1"/>
  <c r="K1879" i="1"/>
  <c r="J1878" i="1"/>
  <c r="K1878" i="1" s="1"/>
  <c r="K1877" i="1"/>
  <c r="F1877" i="1"/>
  <c r="J1876" i="1"/>
  <c r="K1876" i="1" s="1"/>
  <c r="K1875" i="1"/>
  <c r="K1874" i="1"/>
  <c r="F1874" i="1"/>
  <c r="J1873" i="1"/>
  <c r="K1873" i="1" s="1"/>
  <c r="K1872" i="1"/>
  <c r="F1872" i="1"/>
  <c r="J1871" i="1"/>
  <c r="K1871" i="1" s="1"/>
  <c r="K1870" i="1"/>
  <c r="J1869" i="1"/>
  <c r="K1869" i="1" s="1"/>
  <c r="K1868" i="1"/>
  <c r="K1867" i="1"/>
  <c r="J1866" i="1"/>
  <c r="K1866" i="1" s="1"/>
  <c r="K1865" i="1"/>
  <c r="K1864" i="1"/>
  <c r="K1863" i="1"/>
  <c r="K1862" i="1"/>
  <c r="K1861" i="1"/>
  <c r="K1860" i="1"/>
  <c r="K1859" i="1"/>
  <c r="K1858" i="1"/>
  <c r="K1857" i="1"/>
  <c r="K1856" i="1"/>
  <c r="K1855" i="1"/>
  <c r="F1855" i="1"/>
  <c r="J1854" i="1"/>
  <c r="K1854" i="1" s="1"/>
  <c r="K1853" i="1"/>
  <c r="K1852" i="1"/>
  <c r="F1852" i="1"/>
  <c r="J1851" i="1"/>
  <c r="K1851" i="1" s="1"/>
  <c r="K1850" i="1"/>
  <c r="J1849" i="1"/>
  <c r="K1849" i="1" s="1"/>
  <c r="K1848" i="1"/>
  <c r="J1847" i="1"/>
  <c r="K1847" i="1" s="1"/>
  <c r="K1846" i="1"/>
  <c r="J1845" i="1"/>
  <c r="K1845" i="1" s="1"/>
  <c r="K1844" i="1"/>
  <c r="J1843" i="1"/>
  <c r="K1843" i="1" s="1"/>
  <c r="K1842" i="1"/>
  <c r="J1841" i="1"/>
  <c r="K1841" i="1" s="1"/>
  <c r="K1840" i="1"/>
  <c r="J1839" i="1"/>
  <c r="K1839" i="1" s="1"/>
  <c r="K1838" i="1"/>
  <c r="J1837" i="1"/>
  <c r="K1837" i="1" s="1"/>
  <c r="K1836" i="1"/>
  <c r="J1835" i="1"/>
  <c r="K1835" i="1" s="1"/>
  <c r="K1834" i="1"/>
  <c r="J1833" i="1"/>
  <c r="K1833" i="1" s="1"/>
  <c r="K1832" i="1"/>
  <c r="J1831" i="1"/>
  <c r="K1831" i="1" s="1"/>
  <c r="K1830" i="1"/>
  <c r="J1829" i="1"/>
  <c r="K1829" i="1" s="1"/>
  <c r="K1828" i="1"/>
  <c r="K1827" i="1"/>
  <c r="L1826" i="1"/>
  <c r="K1826" i="1"/>
  <c r="F1826" i="1"/>
  <c r="J1825" i="1"/>
  <c r="K1825" i="1" s="1"/>
  <c r="K1824" i="1"/>
  <c r="K1822" i="1"/>
  <c r="K1821" i="1"/>
  <c r="I1821" i="1"/>
  <c r="I1820" i="1"/>
  <c r="K1819" i="1"/>
  <c r="K1818" i="1"/>
  <c r="K1817" i="1"/>
  <c r="K1816" i="1"/>
  <c r="K1815" i="1"/>
  <c r="K1814" i="1"/>
  <c r="F1814" i="1"/>
  <c r="J1813" i="1"/>
  <c r="K1813" i="1" s="1"/>
  <c r="K1812" i="1"/>
  <c r="K1811" i="1"/>
  <c r="K1810" i="1"/>
  <c r="K1809" i="1"/>
  <c r="K1808" i="1"/>
  <c r="F1808" i="1"/>
  <c r="J1807" i="1"/>
  <c r="K1807" i="1" s="1"/>
  <c r="K1806" i="1"/>
  <c r="J1805" i="1"/>
  <c r="K1805" i="1" s="1"/>
  <c r="K1804" i="1"/>
  <c r="J1803" i="1"/>
  <c r="K1803" i="1" s="1"/>
  <c r="K1802" i="1"/>
  <c r="F1802" i="1"/>
  <c r="K1801" i="1"/>
  <c r="K1800" i="1"/>
  <c r="K1799" i="1"/>
  <c r="J1798" i="1"/>
  <c r="K1798" i="1" s="1"/>
  <c r="K1797" i="1"/>
  <c r="J1796" i="1"/>
  <c r="K1796" i="1" s="1"/>
  <c r="K1795" i="1"/>
  <c r="J1794" i="1"/>
  <c r="K1794" i="1" s="1"/>
  <c r="K1793" i="1"/>
  <c r="J1792" i="1"/>
  <c r="K1792" i="1" s="1"/>
  <c r="K1791" i="1"/>
  <c r="J1790" i="1"/>
  <c r="K1790" i="1" s="1"/>
  <c r="K1789" i="1"/>
  <c r="J1788" i="1"/>
  <c r="K1788" i="1" s="1"/>
  <c r="K1787" i="1"/>
  <c r="J1786" i="1"/>
  <c r="K1786" i="1" s="1"/>
  <c r="K1785" i="1"/>
  <c r="F1785" i="1"/>
  <c r="J1784" i="1"/>
  <c r="K1784" i="1" s="1"/>
  <c r="K1783" i="1"/>
  <c r="F1783" i="1"/>
  <c r="J1782" i="1"/>
  <c r="K1782" i="1" s="1"/>
  <c r="K1781" i="1"/>
  <c r="J1780" i="1"/>
  <c r="K1780" i="1" s="1"/>
  <c r="K1779" i="1"/>
  <c r="J1777" i="1"/>
  <c r="K1777" i="1" s="1"/>
  <c r="I1775" i="1"/>
  <c r="I1776" i="1" s="1"/>
  <c r="K1776" i="1" s="1"/>
  <c r="F1775" i="1"/>
  <c r="J1773" i="1"/>
  <c r="K1773" i="1" s="1"/>
  <c r="K1771" i="1"/>
  <c r="I1771" i="1"/>
  <c r="F1771" i="1"/>
  <c r="I1768" i="1"/>
  <c r="K1768" i="1" s="1"/>
  <c r="K1767" i="1"/>
  <c r="I1767" i="1"/>
  <c r="F1767" i="1"/>
  <c r="J1766" i="1"/>
  <c r="K1766" i="1" s="1"/>
  <c r="K1765" i="1"/>
  <c r="J1764" i="1"/>
  <c r="K1764" i="1" s="1"/>
  <c r="K1763" i="1"/>
  <c r="J1762" i="1"/>
  <c r="K1762" i="1" s="1"/>
  <c r="K1761" i="1"/>
  <c r="K1760" i="1"/>
  <c r="K1759" i="1"/>
  <c r="J1758" i="1"/>
  <c r="K1758" i="1" s="1"/>
  <c r="K1757" i="1"/>
  <c r="K1756" i="1"/>
  <c r="K1755" i="1"/>
  <c r="F1755" i="1"/>
  <c r="I1753" i="1"/>
  <c r="K1752" i="1"/>
  <c r="F1752" i="1"/>
  <c r="J1750" i="1"/>
  <c r="K1750" i="1" s="1"/>
  <c r="I1749" i="1"/>
  <c r="K1749" i="1" s="1"/>
  <c r="K1748" i="1"/>
  <c r="I1748" i="1"/>
  <c r="F1748" i="1"/>
  <c r="J1747" i="1"/>
  <c r="K1747" i="1" s="1"/>
  <c r="K1746" i="1"/>
  <c r="K1745" i="1"/>
  <c r="V1744" i="1"/>
  <c r="K1744" i="1"/>
  <c r="J1743" i="1"/>
  <c r="K1743" i="1" s="1"/>
  <c r="K1742" i="1"/>
  <c r="J1741" i="1"/>
  <c r="K1741" i="1" s="1"/>
  <c r="K1740" i="1"/>
  <c r="K1739" i="1"/>
  <c r="J1738" i="1"/>
  <c r="K1738" i="1" s="1"/>
  <c r="K1737" i="1"/>
  <c r="J1736" i="1"/>
  <c r="K1736" i="1" s="1"/>
  <c r="K1735" i="1"/>
  <c r="K1734" i="1"/>
  <c r="F1734" i="1"/>
  <c r="J1733" i="1"/>
  <c r="K1733" i="1" s="1"/>
  <c r="K1732" i="1"/>
  <c r="J1731" i="1"/>
  <c r="K1731" i="1" s="1"/>
  <c r="K1730" i="1"/>
  <c r="J1729" i="1"/>
  <c r="K1729" i="1" s="1"/>
  <c r="K1728" i="1"/>
  <c r="K1727" i="1"/>
  <c r="K1726" i="1"/>
  <c r="F1726" i="1"/>
  <c r="J1725" i="1"/>
  <c r="K1725" i="1" s="1"/>
  <c r="K1724" i="1"/>
  <c r="K1723" i="1"/>
  <c r="K1722" i="1"/>
  <c r="F1722" i="1"/>
  <c r="J1721" i="1"/>
  <c r="K1721" i="1" s="1"/>
  <c r="K1720" i="1"/>
  <c r="K1719" i="1"/>
  <c r="K1718" i="1"/>
  <c r="F1718" i="1"/>
  <c r="J1717" i="1"/>
  <c r="K1717" i="1" s="1"/>
  <c r="K1716" i="1"/>
  <c r="K1715" i="1"/>
  <c r="K1714" i="1"/>
  <c r="F1714" i="1"/>
  <c r="J1713" i="1"/>
  <c r="K1713" i="1" s="1"/>
  <c r="K1712" i="1"/>
  <c r="F1712" i="1"/>
  <c r="J1711" i="1"/>
  <c r="K1711" i="1" s="1"/>
  <c r="K1710" i="1"/>
  <c r="F1710" i="1"/>
  <c r="J1709" i="1"/>
  <c r="K1709" i="1" s="1"/>
  <c r="K1708" i="1"/>
  <c r="J1707" i="1"/>
  <c r="K1707" i="1" s="1"/>
  <c r="K1706" i="1"/>
  <c r="K1705" i="1"/>
  <c r="F1705" i="1"/>
  <c r="J1704" i="1"/>
  <c r="K1704" i="1" s="1"/>
  <c r="K1703" i="1"/>
  <c r="K1702" i="1"/>
  <c r="F1702" i="1"/>
  <c r="J1701" i="1"/>
  <c r="K1701" i="1" s="1"/>
  <c r="K1700" i="1"/>
  <c r="J1699" i="1"/>
  <c r="K1699" i="1" s="1"/>
  <c r="K1698" i="1"/>
  <c r="J1697" i="1"/>
  <c r="K1697" i="1" s="1"/>
  <c r="K1696" i="1"/>
  <c r="K1695" i="1"/>
  <c r="K1694" i="1"/>
  <c r="K1693" i="1"/>
  <c r="K1692" i="1"/>
  <c r="K1691" i="1"/>
  <c r="K1690" i="1"/>
  <c r="K1689" i="1"/>
  <c r="K1688" i="1"/>
  <c r="K1687" i="1"/>
  <c r="K1686" i="1"/>
  <c r="J1685" i="1"/>
  <c r="K1685" i="1" s="1"/>
  <c r="K1684" i="1"/>
  <c r="J1683" i="1"/>
  <c r="K1683" i="1" s="1"/>
  <c r="K1682" i="1"/>
  <c r="K1681" i="1"/>
  <c r="J1680" i="1"/>
  <c r="K1680" i="1" s="1"/>
  <c r="K1679" i="1"/>
  <c r="J1678" i="1"/>
  <c r="K1678" i="1" s="1"/>
  <c r="K1677" i="1"/>
  <c r="J1676" i="1"/>
  <c r="K1676" i="1" s="1"/>
  <c r="K1675" i="1"/>
  <c r="J1674" i="1"/>
  <c r="K1674" i="1" s="1"/>
  <c r="K1673" i="1"/>
  <c r="J1672" i="1"/>
  <c r="K1672" i="1" s="1"/>
  <c r="K1671" i="1"/>
  <c r="J1670" i="1"/>
  <c r="K1670" i="1" s="1"/>
  <c r="K1669" i="1"/>
  <c r="I1667" i="1"/>
  <c r="J1668" i="1" s="1"/>
  <c r="K1668" i="1" s="1"/>
  <c r="F1667" i="1"/>
  <c r="J1666" i="1"/>
  <c r="K1666" i="1" s="1"/>
  <c r="I1665" i="1"/>
  <c r="K1665" i="1" s="1"/>
  <c r="K1664" i="1"/>
  <c r="I1664" i="1"/>
  <c r="F1664" i="1"/>
  <c r="J1663" i="1"/>
  <c r="K1663" i="1" s="1"/>
  <c r="K1662" i="1"/>
  <c r="J1661" i="1"/>
  <c r="K1661" i="1" s="1"/>
  <c r="K1660" i="1"/>
  <c r="K1659" i="1"/>
  <c r="J1658" i="1"/>
  <c r="K1658" i="1" s="1"/>
  <c r="K1657" i="1"/>
  <c r="K1656" i="1"/>
  <c r="J1655" i="1"/>
  <c r="K1655" i="1" s="1"/>
  <c r="K1654" i="1"/>
  <c r="K1653" i="1"/>
  <c r="K1652" i="1"/>
  <c r="K1651" i="1"/>
  <c r="K1650" i="1"/>
  <c r="K1649" i="1"/>
  <c r="K1648" i="1"/>
  <c r="K1647" i="1"/>
  <c r="K1646" i="1"/>
  <c r="F1646" i="1"/>
  <c r="J1645" i="1"/>
  <c r="K1645" i="1" s="1"/>
  <c r="K1644" i="1"/>
  <c r="J1643" i="1"/>
  <c r="K1643" i="1" s="1"/>
  <c r="K1642" i="1"/>
  <c r="K1640" i="1"/>
  <c r="J1639" i="1"/>
  <c r="K1639" i="1" s="1"/>
  <c r="K1638" i="1"/>
  <c r="J1637" i="1"/>
  <c r="K1637" i="1" s="1"/>
  <c r="K1636" i="1"/>
  <c r="K1635" i="1"/>
  <c r="K1634" i="1"/>
  <c r="K1633" i="1"/>
  <c r="K1632" i="1"/>
  <c r="F1632" i="1"/>
  <c r="J1631" i="1"/>
  <c r="K1631" i="1" s="1"/>
  <c r="K1630" i="1"/>
  <c r="K1629" i="1"/>
  <c r="K1628" i="1"/>
  <c r="K1627" i="1"/>
  <c r="F1627" i="1"/>
  <c r="K1626" i="1"/>
  <c r="F1626" i="1"/>
  <c r="J1625" i="1"/>
  <c r="K1625" i="1" s="1"/>
  <c r="K1624" i="1"/>
  <c r="J1623" i="1"/>
  <c r="K1623" i="1" s="1"/>
  <c r="K1622" i="1"/>
  <c r="F1622" i="1"/>
  <c r="J1621" i="1"/>
  <c r="K1621" i="1" s="1"/>
  <c r="K1620" i="1"/>
  <c r="F1620" i="1"/>
  <c r="J1619" i="1"/>
  <c r="K1619" i="1" s="1"/>
  <c r="K1618" i="1"/>
  <c r="J1616" i="1"/>
  <c r="K1616" i="1" s="1"/>
  <c r="I1615" i="1"/>
  <c r="J1617" i="1" s="1"/>
  <c r="K1617" i="1" s="1"/>
  <c r="K1614" i="1"/>
  <c r="I1614" i="1"/>
  <c r="F1614" i="1"/>
  <c r="J1612" i="1"/>
  <c r="K1612" i="1" s="1"/>
  <c r="I1610" i="1"/>
  <c r="F1610" i="1"/>
  <c r="K1606" i="1"/>
  <c r="I1606" i="1"/>
  <c r="F1606" i="1"/>
  <c r="J1604" i="1"/>
  <c r="K1604" i="1" s="1"/>
  <c r="I1603" i="1"/>
  <c r="K1603" i="1" s="1"/>
  <c r="K1602" i="1"/>
  <c r="I1602" i="1"/>
  <c r="F1602" i="1"/>
  <c r="J1601" i="1"/>
  <c r="K1601" i="1" s="1"/>
  <c r="K1600" i="1"/>
  <c r="J1599" i="1"/>
  <c r="K1599" i="1" s="1"/>
  <c r="K1598" i="1"/>
  <c r="J1597" i="1"/>
  <c r="K1597" i="1" s="1"/>
  <c r="K1596" i="1"/>
  <c r="J1595" i="1"/>
  <c r="K1595" i="1" s="1"/>
  <c r="K1594" i="1"/>
  <c r="J1593" i="1"/>
  <c r="K1593" i="1" s="1"/>
  <c r="K1592" i="1"/>
  <c r="K1591" i="1"/>
  <c r="I1587" i="1"/>
  <c r="J1589" i="1" s="1"/>
  <c r="K1589" i="1" s="1"/>
  <c r="F1587" i="1"/>
  <c r="J1585" i="1"/>
  <c r="K1585" i="1" s="1"/>
  <c r="I1583" i="1"/>
  <c r="I1584" i="1" s="1"/>
  <c r="K1584" i="1" s="1"/>
  <c r="F1583" i="1"/>
  <c r="J1582" i="1"/>
  <c r="K1582" i="1" s="1"/>
  <c r="K1581" i="1"/>
  <c r="K1580" i="1"/>
  <c r="J1579" i="1"/>
  <c r="K1579" i="1" s="1"/>
  <c r="K1578" i="1"/>
  <c r="K1577" i="1"/>
  <c r="K1576" i="1"/>
  <c r="K1575" i="1"/>
  <c r="K1574" i="1"/>
  <c r="I1570" i="1"/>
  <c r="F1570" i="1"/>
  <c r="I1566" i="1"/>
  <c r="K1566" i="1" s="1"/>
  <c r="F1566" i="1"/>
  <c r="K1565" i="1"/>
  <c r="K1564" i="1"/>
  <c r="K1563" i="1"/>
  <c r="K1562" i="1"/>
  <c r="K1561" i="1"/>
  <c r="K1560" i="1"/>
  <c r="K1559" i="1"/>
  <c r="K1558" i="1"/>
  <c r="K1557" i="1"/>
  <c r="K1556" i="1"/>
  <c r="J1555" i="1"/>
  <c r="K1555" i="1" s="1"/>
  <c r="K1554" i="1"/>
  <c r="J1553" i="1"/>
  <c r="K1553" i="1" s="1"/>
  <c r="K1552" i="1"/>
  <c r="I1552" i="1"/>
  <c r="I1551" i="1"/>
  <c r="K1551" i="1" s="1"/>
  <c r="J1550" i="1"/>
  <c r="K1550" i="1" s="1"/>
  <c r="K1549" i="1"/>
  <c r="K1548" i="1"/>
  <c r="F1548" i="1"/>
  <c r="J1547" i="1"/>
  <c r="K1547" i="1" s="1"/>
  <c r="K1546" i="1"/>
  <c r="K1545" i="1"/>
  <c r="F1545" i="1"/>
  <c r="J1543" i="1"/>
  <c r="K1543" i="1" s="1"/>
  <c r="I1542" i="1"/>
  <c r="K1541" i="1"/>
  <c r="I1541" i="1"/>
  <c r="F1541" i="1"/>
  <c r="I1537" i="1"/>
  <c r="F1537" i="1"/>
  <c r="J1536" i="1"/>
  <c r="K1536" i="1" s="1"/>
  <c r="V1535" i="1"/>
  <c r="K1535" i="1"/>
  <c r="I1531" i="1"/>
  <c r="F1531" i="1"/>
  <c r="J1530" i="1"/>
  <c r="K1530" i="1" s="1"/>
  <c r="K1529" i="1"/>
  <c r="K1528" i="1"/>
  <c r="J1527" i="1"/>
  <c r="K1527" i="1" s="1"/>
  <c r="K1526" i="1"/>
  <c r="K1525" i="1"/>
  <c r="F1525" i="1"/>
  <c r="K1524" i="1"/>
  <c r="K1523" i="1"/>
  <c r="K1522" i="1"/>
  <c r="K1521" i="1"/>
  <c r="K1520" i="1"/>
  <c r="K1519" i="1"/>
  <c r="K1518" i="1"/>
  <c r="K1517" i="1"/>
  <c r="K1516" i="1"/>
  <c r="K1515" i="1"/>
  <c r="J1514" i="1"/>
  <c r="K1514" i="1" s="1"/>
  <c r="K1513" i="1"/>
  <c r="K1512" i="1"/>
  <c r="F1512" i="1"/>
  <c r="K1511" i="1"/>
  <c r="F1511" i="1"/>
  <c r="K1510" i="1"/>
  <c r="F1510" i="1"/>
  <c r="K1509" i="1"/>
  <c r="K1508" i="1"/>
  <c r="F1508" i="1"/>
  <c r="K1507" i="1"/>
  <c r="K1506" i="1"/>
  <c r="K1505" i="1"/>
  <c r="K1504" i="1"/>
  <c r="K1503" i="1"/>
  <c r="F1503" i="1"/>
  <c r="K1502" i="1"/>
  <c r="K1501" i="1"/>
  <c r="K1500" i="1"/>
  <c r="J1499" i="1"/>
  <c r="K1499" i="1" s="1"/>
  <c r="K1498" i="1"/>
  <c r="K1497" i="1"/>
  <c r="F1497" i="1"/>
  <c r="J1496" i="1"/>
  <c r="K1496" i="1" s="1"/>
  <c r="K1495" i="1"/>
  <c r="J1494" i="1"/>
  <c r="K1494" i="1" s="1"/>
  <c r="K1493" i="1"/>
  <c r="J1492" i="1"/>
  <c r="K1492" i="1" s="1"/>
  <c r="K1491" i="1"/>
  <c r="K1490" i="1"/>
  <c r="K1489" i="1"/>
  <c r="K1488" i="1"/>
  <c r="K1487" i="1"/>
  <c r="J1486" i="1"/>
  <c r="K1486" i="1" s="1"/>
  <c r="K1485" i="1"/>
  <c r="K1484" i="1"/>
  <c r="F1484" i="1"/>
  <c r="J1483" i="1"/>
  <c r="K1483" i="1" s="1"/>
  <c r="K1482" i="1"/>
  <c r="J1481" i="1"/>
  <c r="K1481" i="1" s="1"/>
  <c r="K1480" i="1"/>
  <c r="F1480" i="1"/>
  <c r="J1479" i="1"/>
  <c r="K1479" i="1" s="1"/>
  <c r="K1478" i="1"/>
  <c r="J1477" i="1"/>
  <c r="K1477" i="1" s="1"/>
  <c r="K1476" i="1"/>
  <c r="F1476" i="1"/>
  <c r="J1475" i="1"/>
  <c r="K1475" i="1" s="1"/>
  <c r="K1474" i="1"/>
  <c r="J1473" i="1"/>
  <c r="K1473" i="1" s="1"/>
  <c r="K1472" i="1"/>
  <c r="J1471" i="1"/>
  <c r="K1471" i="1" s="1"/>
  <c r="K1470" i="1"/>
  <c r="J1469" i="1"/>
  <c r="K1469" i="1" s="1"/>
  <c r="K1468" i="1"/>
  <c r="J1467" i="1"/>
  <c r="K1467" i="1" s="1"/>
  <c r="K1466" i="1"/>
  <c r="J1465" i="1"/>
  <c r="K1465" i="1" s="1"/>
  <c r="K1464" i="1"/>
  <c r="J1463" i="1"/>
  <c r="K1463" i="1" s="1"/>
  <c r="K1462" i="1"/>
  <c r="J1461" i="1"/>
  <c r="K1461" i="1" s="1"/>
  <c r="K1460" i="1"/>
  <c r="J1459" i="1"/>
  <c r="K1459" i="1" s="1"/>
  <c r="K1458" i="1"/>
  <c r="J1457" i="1"/>
  <c r="K1457" i="1" s="1"/>
  <c r="K1456" i="1"/>
  <c r="J1455" i="1"/>
  <c r="K1455" i="1" s="1"/>
  <c r="K1454" i="1"/>
  <c r="J1453" i="1"/>
  <c r="K1453" i="1" s="1"/>
  <c r="K1452" i="1"/>
  <c r="J1451" i="1"/>
  <c r="K1451" i="1" s="1"/>
  <c r="K1450" i="1"/>
  <c r="J1449" i="1"/>
  <c r="K1449" i="1" s="1"/>
  <c r="K1448" i="1"/>
  <c r="J1447" i="1"/>
  <c r="K1447" i="1" s="1"/>
  <c r="K1446" i="1"/>
  <c r="J1445" i="1"/>
  <c r="K1445" i="1" s="1"/>
  <c r="K1444" i="1"/>
  <c r="K1443" i="1"/>
  <c r="K1442" i="1"/>
  <c r="K1441" i="1"/>
  <c r="K1440" i="1"/>
  <c r="K1439" i="1"/>
  <c r="K1438" i="1"/>
  <c r="F1438" i="1"/>
  <c r="K1437" i="1"/>
  <c r="F1437" i="1"/>
  <c r="I1434" i="1"/>
  <c r="K1434" i="1" s="1"/>
  <c r="I1433" i="1"/>
  <c r="F1433" i="1"/>
  <c r="J1432" i="1"/>
  <c r="K1432" i="1" s="1"/>
  <c r="K1431" i="1"/>
  <c r="J1430" i="1"/>
  <c r="K1430" i="1" s="1"/>
  <c r="K1429" i="1"/>
  <c r="J1428" i="1"/>
  <c r="K1428" i="1" s="1"/>
  <c r="K1427" i="1"/>
  <c r="J1426" i="1"/>
  <c r="K1426" i="1" s="1"/>
  <c r="K1425" i="1"/>
  <c r="J1424" i="1"/>
  <c r="K1424" i="1" s="1"/>
  <c r="K1423" i="1"/>
  <c r="J1422" i="1"/>
  <c r="K1422" i="1" s="1"/>
  <c r="K1421" i="1"/>
  <c r="K1419" i="1"/>
  <c r="I1418" i="1"/>
  <c r="F1418" i="1"/>
  <c r="J1417" i="1"/>
  <c r="K1417" i="1" s="1"/>
  <c r="K1416" i="1"/>
  <c r="K1415" i="1"/>
  <c r="F1415" i="1"/>
  <c r="I1413" i="1"/>
  <c r="K1412" i="1"/>
  <c r="F1412" i="1"/>
  <c r="K1411" i="1"/>
  <c r="F1411" i="1"/>
  <c r="I1407" i="1"/>
  <c r="F1407" i="1"/>
  <c r="J1405" i="1"/>
  <c r="K1405" i="1" s="1"/>
  <c r="I1404" i="1"/>
  <c r="K1403" i="1"/>
  <c r="I1403" i="1"/>
  <c r="F1403" i="1"/>
  <c r="J1402" i="1"/>
  <c r="K1402" i="1" s="1"/>
  <c r="K1401" i="1"/>
  <c r="J1400" i="1"/>
  <c r="K1400" i="1" s="1"/>
  <c r="K1399" i="1"/>
  <c r="J1398" i="1"/>
  <c r="K1398" i="1" s="1"/>
  <c r="K1397" i="1"/>
  <c r="F1397" i="1"/>
  <c r="J1396" i="1"/>
  <c r="K1396" i="1" s="1"/>
  <c r="K1395" i="1"/>
  <c r="J1394" i="1"/>
  <c r="K1394" i="1" s="1"/>
  <c r="K1393" i="1"/>
  <c r="J1392" i="1"/>
  <c r="K1392" i="1" s="1"/>
  <c r="K1391" i="1"/>
  <c r="K1390" i="1"/>
  <c r="J1389" i="1"/>
  <c r="K1389" i="1" s="1"/>
  <c r="K1388" i="1"/>
  <c r="K1387" i="1"/>
  <c r="K1386" i="1"/>
  <c r="F1386" i="1"/>
  <c r="J1385" i="1"/>
  <c r="K1385" i="1" s="1"/>
  <c r="K1384" i="1"/>
  <c r="K1383" i="1"/>
  <c r="K1382" i="1"/>
  <c r="F1382" i="1"/>
  <c r="J1381" i="1"/>
  <c r="K1381" i="1" s="1"/>
  <c r="K1380" i="1"/>
  <c r="K1379" i="1"/>
  <c r="K1378" i="1"/>
  <c r="F1378" i="1"/>
  <c r="J1377" i="1"/>
  <c r="K1377" i="1" s="1"/>
  <c r="K1376" i="1"/>
  <c r="K1375" i="1"/>
  <c r="K1374" i="1"/>
  <c r="F1374" i="1"/>
  <c r="J1373" i="1"/>
  <c r="K1373" i="1" s="1"/>
  <c r="K1372" i="1"/>
  <c r="K1371" i="1"/>
  <c r="K1370" i="1"/>
  <c r="F1370" i="1"/>
  <c r="J1369" i="1"/>
  <c r="K1369" i="1" s="1"/>
  <c r="K1368" i="1"/>
  <c r="K1367" i="1"/>
  <c r="K1366" i="1"/>
  <c r="F1366" i="1"/>
  <c r="J1365" i="1"/>
  <c r="K1365" i="1" s="1"/>
  <c r="K1364" i="1"/>
  <c r="K1363" i="1"/>
  <c r="K1362" i="1"/>
  <c r="F1362" i="1"/>
  <c r="J1361" i="1"/>
  <c r="K1361" i="1" s="1"/>
  <c r="K1360" i="1"/>
  <c r="K1359" i="1"/>
  <c r="K1358" i="1"/>
  <c r="F1358" i="1"/>
  <c r="J1357" i="1"/>
  <c r="K1357" i="1" s="1"/>
  <c r="K1356" i="1"/>
  <c r="K1355" i="1"/>
  <c r="K1354" i="1"/>
  <c r="F1354" i="1"/>
  <c r="J1353" i="1"/>
  <c r="K1353" i="1" s="1"/>
  <c r="K1352" i="1"/>
  <c r="K1351" i="1"/>
  <c r="K1350" i="1"/>
  <c r="F1350" i="1"/>
  <c r="J1349" i="1"/>
  <c r="K1349" i="1" s="1"/>
  <c r="K1348" i="1"/>
  <c r="K1347" i="1"/>
  <c r="K1346" i="1"/>
  <c r="F1346" i="1"/>
  <c r="J1345" i="1"/>
  <c r="K1345" i="1" s="1"/>
  <c r="K1344" i="1"/>
  <c r="K1343" i="1"/>
  <c r="K1342" i="1"/>
  <c r="F1342" i="1"/>
  <c r="J1341" i="1"/>
  <c r="K1341" i="1" s="1"/>
  <c r="K1340" i="1"/>
  <c r="J1339" i="1"/>
  <c r="K1339" i="1" s="1"/>
  <c r="K1338" i="1"/>
  <c r="J1337" i="1"/>
  <c r="K1337" i="1" s="1"/>
  <c r="K1336" i="1"/>
  <c r="F1336" i="1"/>
  <c r="J1335" i="1"/>
  <c r="K1335" i="1" s="1"/>
  <c r="K1334" i="1"/>
  <c r="J1333" i="1"/>
  <c r="K1333" i="1" s="1"/>
  <c r="K1332" i="1"/>
  <c r="J1331" i="1"/>
  <c r="K1331" i="1" s="1"/>
  <c r="K1330" i="1"/>
  <c r="F1330" i="1"/>
  <c r="J1329" i="1"/>
  <c r="K1329" i="1" s="1"/>
  <c r="K1328" i="1"/>
  <c r="K1327" i="1"/>
  <c r="J1326" i="1"/>
  <c r="K1326" i="1" s="1"/>
  <c r="K1325" i="1"/>
  <c r="J1324" i="1"/>
  <c r="K1324" i="1" s="1"/>
  <c r="K1323" i="1"/>
  <c r="K1322" i="1"/>
  <c r="J1321" i="1"/>
  <c r="K1321" i="1" s="1"/>
  <c r="K1320" i="1"/>
  <c r="K1319" i="1"/>
  <c r="F1319" i="1"/>
  <c r="J1318" i="1"/>
  <c r="K1318" i="1" s="1"/>
  <c r="K1317" i="1"/>
  <c r="J1316" i="1"/>
  <c r="K1316" i="1" s="1"/>
  <c r="K1315" i="1"/>
  <c r="K1314" i="1"/>
  <c r="F1314" i="1"/>
  <c r="J1313" i="1"/>
  <c r="K1313" i="1" s="1"/>
  <c r="K1312" i="1"/>
  <c r="K1311" i="1"/>
  <c r="F1311" i="1"/>
  <c r="J1310" i="1"/>
  <c r="K1310" i="1" s="1"/>
  <c r="K1309" i="1"/>
  <c r="J1308" i="1"/>
  <c r="K1308" i="1" s="1"/>
  <c r="K1307" i="1"/>
  <c r="K1306" i="1"/>
  <c r="F1306" i="1"/>
  <c r="J1305" i="1"/>
  <c r="K1305" i="1" s="1"/>
  <c r="K1304" i="1"/>
  <c r="J1303" i="1"/>
  <c r="K1303" i="1" s="1"/>
  <c r="K1302" i="1"/>
  <c r="J1301" i="1"/>
  <c r="K1301" i="1" s="1"/>
  <c r="K1300" i="1"/>
  <c r="J1299" i="1"/>
  <c r="K1299" i="1" s="1"/>
  <c r="K1298" i="1"/>
  <c r="J1297" i="1"/>
  <c r="K1297" i="1" s="1"/>
  <c r="K1296" i="1"/>
  <c r="F1296" i="1"/>
  <c r="J1295" i="1"/>
  <c r="K1295" i="1" s="1"/>
  <c r="K1294" i="1"/>
  <c r="J1293" i="1"/>
  <c r="K1293" i="1" s="1"/>
  <c r="K1292" i="1"/>
  <c r="J1291" i="1"/>
  <c r="K1291" i="1" s="1"/>
  <c r="K1290" i="1"/>
  <c r="F1290" i="1"/>
  <c r="J1289" i="1"/>
  <c r="K1289" i="1" s="1"/>
  <c r="K1288" i="1"/>
  <c r="J1287" i="1"/>
  <c r="K1287" i="1" s="1"/>
  <c r="K1286" i="1"/>
  <c r="J1285" i="1"/>
  <c r="K1285" i="1" s="1"/>
  <c r="K1284" i="1"/>
  <c r="K1283" i="1"/>
  <c r="K1282" i="1"/>
  <c r="F1282" i="1"/>
  <c r="J1281" i="1"/>
  <c r="K1281" i="1" s="1"/>
  <c r="K1280" i="1"/>
  <c r="J1280" i="1"/>
  <c r="K1279" i="1"/>
  <c r="K1278" i="1"/>
  <c r="F1278" i="1"/>
  <c r="J1277" i="1"/>
  <c r="K1277" i="1" s="1"/>
  <c r="K1276" i="1"/>
  <c r="I1276" i="1"/>
  <c r="I1275" i="1"/>
  <c r="K1275" i="1" s="1"/>
  <c r="F1275" i="1"/>
  <c r="J1274" i="1"/>
  <c r="K1274" i="1" s="1"/>
  <c r="K1273" i="1"/>
  <c r="J1272" i="1"/>
  <c r="K1272" i="1" s="1"/>
  <c r="K1271" i="1"/>
  <c r="J1270" i="1"/>
  <c r="K1270" i="1" s="1"/>
  <c r="K1269" i="1"/>
  <c r="J1268" i="1"/>
  <c r="K1268" i="1" s="1"/>
  <c r="K1267" i="1"/>
  <c r="J1266" i="1"/>
  <c r="K1266" i="1" s="1"/>
  <c r="K1265" i="1"/>
  <c r="J1264" i="1"/>
  <c r="K1264" i="1" s="1"/>
  <c r="K1263" i="1"/>
  <c r="J1262" i="1"/>
  <c r="K1262" i="1" s="1"/>
  <c r="K1261" i="1"/>
  <c r="K1260" i="1"/>
  <c r="K1259" i="1"/>
  <c r="J1258" i="1"/>
  <c r="K1258" i="1" s="1"/>
  <c r="K1257" i="1"/>
  <c r="J1256" i="1"/>
  <c r="K1256" i="1" s="1"/>
  <c r="K1255" i="1"/>
  <c r="F1255" i="1"/>
  <c r="J1253" i="1"/>
  <c r="K1253" i="1" s="1"/>
  <c r="I1252" i="1"/>
  <c r="J1254" i="1" s="1"/>
  <c r="K1254" i="1" s="1"/>
  <c r="K1251" i="1"/>
  <c r="I1251" i="1"/>
  <c r="F1251" i="1"/>
  <c r="J1250" i="1"/>
  <c r="K1250" i="1" s="1"/>
  <c r="K1249" i="1"/>
  <c r="F1249" i="1"/>
  <c r="J1248" i="1"/>
  <c r="K1248" i="1" s="1"/>
  <c r="K1247" i="1"/>
  <c r="J1246" i="1"/>
  <c r="K1246" i="1" s="1"/>
  <c r="K1245" i="1"/>
  <c r="K1244" i="1"/>
  <c r="F1244" i="1"/>
  <c r="J1243" i="1"/>
  <c r="K1243" i="1" s="1"/>
  <c r="K1242" i="1"/>
  <c r="J1241" i="1"/>
  <c r="K1241" i="1" s="1"/>
  <c r="K1240" i="1"/>
  <c r="J1239" i="1"/>
  <c r="K1239" i="1" s="1"/>
  <c r="K1238" i="1"/>
  <c r="J1237" i="1"/>
  <c r="K1237" i="1" s="1"/>
  <c r="K1236" i="1"/>
  <c r="J1235" i="1"/>
  <c r="K1235" i="1" s="1"/>
  <c r="K1234" i="1"/>
  <c r="J1232" i="1"/>
  <c r="K1232" i="1" s="1"/>
  <c r="I1231" i="1"/>
  <c r="J1233" i="1" s="1"/>
  <c r="K1233" i="1" s="1"/>
  <c r="K1230" i="1"/>
  <c r="I1230" i="1"/>
  <c r="F1230" i="1"/>
  <c r="J1229" i="1"/>
  <c r="K1229" i="1" s="1"/>
  <c r="K1228" i="1"/>
  <c r="J1227" i="1"/>
  <c r="K1227" i="1" s="1"/>
  <c r="K1226" i="1"/>
  <c r="F1226" i="1"/>
  <c r="J1225" i="1"/>
  <c r="K1225" i="1" s="1"/>
  <c r="K1224" i="1"/>
  <c r="K1223" i="1"/>
  <c r="K1222" i="1"/>
  <c r="K1221" i="1"/>
  <c r="K1220" i="1"/>
  <c r="K1219" i="1"/>
  <c r="K1218" i="1"/>
  <c r="K1217" i="1"/>
  <c r="K1216" i="1"/>
  <c r="K1215" i="1"/>
  <c r="J1214" i="1"/>
  <c r="K1214" i="1" s="1"/>
  <c r="K1213" i="1"/>
  <c r="J1212" i="1"/>
  <c r="K1212" i="1" s="1"/>
  <c r="K1211" i="1"/>
  <c r="F1211" i="1"/>
  <c r="K1210" i="1"/>
  <c r="K1209" i="1"/>
  <c r="K1208" i="1"/>
  <c r="F1208" i="1"/>
  <c r="J1207" i="1"/>
  <c r="K1207" i="1" s="1"/>
  <c r="K1206" i="1"/>
  <c r="J1205" i="1"/>
  <c r="K1205" i="1" s="1"/>
  <c r="K1204" i="1"/>
  <c r="J1203" i="1"/>
  <c r="K1203" i="1" s="1"/>
  <c r="K1202" i="1"/>
  <c r="I1199" i="1"/>
  <c r="L1198" i="1"/>
  <c r="I1198" i="1"/>
  <c r="K1198" i="1" s="1"/>
  <c r="F1198" i="1"/>
  <c r="J1197" i="1"/>
  <c r="K1197" i="1" s="1"/>
  <c r="K1196" i="1"/>
  <c r="J1195" i="1"/>
  <c r="K1195" i="1" s="1"/>
  <c r="K1194" i="1"/>
  <c r="J1193" i="1"/>
  <c r="K1193" i="1" s="1"/>
  <c r="K1192" i="1"/>
  <c r="J1191" i="1"/>
  <c r="K1191" i="1" s="1"/>
  <c r="K1190" i="1"/>
  <c r="J1189" i="1"/>
  <c r="K1189" i="1" s="1"/>
  <c r="K1188" i="1"/>
  <c r="K1187" i="1"/>
  <c r="F1187" i="1"/>
  <c r="K1186" i="1"/>
  <c r="F1186" i="1"/>
  <c r="K1185" i="1"/>
  <c r="K1179" i="1"/>
  <c r="K1178" i="1"/>
  <c r="K1177" i="1"/>
  <c r="K1176" i="1"/>
  <c r="J1175" i="1"/>
  <c r="K1175" i="1" s="1"/>
  <c r="K1174" i="1"/>
  <c r="K1173" i="1"/>
  <c r="J1172" i="1"/>
  <c r="K1172" i="1" s="1"/>
  <c r="K1171" i="1"/>
  <c r="J1170" i="1"/>
  <c r="K1170" i="1" s="1"/>
  <c r="K1169" i="1"/>
  <c r="J1168" i="1"/>
  <c r="K1168" i="1" s="1"/>
  <c r="K1167" i="1"/>
  <c r="J1166" i="1"/>
  <c r="K1166" i="1" s="1"/>
  <c r="K1165" i="1"/>
  <c r="J1164" i="1"/>
  <c r="K1164" i="1" s="1"/>
  <c r="K1163" i="1"/>
  <c r="J1162" i="1"/>
  <c r="K1162" i="1" s="1"/>
  <c r="K1161" i="1"/>
  <c r="J1160" i="1"/>
  <c r="K1160" i="1" s="1"/>
  <c r="K1159" i="1"/>
  <c r="J1158" i="1"/>
  <c r="K1158" i="1" s="1"/>
  <c r="K1157" i="1"/>
  <c r="K1155" i="1"/>
  <c r="I1155" i="1"/>
  <c r="J1156" i="1" s="1"/>
  <c r="K1156" i="1" s="1"/>
  <c r="K1154" i="1"/>
  <c r="I1154" i="1"/>
  <c r="J1153" i="1"/>
  <c r="K1153" i="1" s="1"/>
  <c r="K1152" i="1"/>
  <c r="F1152" i="1"/>
  <c r="J1151" i="1"/>
  <c r="K1151" i="1" s="1"/>
  <c r="K1150" i="1"/>
  <c r="J1149" i="1"/>
  <c r="K1149" i="1" s="1"/>
  <c r="K1148" i="1"/>
  <c r="I1144" i="1"/>
  <c r="F1144" i="1"/>
  <c r="J1143" i="1"/>
  <c r="K1143" i="1" s="1"/>
  <c r="K1142" i="1"/>
  <c r="K1141" i="1"/>
  <c r="I1141" i="1"/>
  <c r="J1140" i="1"/>
  <c r="K1140" i="1" s="1"/>
  <c r="K1139" i="1"/>
  <c r="K1138" i="1"/>
  <c r="K1137" i="1"/>
  <c r="K1136" i="1"/>
  <c r="K1135" i="1"/>
  <c r="K1134" i="1"/>
  <c r="K1133" i="1"/>
  <c r="K1132" i="1"/>
  <c r="K1131" i="1"/>
  <c r="K1130" i="1"/>
  <c r="K1129" i="1"/>
  <c r="K1128" i="1"/>
  <c r="K1127" i="1"/>
  <c r="J1126" i="1"/>
  <c r="K1126" i="1" s="1"/>
  <c r="K1125" i="1"/>
  <c r="K1124" i="1"/>
  <c r="K1123" i="1"/>
  <c r="K1122" i="1"/>
  <c r="K1121" i="1"/>
  <c r="K1120" i="1"/>
  <c r="K1119" i="1"/>
  <c r="K1118" i="1"/>
  <c r="K1117" i="1"/>
  <c r="K1116" i="1"/>
  <c r="K1115" i="1"/>
  <c r="J1114" i="1"/>
  <c r="K1114" i="1" s="1"/>
  <c r="K1113" i="1"/>
  <c r="J1112" i="1"/>
  <c r="K1112" i="1" s="1"/>
  <c r="K1111" i="1"/>
  <c r="J1110" i="1"/>
  <c r="K1110" i="1" s="1"/>
  <c r="K1109" i="1"/>
  <c r="J1108" i="1"/>
  <c r="K1108" i="1" s="1"/>
  <c r="K1107" i="1"/>
  <c r="I1107" i="1"/>
  <c r="I1106" i="1"/>
  <c r="K1106" i="1" s="1"/>
  <c r="F1106" i="1"/>
  <c r="J1105" i="1"/>
  <c r="K1105" i="1" s="1"/>
  <c r="K1104" i="1"/>
  <c r="J1103" i="1"/>
  <c r="K1103" i="1" s="1"/>
  <c r="K1102" i="1"/>
  <c r="F1102" i="1"/>
  <c r="J1101" i="1"/>
  <c r="K1101" i="1" s="1"/>
  <c r="K1100" i="1"/>
  <c r="F1100" i="1"/>
  <c r="J1099" i="1"/>
  <c r="K1099" i="1" s="1"/>
  <c r="K1098" i="1"/>
  <c r="J1097" i="1"/>
  <c r="K1097" i="1" s="1"/>
  <c r="K1096" i="1"/>
  <c r="J1095" i="1"/>
  <c r="K1095" i="1" s="1"/>
  <c r="K1094" i="1"/>
  <c r="J1093" i="1"/>
  <c r="K1093" i="1" s="1"/>
  <c r="K1092" i="1"/>
  <c r="J1091" i="1"/>
  <c r="K1091" i="1" s="1"/>
  <c r="K1090" i="1"/>
  <c r="J1089" i="1"/>
  <c r="K1089" i="1" s="1"/>
  <c r="K1088" i="1"/>
  <c r="J1087" i="1"/>
  <c r="K1087" i="1" s="1"/>
  <c r="K1086" i="1"/>
  <c r="K1085" i="1"/>
  <c r="J1084" i="1"/>
  <c r="K1084" i="1" s="1"/>
  <c r="K1083" i="1"/>
  <c r="J1082" i="1"/>
  <c r="K1082" i="1" s="1"/>
  <c r="K1081" i="1"/>
  <c r="K1080" i="1"/>
  <c r="K1079" i="1"/>
  <c r="K1078" i="1"/>
  <c r="F1078" i="1"/>
  <c r="J1077" i="1"/>
  <c r="K1077" i="1" s="1"/>
  <c r="K1076" i="1"/>
  <c r="J1075" i="1"/>
  <c r="K1075" i="1" s="1"/>
  <c r="K1074" i="1"/>
  <c r="J1073" i="1"/>
  <c r="K1073" i="1" s="1"/>
  <c r="K1072" i="1"/>
  <c r="J1071" i="1"/>
  <c r="K1071" i="1" s="1"/>
  <c r="K1070" i="1"/>
  <c r="J1069" i="1"/>
  <c r="K1069" i="1" s="1"/>
  <c r="K1068" i="1"/>
  <c r="J1067" i="1"/>
  <c r="K1067" i="1" s="1"/>
  <c r="K1066" i="1"/>
  <c r="I1064" i="1"/>
  <c r="K1064" i="1" s="1"/>
  <c r="I1063" i="1"/>
  <c r="J1065" i="1" s="1"/>
  <c r="K1065" i="1" s="1"/>
  <c r="J1062" i="1"/>
  <c r="K1062" i="1" s="1"/>
  <c r="K1061" i="1"/>
  <c r="K1060" i="1"/>
  <c r="K1059" i="1"/>
  <c r="F1059" i="1"/>
  <c r="J1058" i="1"/>
  <c r="K1058" i="1" s="1"/>
  <c r="K1057" i="1"/>
  <c r="K1056" i="1"/>
  <c r="K1055" i="1"/>
  <c r="F1055" i="1"/>
  <c r="J1054" i="1"/>
  <c r="K1054" i="1" s="1"/>
  <c r="K1053" i="1"/>
  <c r="K1052" i="1"/>
  <c r="F1052" i="1"/>
  <c r="J1051" i="1"/>
  <c r="K1051" i="1" s="1"/>
  <c r="K1050" i="1"/>
  <c r="K1049" i="1"/>
  <c r="F1049" i="1"/>
  <c r="J1048" i="1"/>
  <c r="K1048" i="1" s="1"/>
  <c r="K1047" i="1"/>
  <c r="J1046" i="1"/>
  <c r="K1046" i="1" s="1"/>
  <c r="K1045" i="1"/>
  <c r="J1044" i="1"/>
  <c r="K1044" i="1" s="1"/>
  <c r="K1043" i="1"/>
  <c r="J1042" i="1"/>
  <c r="K1042" i="1" s="1"/>
  <c r="K1041" i="1"/>
  <c r="J1040" i="1"/>
  <c r="K1040" i="1" s="1"/>
  <c r="K1039" i="1"/>
  <c r="J1038" i="1"/>
  <c r="K1038" i="1" s="1"/>
  <c r="K1037" i="1"/>
  <c r="J1036" i="1"/>
  <c r="K1036" i="1" s="1"/>
  <c r="K1035" i="1"/>
  <c r="J1034" i="1"/>
  <c r="K1033" i="1"/>
  <c r="J1032" i="1"/>
  <c r="K1031" i="1"/>
  <c r="J1030" i="1"/>
  <c r="K1029" i="1"/>
  <c r="J1028" i="1"/>
  <c r="K1027" i="1"/>
  <c r="J1026" i="1"/>
  <c r="K1025" i="1"/>
  <c r="J1024" i="1"/>
  <c r="K1023" i="1"/>
  <c r="J1022" i="1"/>
  <c r="K1021" i="1"/>
  <c r="K1020" i="1"/>
  <c r="K1019" i="1"/>
  <c r="F1019" i="1"/>
  <c r="J1018" i="1"/>
  <c r="K1017" i="1"/>
  <c r="K1016" i="1"/>
  <c r="K1015" i="1"/>
  <c r="K1014" i="1"/>
  <c r="K1013" i="1"/>
  <c r="K1012" i="1"/>
  <c r="K1011" i="1"/>
  <c r="J1010" i="1"/>
  <c r="K1010" i="1" s="1"/>
  <c r="K1009" i="1"/>
  <c r="J1008" i="1"/>
  <c r="K1008" i="1" s="1"/>
  <c r="K1007" i="1"/>
  <c r="J1005" i="1"/>
  <c r="K1005" i="1" s="1"/>
  <c r="I1003" i="1"/>
  <c r="I1004" i="1" s="1"/>
  <c r="K1004" i="1" s="1"/>
  <c r="F1003" i="1"/>
  <c r="J1002" i="1"/>
  <c r="K1002" i="1" s="1"/>
  <c r="K1001" i="1"/>
  <c r="J1000" i="1"/>
  <c r="K1000" i="1" s="1"/>
  <c r="K999" i="1"/>
  <c r="J998" i="1"/>
  <c r="K998" i="1" s="1"/>
  <c r="K997" i="1"/>
  <c r="J996" i="1"/>
  <c r="K996" i="1" s="1"/>
  <c r="K995" i="1"/>
  <c r="I991" i="1"/>
  <c r="I992" i="1" s="1"/>
  <c r="K992" i="1" s="1"/>
  <c r="F991" i="1"/>
  <c r="I988" i="1"/>
  <c r="K988" i="1" s="1"/>
  <c r="K987" i="1"/>
  <c r="I987" i="1"/>
  <c r="F987" i="1"/>
  <c r="I983" i="1"/>
  <c r="J985" i="1" s="1"/>
  <c r="K985" i="1" s="1"/>
  <c r="F983" i="1"/>
  <c r="J982" i="1"/>
  <c r="K982" i="1" s="1"/>
  <c r="K981" i="1"/>
  <c r="L980" i="1"/>
  <c r="K980" i="1"/>
  <c r="F980" i="1"/>
  <c r="J979" i="1"/>
  <c r="K979" i="1" s="1"/>
  <c r="K978" i="1"/>
  <c r="L977" i="1"/>
  <c r="K977" i="1"/>
  <c r="F977" i="1"/>
  <c r="J976" i="1"/>
  <c r="K976" i="1" s="1"/>
  <c r="K975" i="1"/>
  <c r="L974" i="1"/>
  <c r="K974" i="1"/>
  <c r="F974" i="1"/>
  <c r="J973" i="1"/>
  <c r="K973" i="1" s="1"/>
  <c r="K972" i="1"/>
  <c r="K971" i="1"/>
  <c r="J970" i="1"/>
  <c r="K970" i="1" s="1"/>
  <c r="L969" i="1"/>
  <c r="K969" i="1"/>
  <c r="F969" i="1"/>
  <c r="K968" i="1"/>
  <c r="K967" i="1"/>
  <c r="K966" i="1"/>
  <c r="K965" i="1"/>
  <c r="K964" i="1"/>
  <c r="K963" i="1"/>
  <c r="F963" i="1"/>
  <c r="K962" i="1"/>
  <c r="K961" i="1"/>
  <c r="K960" i="1"/>
  <c r="K959" i="1"/>
  <c r="K958" i="1"/>
  <c r="K957" i="1"/>
  <c r="J956" i="1"/>
  <c r="K956" i="1" s="1"/>
  <c r="K955" i="1"/>
  <c r="J954" i="1"/>
  <c r="K954" i="1" s="1"/>
  <c r="K953" i="1"/>
  <c r="K951" i="1"/>
  <c r="K950" i="1"/>
  <c r="J950" i="1"/>
  <c r="I949" i="1"/>
  <c r="K949" i="1" s="1"/>
  <c r="J948" i="1"/>
  <c r="K948" i="1" s="1"/>
  <c r="K947" i="1"/>
  <c r="K946" i="1"/>
  <c r="K945" i="1"/>
  <c r="F945" i="1"/>
  <c r="J944" i="1"/>
  <c r="K944" i="1" s="1"/>
  <c r="K943" i="1"/>
  <c r="K942" i="1"/>
  <c r="K941" i="1"/>
  <c r="K940" i="1"/>
  <c r="F940" i="1"/>
  <c r="K938" i="1"/>
  <c r="J938" i="1"/>
  <c r="J937" i="1"/>
  <c r="K937" i="1" s="1"/>
  <c r="J936" i="1"/>
  <c r="K936" i="1" s="1"/>
  <c r="K935" i="1"/>
  <c r="F935" i="1"/>
  <c r="J934" i="1"/>
  <c r="K934" i="1" s="1"/>
  <c r="K933" i="1"/>
  <c r="J932" i="1"/>
  <c r="K932" i="1" s="1"/>
  <c r="K931" i="1"/>
  <c r="F931" i="1"/>
  <c r="K928" i="1"/>
  <c r="I928" i="1"/>
  <c r="J929" i="1" s="1"/>
  <c r="K929" i="1" s="1"/>
  <c r="F928" i="1"/>
  <c r="J927" i="1"/>
  <c r="K927" i="1" s="1"/>
  <c r="K926" i="1"/>
  <c r="J925" i="1"/>
  <c r="K925" i="1" s="1"/>
  <c r="K924" i="1"/>
  <c r="I920" i="1"/>
  <c r="F920" i="1"/>
  <c r="J918" i="1"/>
  <c r="K918" i="1" s="1"/>
  <c r="K916" i="1"/>
  <c r="I916" i="1"/>
  <c r="I917" i="1" s="1"/>
  <c r="F916" i="1"/>
  <c r="J915" i="1"/>
  <c r="K915" i="1" s="1"/>
  <c r="K914" i="1"/>
  <c r="K913" i="1"/>
  <c r="K912" i="1"/>
  <c r="K911" i="1"/>
  <c r="K910" i="1"/>
  <c r="K909" i="1"/>
  <c r="F909" i="1"/>
  <c r="J908" i="1"/>
  <c r="K908" i="1" s="1"/>
  <c r="K907" i="1"/>
  <c r="J906" i="1"/>
  <c r="K906" i="1" s="1"/>
  <c r="K905" i="1"/>
  <c r="J904" i="1"/>
  <c r="K904" i="1" s="1"/>
  <c r="K903" i="1"/>
  <c r="K902" i="1"/>
  <c r="K901" i="1"/>
  <c r="K900" i="1"/>
  <c r="K899" i="1"/>
  <c r="K898" i="1"/>
  <c r="K897" i="1"/>
  <c r="K896" i="1"/>
  <c r="K895" i="1"/>
  <c r="J894" i="1"/>
  <c r="K894" i="1" s="1"/>
  <c r="K893" i="1"/>
  <c r="J892" i="1"/>
  <c r="K892" i="1" s="1"/>
  <c r="K891" i="1"/>
  <c r="J890" i="1"/>
  <c r="K890" i="1" s="1"/>
  <c r="K889" i="1"/>
  <c r="I889" i="1"/>
  <c r="K888" i="1"/>
  <c r="F888" i="1"/>
  <c r="J887" i="1"/>
  <c r="K887" i="1" s="1"/>
  <c r="K886" i="1"/>
  <c r="J885" i="1"/>
  <c r="K885" i="1" s="1"/>
  <c r="K884" i="1"/>
  <c r="K883" i="1"/>
  <c r="F883" i="1"/>
  <c r="J882" i="1"/>
  <c r="K882" i="1" s="1"/>
  <c r="K881" i="1"/>
  <c r="J880" i="1"/>
  <c r="K880" i="1" s="1"/>
  <c r="K879" i="1"/>
  <c r="J878" i="1"/>
  <c r="K878" i="1" s="1"/>
  <c r="K877" i="1"/>
  <c r="K876" i="1"/>
  <c r="K875" i="1"/>
  <c r="K874" i="1"/>
  <c r="K873" i="1"/>
  <c r="K872" i="1"/>
  <c r="K871" i="1"/>
  <c r="J870" i="1"/>
  <c r="K870" i="1" s="1"/>
  <c r="K869" i="1"/>
  <c r="J867" i="1"/>
  <c r="K867" i="1" s="1"/>
  <c r="I866" i="1"/>
  <c r="K866" i="1" s="1"/>
  <c r="K865" i="1"/>
  <c r="I865" i="1"/>
  <c r="F865" i="1"/>
  <c r="J864" i="1"/>
  <c r="K864" i="1" s="1"/>
  <c r="K863" i="1"/>
  <c r="K862" i="1"/>
  <c r="K861" i="1"/>
  <c r="J860" i="1"/>
  <c r="K860" i="1" s="1"/>
  <c r="K859" i="1"/>
  <c r="K858" i="1"/>
  <c r="K857" i="1"/>
  <c r="K856" i="1"/>
  <c r="K855" i="1"/>
  <c r="J854" i="1"/>
  <c r="K854" i="1" s="1"/>
  <c r="K853" i="1"/>
  <c r="J852" i="1"/>
  <c r="K852" i="1" s="1"/>
  <c r="K851" i="1"/>
  <c r="K850" i="1"/>
  <c r="K849" i="1"/>
  <c r="K848" i="1"/>
  <c r="J847" i="1"/>
  <c r="K847" i="1" s="1"/>
  <c r="K846" i="1"/>
  <c r="J845" i="1"/>
  <c r="K845" i="1" s="1"/>
  <c r="K844" i="1"/>
  <c r="K842" i="1"/>
  <c r="I842" i="1"/>
  <c r="I841" i="1"/>
  <c r="K841" i="1" s="1"/>
  <c r="J840" i="1"/>
  <c r="K840" i="1" s="1"/>
  <c r="K839" i="1"/>
  <c r="J838" i="1"/>
  <c r="K838" i="1" s="1"/>
  <c r="K837" i="1"/>
  <c r="I832" i="1"/>
  <c r="J831" i="1"/>
  <c r="K831" i="1" s="1"/>
  <c r="K830" i="1"/>
  <c r="J829" i="1"/>
  <c r="K829" i="1" s="1"/>
  <c r="K828" i="1"/>
  <c r="J827" i="1"/>
  <c r="K827" i="1" s="1"/>
  <c r="K826" i="1"/>
  <c r="K825" i="1"/>
  <c r="K824" i="1"/>
  <c r="J823" i="1"/>
  <c r="K823" i="1" s="1"/>
  <c r="K822" i="1"/>
  <c r="K821" i="1"/>
  <c r="K820" i="1"/>
  <c r="K819" i="1"/>
  <c r="K818" i="1"/>
  <c r="K817" i="1"/>
  <c r="I813" i="1"/>
  <c r="J815" i="1" s="1"/>
  <c r="K815" i="1" s="1"/>
  <c r="J812" i="1"/>
  <c r="K812" i="1" s="1"/>
  <c r="K811" i="1"/>
  <c r="K810" i="1"/>
  <c r="J809" i="1"/>
  <c r="K809" i="1" s="1"/>
  <c r="K808" i="1"/>
  <c r="J807" i="1"/>
  <c r="K807" i="1" s="1"/>
  <c r="K806" i="1"/>
  <c r="F806" i="1"/>
  <c r="J805" i="1"/>
  <c r="K805" i="1" s="1"/>
  <c r="K804" i="1"/>
  <c r="J803" i="1"/>
  <c r="K803" i="1" s="1"/>
  <c r="K802" i="1"/>
  <c r="J801" i="1"/>
  <c r="K801" i="1" s="1"/>
  <c r="K800" i="1"/>
  <c r="J799" i="1"/>
  <c r="K799" i="1" s="1"/>
  <c r="K798" i="1"/>
  <c r="J797" i="1"/>
  <c r="K797" i="1" s="1"/>
  <c r="K796" i="1"/>
  <c r="K795" i="1"/>
  <c r="K794" i="1"/>
  <c r="K793" i="1"/>
  <c r="K792" i="1"/>
  <c r="K791" i="1"/>
  <c r="K790" i="1"/>
  <c r="F790" i="1"/>
  <c r="J789" i="1"/>
  <c r="K789" i="1" s="1"/>
  <c r="K788" i="1"/>
  <c r="J786" i="1"/>
  <c r="J787" i="1" s="1"/>
  <c r="K787" i="1" s="1"/>
  <c r="K785" i="1"/>
  <c r="I781" i="1"/>
  <c r="F781" i="1"/>
  <c r="J780" i="1"/>
  <c r="K780" i="1" s="1"/>
  <c r="K779" i="1"/>
  <c r="I776" i="1"/>
  <c r="K776" i="1" s="1"/>
  <c r="K775" i="1"/>
  <c r="I775" i="1"/>
  <c r="F775" i="1"/>
  <c r="K774" i="1"/>
  <c r="F774" i="1"/>
  <c r="J773" i="1"/>
  <c r="K773" i="1" s="1"/>
  <c r="K772" i="1"/>
  <c r="J771" i="1"/>
  <c r="K771" i="1" s="1"/>
  <c r="K770" i="1"/>
  <c r="J769" i="1"/>
  <c r="K769" i="1" s="1"/>
  <c r="K768" i="1"/>
  <c r="J766" i="1"/>
  <c r="K766" i="1" s="1"/>
  <c r="I764" i="1"/>
  <c r="K764" i="1" s="1"/>
  <c r="F764" i="1"/>
  <c r="I760" i="1"/>
  <c r="I761" i="1" s="1"/>
  <c r="K761" i="1" s="1"/>
  <c r="F760" i="1"/>
  <c r="J759" i="1"/>
  <c r="K759" i="1" s="1"/>
  <c r="K758" i="1"/>
  <c r="I754" i="1"/>
  <c r="I755" i="1" s="1"/>
  <c r="K755" i="1" s="1"/>
  <c r="F754" i="1"/>
  <c r="K752" i="1"/>
  <c r="K751" i="1"/>
  <c r="I750" i="1"/>
  <c r="J753" i="1" s="1"/>
  <c r="K753" i="1" s="1"/>
  <c r="F750" i="1"/>
  <c r="J749" i="1"/>
  <c r="K749" i="1" s="1"/>
  <c r="K748" i="1"/>
  <c r="K747" i="1"/>
  <c r="K746" i="1"/>
  <c r="I746" i="1"/>
  <c r="F746" i="1"/>
  <c r="K745" i="1"/>
  <c r="K744" i="1"/>
  <c r="K743" i="1"/>
  <c r="K742" i="1"/>
  <c r="K741" i="1"/>
  <c r="K740" i="1"/>
  <c r="K739" i="1"/>
  <c r="K738" i="1"/>
  <c r="K737" i="1"/>
  <c r="J736" i="1"/>
  <c r="K736" i="1" s="1"/>
  <c r="K735" i="1"/>
  <c r="K734" i="1"/>
  <c r="K733" i="1"/>
  <c r="K732" i="1"/>
  <c r="J731" i="1"/>
  <c r="K731" i="1" s="1"/>
  <c r="K730" i="1"/>
  <c r="I726" i="1"/>
  <c r="F726" i="1"/>
  <c r="J724" i="1"/>
  <c r="K724" i="1" s="1"/>
  <c r="I723" i="1"/>
  <c r="K723" i="1" s="1"/>
  <c r="K722" i="1"/>
  <c r="I722" i="1"/>
  <c r="F722" i="1"/>
  <c r="K721" i="1"/>
  <c r="K720" i="1"/>
  <c r="K719" i="1"/>
  <c r="K718" i="1"/>
  <c r="K717" i="1"/>
  <c r="F717" i="1"/>
  <c r="K716" i="1"/>
  <c r="F716" i="1"/>
  <c r="K715" i="1"/>
  <c r="K714" i="1"/>
  <c r="K713" i="1"/>
  <c r="K712" i="1"/>
  <c r="J710" i="1"/>
  <c r="K710" i="1" s="1"/>
  <c r="I708" i="1"/>
  <c r="I709" i="1" s="1"/>
  <c r="K709" i="1" s="1"/>
  <c r="F708" i="1"/>
  <c r="K707" i="1"/>
  <c r="K706" i="1"/>
  <c r="K705" i="1"/>
  <c r="K704" i="1"/>
  <c r="F704" i="1"/>
  <c r="J703" i="1"/>
  <c r="K703" i="1" s="1"/>
  <c r="K702" i="1"/>
  <c r="J701" i="1"/>
  <c r="K701" i="1" s="1"/>
  <c r="K700" i="1"/>
  <c r="I696" i="1"/>
  <c r="F696" i="1"/>
  <c r="J695" i="1"/>
  <c r="K695" i="1" s="1"/>
  <c r="K694" i="1"/>
  <c r="I692" i="1"/>
  <c r="K692" i="1" s="1"/>
  <c r="J691" i="1"/>
  <c r="K691" i="1" s="1"/>
  <c r="K690" i="1"/>
  <c r="J688" i="1"/>
  <c r="K688" i="1" s="1"/>
  <c r="I687" i="1"/>
  <c r="K687" i="1" s="1"/>
  <c r="K686" i="1"/>
  <c r="I686" i="1"/>
  <c r="F686" i="1"/>
  <c r="J684" i="1"/>
  <c r="K684" i="1" s="1"/>
  <c r="I683" i="1"/>
  <c r="K683" i="1" s="1"/>
  <c r="K682" i="1"/>
  <c r="I682" i="1"/>
  <c r="F682" i="1"/>
  <c r="K681" i="1"/>
  <c r="K680" i="1"/>
  <c r="K679" i="1"/>
  <c r="J678" i="1"/>
  <c r="K678" i="1" s="1"/>
  <c r="K677" i="1"/>
  <c r="J676" i="1"/>
  <c r="K676" i="1" s="1"/>
  <c r="K675" i="1"/>
  <c r="J674" i="1"/>
  <c r="K674" i="1" s="1"/>
  <c r="L673" i="1"/>
  <c r="K673" i="1"/>
  <c r="I673" i="1"/>
  <c r="F673" i="1"/>
  <c r="J672" i="1"/>
  <c r="K672" i="1" s="1"/>
  <c r="K671" i="1"/>
  <c r="J670" i="1"/>
  <c r="K670" i="1" s="1"/>
  <c r="K669" i="1"/>
  <c r="K667" i="1"/>
  <c r="K666" i="1"/>
  <c r="I665" i="1"/>
  <c r="K665" i="1" s="1"/>
  <c r="F665" i="1"/>
  <c r="K663" i="1"/>
  <c r="K662" i="1"/>
  <c r="K661" i="1"/>
  <c r="I661" i="1"/>
  <c r="J664" i="1" s="1"/>
  <c r="K664" i="1" s="1"/>
  <c r="F661" i="1"/>
  <c r="J660" i="1"/>
  <c r="K660" i="1" s="1"/>
  <c r="K659" i="1"/>
  <c r="K658" i="1"/>
  <c r="K657" i="1"/>
  <c r="K656" i="1"/>
  <c r="F656" i="1"/>
  <c r="J655" i="1"/>
  <c r="K655" i="1" s="1"/>
  <c r="K654" i="1"/>
  <c r="K653" i="1"/>
  <c r="J652" i="1"/>
  <c r="K652" i="1" s="1"/>
  <c r="K651" i="1"/>
  <c r="K650" i="1"/>
  <c r="K649" i="1"/>
  <c r="F649" i="1"/>
  <c r="K648" i="1"/>
  <c r="F648" i="1"/>
  <c r="J646" i="1"/>
  <c r="K646" i="1" s="1"/>
  <c r="I645" i="1"/>
  <c r="K644" i="1"/>
  <c r="I644" i="1"/>
  <c r="F644" i="1"/>
  <c r="I640" i="1"/>
  <c r="F640" i="1"/>
  <c r="J639" i="1"/>
  <c r="K639" i="1" s="1"/>
  <c r="K638" i="1"/>
  <c r="K637" i="1"/>
  <c r="F637" i="1"/>
  <c r="I635" i="1"/>
  <c r="K635" i="1" s="1"/>
  <c r="I634" i="1"/>
  <c r="J633" i="1"/>
  <c r="K633" i="1" s="1"/>
  <c r="K632" i="1"/>
  <c r="K631" i="1"/>
  <c r="F631" i="1"/>
  <c r="J630" i="1"/>
  <c r="K630" i="1" s="1"/>
  <c r="K629" i="1"/>
  <c r="K628" i="1"/>
  <c r="F628" i="1"/>
  <c r="J627" i="1"/>
  <c r="K627" i="1" s="1"/>
  <c r="K626" i="1"/>
  <c r="J625" i="1"/>
  <c r="K625" i="1" s="1"/>
  <c r="K624" i="1"/>
  <c r="K623" i="1"/>
  <c r="K622" i="1"/>
  <c r="J621" i="1"/>
  <c r="K621" i="1" s="1"/>
  <c r="K620" i="1"/>
  <c r="K619" i="1"/>
  <c r="K618" i="1"/>
  <c r="K617" i="1"/>
  <c r="K616" i="1"/>
  <c r="J615" i="1"/>
  <c r="K615" i="1" s="1"/>
  <c r="K614" i="1"/>
  <c r="J613" i="1"/>
  <c r="K613" i="1" s="1"/>
  <c r="K612" i="1"/>
  <c r="J611" i="1"/>
  <c r="K611" i="1" s="1"/>
  <c r="K610" i="1"/>
  <c r="K609" i="1"/>
  <c r="K608" i="1"/>
  <c r="K607" i="1"/>
  <c r="K606" i="1"/>
  <c r="K605" i="1"/>
  <c r="K604" i="1"/>
  <c r="K603" i="1"/>
  <c r="K602" i="1"/>
  <c r="J601" i="1"/>
  <c r="K601" i="1" s="1"/>
  <c r="K600" i="1"/>
  <c r="I596" i="1"/>
  <c r="I597" i="1" s="1"/>
  <c r="K597" i="1" s="1"/>
  <c r="F596" i="1"/>
  <c r="J595" i="1"/>
  <c r="K595" i="1" s="1"/>
  <c r="K594" i="1"/>
  <c r="J592" i="1"/>
  <c r="K592" i="1" s="1"/>
  <c r="K591" i="1"/>
  <c r="F591" i="1"/>
  <c r="I587" i="1"/>
  <c r="F587" i="1"/>
  <c r="I584" i="1"/>
  <c r="K584" i="1" s="1"/>
  <c r="K583" i="1"/>
  <c r="I583" i="1"/>
  <c r="F583" i="1"/>
  <c r="J581" i="1"/>
  <c r="K581" i="1" s="1"/>
  <c r="I579" i="1"/>
  <c r="I580" i="1" s="1"/>
  <c r="K580" i="1" s="1"/>
  <c r="F579" i="1"/>
  <c r="J578" i="1"/>
  <c r="K578" i="1" s="1"/>
  <c r="K577" i="1"/>
  <c r="J575" i="1"/>
  <c r="K575" i="1" s="1"/>
  <c r="I573" i="1"/>
  <c r="I574" i="1" s="1"/>
  <c r="K574" i="1" s="1"/>
  <c r="F573" i="1"/>
  <c r="J571" i="1"/>
  <c r="K571" i="1" s="1"/>
  <c r="I570" i="1"/>
  <c r="K569" i="1"/>
  <c r="I569" i="1"/>
  <c r="F569" i="1"/>
  <c r="J567" i="1"/>
  <c r="J568" i="1" s="1"/>
  <c r="K568" i="1" s="1"/>
  <c r="K566" i="1"/>
  <c r="F566" i="1"/>
  <c r="J565" i="1"/>
  <c r="K565" i="1" s="1"/>
  <c r="K564" i="1"/>
  <c r="K563" i="1"/>
  <c r="K562" i="1"/>
  <c r="K561" i="1"/>
  <c r="J560" i="1"/>
  <c r="K560" i="1" s="1"/>
  <c r="K559" i="1"/>
  <c r="J558" i="1"/>
  <c r="K558" i="1" s="1"/>
  <c r="K557" i="1"/>
  <c r="J556" i="1"/>
  <c r="K556" i="1" s="1"/>
  <c r="K555" i="1"/>
  <c r="K554" i="1"/>
  <c r="K553" i="1"/>
  <c r="K552" i="1"/>
  <c r="J551" i="1"/>
  <c r="K551" i="1" s="1"/>
  <c r="K550" i="1"/>
  <c r="J548" i="1"/>
  <c r="K548" i="1" s="1"/>
  <c r="I547" i="1"/>
  <c r="K547" i="1" s="1"/>
  <c r="K546" i="1"/>
  <c r="I546" i="1"/>
  <c r="F546" i="1"/>
  <c r="I542" i="1"/>
  <c r="F542" i="1"/>
  <c r="I539" i="1"/>
  <c r="K539" i="1" s="1"/>
  <c r="K538" i="1"/>
  <c r="I538" i="1"/>
  <c r="F538" i="1"/>
  <c r="K537" i="1"/>
  <c r="J536" i="1"/>
  <c r="K536" i="1" s="1"/>
  <c r="K535" i="1"/>
  <c r="I535" i="1"/>
  <c r="J534" i="1"/>
  <c r="K534" i="1" s="1"/>
  <c r="K533" i="1"/>
  <c r="I530" i="1"/>
  <c r="K530" i="1" s="1"/>
  <c r="I529" i="1"/>
  <c r="F529" i="1"/>
  <c r="J528" i="1"/>
  <c r="K528" i="1" s="1"/>
  <c r="K527" i="1"/>
  <c r="J526" i="1"/>
  <c r="K526" i="1" s="1"/>
  <c r="K525" i="1"/>
  <c r="J524" i="1"/>
  <c r="K524" i="1" s="1"/>
  <c r="K523" i="1"/>
  <c r="J522" i="1"/>
  <c r="K522" i="1" s="1"/>
  <c r="K521" i="1"/>
  <c r="K520" i="1"/>
  <c r="K519" i="1"/>
  <c r="K518" i="1"/>
  <c r="K517" i="1"/>
  <c r="K516" i="1"/>
  <c r="K515" i="1"/>
  <c r="K514" i="1"/>
  <c r="K513" i="1"/>
  <c r="K512" i="1"/>
  <c r="K511" i="1"/>
  <c r="F511" i="1"/>
  <c r="K510" i="1"/>
  <c r="K509" i="1"/>
  <c r="K508" i="1"/>
  <c r="F508" i="1"/>
  <c r="K507" i="1"/>
  <c r="K506" i="1"/>
  <c r="K505" i="1"/>
  <c r="K504" i="1"/>
  <c r="K503" i="1"/>
  <c r="K502" i="1"/>
  <c r="K501" i="1"/>
  <c r="K500" i="1"/>
  <c r="K499" i="1"/>
  <c r="K498" i="1"/>
  <c r="K497" i="1"/>
  <c r="K496" i="1"/>
  <c r="K495" i="1"/>
  <c r="K494" i="1"/>
  <c r="K493" i="1"/>
  <c r="K492" i="1"/>
  <c r="J491" i="1"/>
  <c r="K491" i="1" s="1"/>
  <c r="K490" i="1"/>
  <c r="J489" i="1"/>
  <c r="K489" i="1" s="1"/>
  <c r="K488" i="1"/>
  <c r="I488" i="1"/>
  <c r="K487" i="1"/>
  <c r="K486" i="1"/>
  <c r="J485" i="1"/>
  <c r="K485" i="1" s="1"/>
  <c r="K484" i="1"/>
  <c r="J483" i="1"/>
  <c r="K483" i="1" s="1"/>
  <c r="K482" i="1"/>
  <c r="I479" i="1"/>
  <c r="K479" i="1" s="1"/>
  <c r="K478" i="1"/>
  <c r="I478" i="1"/>
  <c r="F478" i="1"/>
  <c r="J477" i="1"/>
  <c r="K477" i="1" s="1"/>
  <c r="K476" i="1"/>
  <c r="J475" i="1"/>
  <c r="K475" i="1" s="1"/>
  <c r="K474" i="1"/>
  <c r="F474" i="1"/>
  <c r="J473" i="1"/>
  <c r="K473" i="1" s="1"/>
  <c r="K472" i="1"/>
  <c r="J471" i="1"/>
  <c r="K471" i="1" s="1"/>
  <c r="K470" i="1"/>
  <c r="K469" i="1"/>
  <c r="K468" i="1"/>
  <c r="K467" i="1"/>
  <c r="K466" i="1"/>
  <c r="K465" i="1"/>
  <c r="K464" i="1"/>
  <c r="K463" i="1"/>
  <c r="K462" i="1"/>
  <c r="K461" i="1"/>
  <c r="K460" i="1"/>
  <c r="K459" i="1"/>
  <c r="J458" i="1"/>
  <c r="K458" i="1" s="1"/>
  <c r="K457" i="1"/>
  <c r="K456" i="1"/>
  <c r="K455" i="1"/>
  <c r="K454" i="1"/>
  <c r="K453" i="1"/>
  <c r="K452" i="1"/>
  <c r="K451" i="1"/>
  <c r="K450" i="1"/>
  <c r="K449" i="1"/>
  <c r="J448" i="1"/>
  <c r="K448" i="1" s="1"/>
  <c r="K447" i="1"/>
  <c r="K446" i="1"/>
  <c r="K445" i="1"/>
  <c r="K444" i="1"/>
  <c r="K443" i="1"/>
  <c r="K442" i="1"/>
  <c r="K441" i="1"/>
  <c r="K440" i="1"/>
  <c r="K439" i="1"/>
  <c r="K438" i="1"/>
  <c r="K437" i="1"/>
  <c r="J435" i="1"/>
  <c r="K435" i="1" s="1"/>
  <c r="I433" i="1"/>
  <c r="I434" i="1" s="1"/>
  <c r="K434" i="1" s="1"/>
  <c r="F433" i="1"/>
  <c r="J432" i="1"/>
  <c r="K432" i="1" s="1"/>
  <c r="K431" i="1"/>
  <c r="J430" i="1"/>
  <c r="K430" i="1" s="1"/>
  <c r="K429" i="1"/>
  <c r="J428" i="1"/>
  <c r="K428" i="1" s="1"/>
  <c r="K427" i="1"/>
  <c r="J426" i="1"/>
  <c r="K426" i="1" s="1"/>
  <c r="K425" i="1"/>
  <c r="J424" i="1"/>
  <c r="K424" i="1" s="1"/>
  <c r="K423" i="1"/>
  <c r="J422" i="1"/>
  <c r="K422" i="1" s="1"/>
  <c r="K421" i="1"/>
  <c r="J420" i="1"/>
  <c r="K420" i="1" s="1"/>
  <c r="K419" i="1"/>
  <c r="J418" i="1"/>
  <c r="K418" i="1" s="1"/>
  <c r="K417" i="1"/>
  <c r="J416" i="1"/>
  <c r="K416" i="1" s="1"/>
  <c r="K415" i="1"/>
  <c r="J414" i="1"/>
  <c r="K414" i="1" s="1"/>
  <c r="K413" i="1"/>
  <c r="J412" i="1"/>
  <c r="K412" i="1" s="1"/>
  <c r="K411" i="1"/>
  <c r="J410" i="1"/>
  <c r="K410" i="1" s="1"/>
  <c r="K409" i="1"/>
  <c r="K408" i="1"/>
  <c r="J407" i="1"/>
  <c r="K407" i="1" s="1"/>
  <c r="K406" i="1"/>
  <c r="J405" i="1"/>
  <c r="K405" i="1" s="1"/>
  <c r="K404" i="1"/>
  <c r="J403" i="1"/>
  <c r="K403" i="1" s="1"/>
  <c r="K402" i="1"/>
  <c r="J401" i="1"/>
  <c r="K401" i="1" s="1"/>
  <c r="K400" i="1"/>
  <c r="J399" i="1"/>
  <c r="K399" i="1" s="1"/>
  <c r="K398" i="1"/>
  <c r="K397" i="1"/>
  <c r="K396" i="1"/>
  <c r="K395" i="1"/>
  <c r="K394" i="1"/>
  <c r="K393" i="1"/>
  <c r="K392" i="1"/>
  <c r="J391" i="1"/>
  <c r="K391" i="1" s="1"/>
  <c r="K390" i="1"/>
  <c r="J388" i="1"/>
  <c r="K388" i="1" s="1"/>
  <c r="I387" i="1"/>
  <c r="K386" i="1"/>
  <c r="I386" i="1"/>
  <c r="F386" i="1"/>
  <c r="J385" i="1"/>
  <c r="K385" i="1" s="1"/>
  <c r="K384" i="1"/>
  <c r="J382" i="1"/>
  <c r="K382" i="1" s="1"/>
  <c r="I381" i="1"/>
  <c r="K380" i="1"/>
  <c r="I380" i="1"/>
  <c r="F380" i="1"/>
  <c r="I377" i="1"/>
  <c r="K376" i="1"/>
  <c r="I376" i="1"/>
  <c r="J378" i="1" s="1"/>
  <c r="K378" i="1" s="1"/>
  <c r="F376" i="1"/>
  <c r="J375" i="1"/>
  <c r="K375" i="1" s="1"/>
  <c r="K374" i="1"/>
  <c r="F374" i="1"/>
  <c r="J373" i="1"/>
  <c r="K373" i="1" s="1"/>
  <c r="K372" i="1"/>
  <c r="F372" i="1"/>
  <c r="J371" i="1"/>
  <c r="K371" i="1" s="1"/>
  <c r="K370" i="1"/>
  <c r="J369" i="1"/>
  <c r="K369" i="1" s="1"/>
  <c r="K368" i="1"/>
  <c r="J367" i="1"/>
  <c r="K367" i="1" s="1"/>
  <c r="K366" i="1"/>
  <c r="J365" i="1"/>
  <c r="K365" i="1" s="1"/>
  <c r="K364" i="1"/>
  <c r="K363" i="1"/>
  <c r="K362" i="1"/>
  <c r="F362" i="1"/>
  <c r="J361" i="1"/>
  <c r="K361" i="1" s="1"/>
  <c r="K360" i="1"/>
  <c r="K359" i="1"/>
  <c r="K358" i="1"/>
  <c r="F358" i="1"/>
  <c r="K357" i="1"/>
  <c r="K356" i="1"/>
  <c r="J354" i="1"/>
  <c r="J355" i="1" s="1"/>
  <c r="K355" i="1" s="1"/>
  <c r="K353" i="1"/>
  <c r="F353" i="1"/>
  <c r="J352" i="1"/>
  <c r="K352" i="1" s="1"/>
  <c r="K351" i="1"/>
  <c r="J350" i="1"/>
  <c r="K350" i="1" s="1"/>
  <c r="K349" i="1"/>
  <c r="J348" i="1"/>
  <c r="K348" i="1" s="1"/>
  <c r="K347" i="1"/>
  <c r="J346" i="1"/>
  <c r="K346" i="1" s="1"/>
  <c r="K345" i="1"/>
  <c r="J344" i="1"/>
  <c r="K344" i="1" s="1"/>
  <c r="K343" i="1"/>
  <c r="J342" i="1"/>
  <c r="K342" i="1" s="1"/>
  <c r="K341" i="1"/>
  <c r="J340" i="1"/>
  <c r="K340" i="1" s="1"/>
  <c r="K339" i="1"/>
  <c r="J338" i="1"/>
  <c r="K338" i="1" s="1"/>
  <c r="K337" i="1"/>
  <c r="I337" i="1"/>
  <c r="J336" i="1"/>
  <c r="K336" i="1" s="1"/>
  <c r="K335" i="1"/>
  <c r="J334" i="1"/>
  <c r="K334" i="1" s="1"/>
  <c r="K333" i="1"/>
  <c r="I331" i="1"/>
  <c r="K331" i="1" s="1"/>
  <c r="J330" i="1"/>
  <c r="K330" i="1" s="1"/>
  <c r="K329" i="1"/>
  <c r="J328" i="1"/>
  <c r="K328" i="1" s="1"/>
  <c r="K327" i="1"/>
  <c r="K326" i="1"/>
  <c r="K325" i="1"/>
  <c r="K324" i="1"/>
  <c r="K323" i="1"/>
  <c r="K322" i="1"/>
  <c r="K321" i="1"/>
  <c r="K320" i="1"/>
  <c r="K319" i="1"/>
  <c r="K318" i="1"/>
  <c r="J317" i="1"/>
  <c r="K317" i="1" s="1"/>
  <c r="K316" i="1"/>
  <c r="K315" i="1"/>
  <c r="J314" i="1"/>
  <c r="K314" i="1" s="1"/>
  <c r="K313" i="1"/>
  <c r="K312" i="1"/>
  <c r="I309" i="1"/>
  <c r="K308" i="1"/>
  <c r="I308" i="1"/>
  <c r="J310" i="1" s="1"/>
  <c r="K310" i="1" s="1"/>
  <c r="F308" i="1"/>
  <c r="K307" i="1"/>
  <c r="F307" i="1"/>
  <c r="K306" i="1"/>
  <c r="F306" i="1"/>
  <c r="K305" i="1"/>
  <c r="K304" i="1"/>
  <c r="K303" i="1"/>
  <c r="K302" i="1"/>
  <c r="K301" i="1"/>
  <c r="K300" i="1"/>
  <c r="K299" i="1"/>
  <c r="J298" i="1"/>
  <c r="K298" i="1" s="1"/>
  <c r="K297" i="1"/>
  <c r="J296" i="1"/>
  <c r="K296" i="1" s="1"/>
  <c r="K295" i="1"/>
  <c r="I295" i="1"/>
  <c r="J294" i="1"/>
  <c r="K294" i="1" s="1"/>
  <c r="K293" i="1"/>
  <c r="J292" i="1"/>
  <c r="K292" i="1" s="1"/>
  <c r="K291" i="1"/>
  <c r="J290" i="1"/>
  <c r="K290" i="1" s="1"/>
  <c r="K289" i="1"/>
  <c r="J288" i="1"/>
  <c r="K288" i="1" s="1"/>
  <c r="K287" i="1"/>
  <c r="L286" i="1"/>
  <c r="K286" i="1"/>
  <c r="F286" i="1"/>
  <c r="O286" i="1" s="1"/>
  <c r="K285" i="1"/>
  <c r="F285" i="1"/>
  <c r="K284" i="1"/>
  <c r="F284" i="1"/>
  <c r="K283" i="1"/>
  <c r="K282" i="1"/>
  <c r="K281" i="1"/>
  <c r="K280" i="1"/>
  <c r="K279" i="1"/>
  <c r="K278" i="1"/>
  <c r="J277" i="1"/>
  <c r="K277" i="1" s="1"/>
  <c r="K276" i="1"/>
  <c r="F276" i="1"/>
  <c r="K275" i="1"/>
  <c r="F275" i="1"/>
  <c r="K274" i="1"/>
  <c r="F274" i="1"/>
  <c r="K273" i="1"/>
  <c r="K272" i="1"/>
  <c r="K271" i="1"/>
  <c r="K270" i="1"/>
  <c r="K269" i="1"/>
  <c r="K268" i="1"/>
  <c r="K267" i="1"/>
  <c r="K266" i="1"/>
  <c r="F266" i="1"/>
  <c r="K265" i="1"/>
  <c r="K264" i="1"/>
  <c r="F264" i="1"/>
  <c r="K263" i="1"/>
  <c r="K262" i="1"/>
  <c r="K261" i="1"/>
  <c r="J260" i="1"/>
  <c r="K260" i="1" s="1"/>
  <c r="K259" i="1"/>
  <c r="I259" i="1"/>
  <c r="K258" i="1"/>
  <c r="K257" i="1"/>
  <c r="K256" i="1"/>
  <c r="K255" i="1"/>
  <c r="K254" i="1"/>
  <c r="K253" i="1"/>
  <c r="K252" i="1"/>
  <c r="J251" i="1"/>
  <c r="K251" i="1" s="1"/>
  <c r="K250" i="1"/>
  <c r="K249" i="1"/>
  <c r="K248" i="1"/>
  <c r="K247" i="1"/>
  <c r="K246" i="1"/>
  <c r="K245" i="1"/>
  <c r="K244" i="1"/>
  <c r="K243" i="1"/>
  <c r="K242" i="1"/>
  <c r="I238" i="1"/>
  <c r="K237" i="1"/>
  <c r="K236" i="1"/>
  <c r="K235" i="1"/>
  <c r="K234" i="1"/>
  <c r="K233" i="1"/>
  <c r="K232" i="1"/>
  <c r="F232" i="1"/>
  <c r="K231" i="1"/>
  <c r="K230" i="1"/>
  <c r="K229" i="1"/>
  <c r="K228" i="1"/>
  <c r="K227" i="1"/>
  <c r="F227" i="1"/>
  <c r="K226" i="1"/>
  <c r="F226" i="1"/>
  <c r="K225" i="1"/>
  <c r="K224" i="1"/>
  <c r="K223" i="1"/>
  <c r="K222" i="1"/>
  <c r="K221" i="1"/>
  <c r="K220" i="1"/>
  <c r="K219" i="1"/>
  <c r="K218" i="1"/>
  <c r="K217" i="1"/>
  <c r="K216" i="1"/>
  <c r="K215" i="1"/>
  <c r="K214" i="1"/>
  <c r="K213" i="1"/>
  <c r="K212" i="1"/>
  <c r="K211" i="1"/>
  <c r="K210" i="1"/>
  <c r="F210" i="1"/>
  <c r="K209" i="1"/>
  <c r="K208" i="1"/>
  <c r="K207" i="1"/>
  <c r="J206" i="1"/>
  <c r="K206" i="1" s="1"/>
  <c r="K205" i="1"/>
  <c r="J204" i="1"/>
  <c r="K204" i="1" s="1"/>
  <c r="L203" i="1"/>
  <c r="K203" i="1"/>
  <c r="J202" i="1"/>
  <c r="K202" i="1" s="1"/>
  <c r="K201" i="1"/>
  <c r="J200" i="1"/>
  <c r="K200" i="1" s="1"/>
  <c r="K199" i="1"/>
  <c r="J198" i="1"/>
  <c r="K198" i="1" s="1"/>
  <c r="K197" i="1"/>
  <c r="J196" i="1"/>
  <c r="K196" i="1" s="1"/>
  <c r="K195" i="1"/>
  <c r="J194" i="1"/>
  <c r="K194" i="1" s="1"/>
  <c r="K193" i="1"/>
  <c r="J192" i="1"/>
  <c r="K192" i="1" s="1"/>
  <c r="K191" i="1"/>
  <c r="J190" i="1"/>
  <c r="K190" i="1" s="1"/>
  <c r="K189" i="1"/>
  <c r="I187" i="1"/>
  <c r="J188" i="1" s="1"/>
  <c r="K188" i="1" s="1"/>
  <c r="F187" i="1"/>
  <c r="J186" i="1"/>
  <c r="K186" i="1" s="1"/>
  <c r="K185" i="1"/>
  <c r="J184" i="1"/>
  <c r="K184" i="1" s="1"/>
  <c r="K183" i="1"/>
  <c r="J182" i="1"/>
  <c r="K182" i="1" s="1"/>
  <c r="K181" i="1"/>
  <c r="J180" i="1"/>
  <c r="K180" i="1" s="1"/>
  <c r="K179" i="1"/>
  <c r="I177" i="1"/>
  <c r="F177" i="1"/>
  <c r="J176" i="1"/>
  <c r="K176" i="1" s="1"/>
  <c r="K175" i="1"/>
  <c r="I175" i="1"/>
  <c r="F175" i="1"/>
  <c r="J174" i="1"/>
  <c r="K174" i="1" s="1"/>
  <c r="K173" i="1"/>
  <c r="J172" i="1"/>
  <c r="K172" i="1" s="1"/>
  <c r="K171" i="1"/>
  <c r="J170" i="1"/>
  <c r="K170" i="1" s="1"/>
  <c r="K169" i="1"/>
  <c r="J168" i="1"/>
  <c r="K168" i="1" s="1"/>
  <c r="K167" i="1"/>
  <c r="J166" i="1"/>
  <c r="K166" i="1" s="1"/>
  <c r="K165" i="1"/>
  <c r="K163" i="1"/>
  <c r="I163" i="1"/>
  <c r="J164" i="1" s="1"/>
  <c r="K164" i="1" s="1"/>
  <c r="J162" i="1"/>
  <c r="K162" i="1" s="1"/>
  <c r="K161" i="1"/>
  <c r="F161" i="1"/>
  <c r="J160" i="1"/>
  <c r="K160" i="1" s="1"/>
  <c r="K159" i="1"/>
  <c r="J158" i="1"/>
  <c r="K158" i="1" s="1"/>
  <c r="K157" i="1"/>
  <c r="J156" i="1"/>
  <c r="K156" i="1" s="1"/>
  <c r="K155" i="1"/>
  <c r="J154" i="1"/>
  <c r="K154" i="1" s="1"/>
  <c r="K153" i="1"/>
  <c r="J152" i="1"/>
  <c r="K152" i="1" s="1"/>
  <c r="K151" i="1"/>
  <c r="J150" i="1"/>
  <c r="K150" i="1" s="1"/>
  <c r="K149" i="1"/>
  <c r="J148" i="1"/>
  <c r="K148" i="1" s="1"/>
  <c r="K147" i="1"/>
  <c r="J146" i="1"/>
  <c r="K146" i="1" s="1"/>
  <c r="K145" i="1"/>
  <c r="J144" i="1"/>
  <c r="K144" i="1" s="1"/>
  <c r="K143" i="1"/>
  <c r="J141" i="1"/>
  <c r="K141" i="1" s="1"/>
  <c r="I140" i="1"/>
  <c r="K140" i="1" s="1"/>
  <c r="K139" i="1"/>
  <c r="I139" i="1"/>
  <c r="F139" i="1"/>
  <c r="J138" i="1"/>
  <c r="K138" i="1" s="1"/>
  <c r="K137" i="1"/>
  <c r="J136" i="1"/>
  <c r="K136" i="1" s="1"/>
  <c r="K135" i="1"/>
  <c r="J134" i="1"/>
  <c r="K134" i="1" s="1"/>
  <c r="K133" i="1"/>
  <c r="J132" i="1"/>
  <c r="K132" i="1" s="1"/>
  <c r="K131" i="1"/>
  <c r="J130" i="1"/>
  <c r="K130" i="1" s="1"/>
  <c r="K129" i="1"/>
  <c r="K127" i="1"/>
  <c r="K126" i="1"/>
  <c r="K125" i="1"/>
  <c r="I125" i="1"/>
  <c r="J128" i="1" s="1"/>
  <c r="K128" i="1" s="1"/>
  <c r="F125" i="1"/>
  <c r="J124" i="1"/>
  <c r="K124" i="1" s="1"/>
  <c r="K123" i="1"/>
  <c r="K122" i="1"/>
  <c r="K121" i="1"/>
  <c r="F121" i="1"/>
  <c r="J120" i="1"/>
  <c r="K120" i="1" s="1"/>
  <c r="K119" i="1"/>
  <c r="K118" i="1"/>
  <c r="K117" i="1"/>
  <c r="K116" i="1"/>
  <c r="K115" i="1"/>
  <c r="K114" i="1"/>
  <c r="K113" i="1"/>
  <c r="K112" i="1"/>
  <c r="K111" i="1"/>
  <c r="K110" i="1"/>
  <c r="K109" i="1"/>
  <c r="J107" i="1"/>
  <c r="K107" i="1" s="1"/>
  <c r="I106" i="1"/>
  <c r="I105" i="1"/>
  <c r="K105" i="1" s="1"/>
  <c r="F105" i="1"/>
  <c r="I101" i="1"/>
  <c r="F101" i="1"/>
  <c r="L97" i="1"/>
  <c r="I97" i="1"/>
  <c r="F97" i="1"/>
  <c r="K96" i="1"/>
  <c r="J95" i="1"/>
  <c r="K95" i="1" s="1"/>
  <c r="K94" i="1"/>
  <c r="K93" i="1"/>
  <c r="K92" i="1"/>
  <c r="K91" i="1"/>
  <c r="J90" i="1"/>
  <c r="K90" i="1" s="1"/>
  <c r="K89" i="1"/>
  <c r="F89" i="1"/>
  <c r="J88" i="1"/>
  <c r="K88" i="1" s="1"/>
  <c r="K87" i="1"/>
  <c r="J86" i="1"/>
  <c r="K86" i="1" s="1"/>
  <c r="L85" i="1"/>
  <c r="K85" i="1"/>
  <c r="F85" i="1"/>
  <c r="J84" i="1"/>
  <c r="K84" i="1" s="1"/>
  <c r="K83" i="1"/>
  <c r="K82" i="1"/>
  <c r="J81" i="1"/>
  <c r="K81" i="1" s="1"/>
  <c r="K80" i="1"/>
  <c r="J79" i="1"/>
  <c r="K79" i="1" s="1"/>
  <c r="K78" i="1"/>
  <c r="J77" i="1"/>
  <c r="K77" i="1" s="1"/>
  <c r="K76" i="1"/>
  <c r="J75" i="1"/>
  <c r="K75" i="1" s="1"/>
  <c r="K74" i="1"/>
  <c r="J73" i="1"/>
  <c r="K73" i="1" s="1"/>
  <c r="K72" i="1"/>
  <c r="J71" i="1"/>
  <c r="K71" i="1" s="1"/>
  <c r="K70" i="1"/>
  <c r="J69" i="1"/>
  <c r="K69" i="1" s="1"/>
  <c r="K68" i="1"/>
  <c r="J67" i="1"/>
  <c r="K67" i="1" s="1"/>
  <c r="K66" i="1"/>
  <c r="J65" i="1"/>
  <c r="K65" i="1" s="1"/>
  <c r="K64" i="1"/>
  <c r="J63" i="1"/>
  <c r="K63" i="1" s="1"/>
  <c r="K62" i="1"/>
  <c r="J61" i="1"/>
  <c r="K61" i="1" s="1"/>
  <c r="K60" i="1"/>
  <c r="J59" i="1"/>
  <c r="K59" i="1" s="1"/>
  <c r="K58" i="1"/>
  <c r="J57" i="1"/>
  <c r="K57" i="1" s="1"/>
  <c r="K56" i="1"/>
  <c r="J55" i="1"/>
  <c r="K55" i="1" s="1"/>
  <c r="K54" i="1"/>
  <c r="J53" i="1"/>
  <c r="K53" i="1" s="1"/>
  <c r="K52" i="1"/>
  <c r="F52" i="1"/>
  <c r="J51" i="1"/>
  <c r="K51" i="1" s="1"/>
  <c r="K50" i="1"/>
  <c r="J49" i="1"/>
  <c r="K49" i="1" s="1"/>
  <c r="K48" i="1"/>
  <c r="J47" i="1"/>
  <c r="K47" i="1" s="1"/>
  <c r="K46" i="1"/>
  <c r="J45" i="1"/>
  <c r="K45" i="1" s="1"/>
  <c r="K44" i="1"/>
  <c r="J42" i="1"/>
  <c r="K42" i="1" s="1"/>
  <c r="I40" i="1"/>
  <c r="I41" i="1" s="1"/>
  <c r="K41" i="1" s="1"/>
  <c r="F40" i="1"/>
  <c r="J38" i="1"/>
  <c r="K37" i="1"/>
  <c r="F37" i="1"/>
  <c r="J36" i="1"/>
  <c r="K36" i="1" s="1"/>
  <c r="K35" i="1"/>
  <c r="I31" i="1"/>
  <c r="J30" i="1"/>
  <c r="K30" i="1" s="1"/>
  <c r="K29" i="1"/>
  <c r="J28" i="1"/>
  <c r="K28" i="1" s="1"/>
  <c r="K27" i="1"/>
  <c r="J26" i="1"/>
  <c r="K26" i="1" s="1"/>
  <c r="K25" i="1"/>
  <c r="J24" i="1"/>
  <c r="K24" i="1" s="1"/>
  <c r="K23" i="1"/>
  <c r="J22" i="1"/>
  <c r="K22" i="1" s="1"/>
  <c r="K21" i="1"/>
  <c r="K20" i="1"/>
  <c r="K19" i="1"/>
  <c r="K18" i="1"/>
  <c r="J17" i="1"/>
  <c r="K17" i="1" s="1"/>
  <c r="L15" i="1"/>
  <c r="K15" i="1"/>
  <c r="F15" i="1"/>
  <c r="J14" i="1"/>
  <c r="K14" i="1" s="1"/>
  <c r="L12" i="1"/>
  <c r="K12" i="1"/>
  <c r="F12" i="1"/>
  <c r="J11" i="1"/>
  <c r="K11" i="1" s="1"/>
  <c r="K10" i="1"/>
  <c r="J1544" i="1" l="1"/>
  <c r="K1544" i="1" s="1"/>
  <c r="J919" i="1"/>
  <c r="K919" i="1" s="1"/>
  <c r="J311" i="1"/>
  <c r="K311" i="1" s="1"/>
  <c r="J647" i="1"/>
  <c r="K647" i="1" s="1"/>
  <c r="J930" i="1"/>
  <c r="K930" i="1" s="1"/>
  <c r="J1778" i="1"/>
  <c r="K1778" i="1" s="1"/>
  <c r="J1605" i="1"/>
  <c r="K1605" i="1" s="1"/>
  <c r="J108" i="1"/>
  <c r="K108" i="1" s="1"/>
  <c r="J572" i="1"/>
  <c r="K572" i="1" s="1"/>
  <c r="K354" i="1"/>
  <c r="J725" i="1"/>
  <c r="K725" i="1" s="1"/>
  <c r="J436" i="1"/>
  <c r="K436" i="1" s="1"/>
  <c r="K645" i="1"/>
  <c r="K1252" i="1"/>
  <c r="K786" i="1"/>
  <c r="K106" i="1"/>
  <c r="J1751" i="1"/>
  <c r="K1751" i="1" s="1"/>
  <c r="K567" i="1"/>
  <c r="J689" i="1"/>
  <c r="K689" i="1" s="1"/>
  <c r="K917" i="1"/>
  <c r="K570" i="1"/>
  <c r="J142" i="1"/>
  <c r="K142" i="1" s="1"/>
  <c r="J685" i="1"/>
  <c r="K685" i="1" s="1"/>
  <c r="I588" i="1"/>
  <c r="K588" i="1" s="1"/>
  <c r="J589" i="1"/>
  <c r="K589" i="1" s="1"/>
  <c r="J698" i="1"/>
  <c r="K698" i="1" s="1"/>
  <c r="I697" i="1"/>
  <c r="K697" i="1" s="1"/>
  <c r="J99" i="1"/>
  <c r="K99" i="1" s="1"/>
  <c r="I98" i="1"/>
  <c r="K98" i="1" s="1"/>
  <c r="K97" i="1"/>
  <c r="K587" i="1"/>
  <c r="K696" i="1"/>
  <c r="I543" i="1"/>
  <c r="K543" i="1" s="1"/>
  <c r="J544" i="1"/>
  <c r="K544" i="1" s="1"/>
  <c r="J636" i="1"/>
  <c r="K636" i="1" s="1"/>
  <c r="K634" i="1"/>
  <c r="J549" i="1"/>
  <c r="K549" i="1" s="1"/>
  <c r="K38" i="1"/>
  <c r="J39" i="1"/>
  <c r="K39" i="1" s="1"/>
  <c r="K726" i="1"/>
  <c r="J728" i="1"/>
  <c r="K728" i="1" s="1"/>
  <c r="I727" i="1"/>
  <c r="K727" i="1" s="1"/>
  <c r="J383" i="1"/>
  <c r="K383" i="1" s="1"/>
  <c r="K381" i="1"/>
  <c r="J642" i="1"/>
  <c r="K642" i="1" s="1"/>
  <c r="K640" i="1"/>
  <c r="J103" i="1"/>
  <c r="K103" i="1" s="1"/>
  <c r="K101" i="1"/>
  <c r="J582" i="1"/>
  <c r="K582" i="1" s="1"/>
  <c r="I641" i="1"/>
  <c r="K641" i="1" s="1"/>
  <c r="I102" i="1"/>
  <c r="K102" i="1" s="1"/>
  <c r="K542" i="1"/>
  <c r="J593" i="1"/>
  <c r="K593" i="1" s="1"/>
  <c r="J711" i="1"/>
  <c r="K711" i="1" s="1"/>
  <c r="J43" i="1"/>
  <c r="K43" i="1" s="1"/>
  <c r="K177" i="1"/>
  <c r="J178" i="1"/>
  <c r="K178" i="1" s="1"/>
  <c r="I32" i="1"/>
  <c r="K32" i="1" s="1"/>
  <c r="J33" i="1"/>
  <c r="K33" i="1" s="1"/>
  <c r="K238" i="1"/>
  <c r="J240" i="1"/>
  <c r="K240" i="1" s="1"/>
  <c r="I239" i="1"/>
  <c r="K239" i="1" s="1"/>
  <c r="K31" i="1"/>
  <c r="J332" i="1"/>
  <c r="K332" i="1" s="1"/>
  <c r="J576" i="1"/>
  <c r="K576" i="1" s="1"/>
  <c r="J379" i="1"/>
  <c r="K379" i="1" s="1"/>
  <c r="K377" i="1"/>
  <c r="J389" i="1"/>
  <c r="K389" i="1" s="1"/>
  <c r="K387" i="1"/>
  <c r="J531" i="1"/>
  <c r="K531" i="1" s="1"/>
  <c r="J532" i="1"/>
  <c r="K532" i="1" s="1"/>
  <c r="K529" i="1"/>
  <c r="K1404" i="1"/>
  <c r="J1406" i="1"/>
  <c r="K1406" i="1" s="1"/>
  <c r="J2262" i="1"/>
  <c r="K2262" i="1" s="1"/>
  <c r="K2260" i="1"/>
  <c r="K750" i="1"/>
  <c r="I765" i="1"/>
  <c r="K765" i="1" s="1"/>
  <c r="J939" i="1"/>
  <c r="K939" i="1" s="1"/>
  <c r="K1231" i="1"/>
  <c r="J1586" i="1"/>
  <c r="K1586" i="1" s="1"/>
  <c r="J1769" i="1"/>
  <c r="K1769" i="1" s="1"/>
  <c r="J2127" i="1"/>
  <c r="K2127" i="1" s="1"/>
  <c r="I2126" i="1"/>
  <c r="K2126" i="1" s="1"/>
  <c r="K760" i="1"/>
  <c r="K781" i="1"/>
  <c r="I814" i="1"/>
  <c r="K814" i="1" s="1"/>
  <c r="J834" i="1"/>
  <c r="K834" i="1" s="1"/>
  <c r="J989" i="1"/>
  <c r="K989" i="1" s="1"/>
  <c r="J1539" i="1"/>
  <c r="K1539" i="1" s="1"/>
  <c r="I1538" i="1"/>
  <c r="K1538" i="1" s="1"/>
  <c r="K1537" i="1"/>
  <c r="K1615" i="1"/>
  <c r="I1772" i="1"/>
  <c r="K1772" i="1" s="1"/>
  <c r="J1932" i="1"/>
  <c r="K1932" i="1" s="1"/>
  <c r="I2130" i="1"/>
  <c r="K2130" i="1" s="1"/>
  <c r="K1199" i="1"/>
  <c r="J1414" i="1"/>
  <c r="K1414" i="1" s="1"/>
  <c r="K1413" i="1"/>
  <c r="J1568" i="1"/>
  <c r="K1568" i="1" s="1"/>
  <c r="I1567" i="1"/>
  <c r="K1567" i="1" s="1"/>
  <c r="I782" i="1"/>
  <c r="K782" i="1" s="1"/>
  <c r="J868" i="1"/>
  <c r="K868" i="1" s="1"/>
  <c r="I921" i="1"/>
  <c r="K921" i="1" s="1"/>
  <c r="K920" i="1"/>
  <c r="J1006" i="1"/>
  <c r="K1006" i="1" s="1"/>
  <c r="J1435" i="1"/>
  <c r="K1435" i="1" s="1"/>
  <c r="K1433" i="1"/>
  <c r="J1608" i="1"/>
  <c r="K1608" i="1" s="1"/>
  <c r="I1607" i="1"/>
  <c r="K1607" i="1" s="1"/>
  <c r="J1823" i="1"/>
  <c r="K1823" i="1" s="1"/>
  <c r="K1820" i="1"/>
  <c r="J1941" i="1"/>
  <c r="K1941" i="1" s="1"/>
  <c r="K754" i="1"/>
  <c r="J762" i="1"/>
  <c r="K762" i="1" s="1"/>
  <c r="J843" i="1"/>
  <c r="K843" i="1" s="1"/>
  <c r="K1570" i="1"/>
  <c r="J2068" i="1"/>
  <c r="K309" i="1"/>
  <c r="J693" i="1"/>
  <c r="K693" i="1" s="1"/>
  <c r="J783" i="1"/>
  <c r="K783" i="1" s="1"/>
  <c r="J922" i="1"/>
  <c r="K922" i="1" s="1"/>
  <c r="J952" i="1"/>
  <c r="K952" i="1" s="1"/>
  <c r="K983" i="1"/>
  <c r="K1063" i="1"/>
  <c r="K1144" i="1"/>
  <c r="I1571" i="1"/>
  <c r="K1571" i="1" s="1"/>
  <c r="K40" i="1"/>
  <c r="K187" i="1"/>
  <c r="K433" i="1"/>
  <c r="J480" i="1"/>
  <c r="K480" i="1" s="1"/>
  <c r="J540" i="1"/>
  <c r="K540" i="1" s="1"/>
  <c r="K573" i="1"/>
  <c r="K579" i="1"/>
  <c r="J585" i="1"/>
  <c r="K585" i="1" s="1"/>
  <c r="K596" i="1"/>
  <c r="J756" i="1"/>
  <c r="K756" i="1" s="1"/>
  <c r="J777" i="1"/>
  <c r="K777" i="1" s="1"/>
  <c r="I984" i="1"/>
  <c r="K984" i="1" s="1"/>
  <c r="K991" i="1"/>
  <c r="I1145" i="1"/>
  <c r="K1145" i="1" s="1"/>
  <c r="J1409" i="1"/>
  <c r="K1409" i="1" s="1"/>
  <c r="I1408" i="1"/>
  <c r="K1408" i="1" s="1"/>
  <c r="K1407" i="1"/>
  <c r="K1610" i="1"/>
  <c r="J1754" i="1"/>
  <c r="K1754" i="1" s="1"/>
  <c r="K1753" i="1"/>
  <c r="I1935" i="1"/>
  <c r="K1935" i="1" s="1"/>
  <c r="I833" i="1"/>
  <c r="K833" i="1" s="1"/>
  <c r="K832" i="1"/>
  <c r="K813" i="1"/>
  <c r="K2129" i="1"/>
  <c r="F2507" i="1"/>
  <c r="K708" i="1"/>
  <c r="J1533" i="1"/>
  <c r="K1533" i="1" s="1"/>
  <c r="I1532" i="1"/>
  <c r="K1532" i="1" s="1"/>
  <c r="J1572" i="1"/>
  <c r="K1572" i="1" s="1"/>
  <c r="I1611" i="1"/>
  <c r="K1611" i="1" s="1"/>
  <c r="K1934" i="1"/>
  <c r="J598" i="1"/>
  <c r="J668" i="1"/>
  <c r="K668" i="1" s="1"/>
  <c r="J993" i="1"/>
  <c r="J1146" i="1"/>
  <c r="K1146" i="1" s="1"/>
  <c r="J1420" i="1"/>
  <c r="K1420" i="1" s="1"/>
  <c r="K1418" i="1"/>
  <c r="K1531" i="1"/>
  <c r="K1542" i="1"/>
  <c r="J1200" i="1"/>
  <c r="K1200" i="1" s="1"/>
  <c r="J2031" i="1"/>
  <c r="J2159" i="1"/>
  <c r="J2259" i="1"/>
  <c r="K2259" i="1" s="1"/>
  <c r="K1587" i="1"/>
  <c r="K1667" i="1"/>
  <c r="I1588" i="1"/>
  <c r="K1003" i="1"/>
  <c r="K1583" i="1"/>
  <c r="K1775" i="1"/>
  <c r="K1938" i="1"/>
  <c r="J1613" i="1" l="1"/>
  <c r="K1613" i="1" s="1"/>
  <c r="J757" i="1"/>
  <c r="K757" i="1" s="1"/>
  <c r="J1201" i="1"/>
  <c r="K1201" i="1" s="1"/>
  <c r="J1436" i="1"/>
  <c r="K1436" i="1" s="1"/>
  <c r="J835" i="1"/>
  <c r="K835" i="1" s="1"/>
  <c r="J778" i="1"/>
  <c r="K778" i="1" s="1"/>
  <c r="J729" i="1"/>
  <c r="K729" i="1" s="1"/>
  <c r="J784" i="1"/>
  <c r="K784" i="1" s="1"/>
  <c r="J481" i="1"/>
  <c r="K481" i="1" s="1"/>
  <c r="J767" i="1"/>
  <c r="K767" i="1" s="1"/>
  <c r="J2160" i="1"/>
  <c r="K2160" i="1" s="1"/>
  <c r="K2159" i="1"/>
  <c r="J100" i="1"/>
  <c r="K100" i="1" s="1"/>
  <c r="J541" i="1"/>
  <c r="K541" i="1" s="1"/>
  <c r="J1770" i="1"/>
  <c r="K1770" i="1" s="1"/>
  <c r="J923" i="1"/>
  <c r="K923" i="1" s="1"/>
  <c r="J1573" i="1"/>
  <c r="K1573" i="1" s="1"/>
  <c r="J1609" i="1"/>
  <c r="K1609" i="1" s="1"/>
  <c r="J1569" i="1"/>
  <c r="K1569" i="1" s="1"/>
  <c r="J699" i="1"/>
  <c r="K699" i="1" s="1"/>
  <c r="J994" i="1"/>
  <c r="K994" i="1" s="1"/>
  <c r="K993" i="1"/>
  <c r="I2507" i="1"/>
  <c r="J2132" i="1"/>
  <c r="K2132" i="1" s="1"/>
  <c r="J1774" i="1"/>
  <c r="K1774" i="1" s="1"/>
  <c r="J2128" i="1"/>
  <c r="K2128" i="1" s="1"/>
  <c r="J643" i="1"/>
  <c r="K643" i="1" s="1"/>
  <c r="J1147" i="1"/>
  <c r="K1147" i="1" s="1"/>
  <c r="J1540" i="1"/>
  <c r="K1540" i="1" s="1"/>
  <c r="J241" i="1"/>
  <c r="K241" i="1" s="1"/>
  <c r="J545" i="1"/>
  <c r="K545" i="1" s="1"/>
  <c r="K1588" i="1"/>
  <c r="J1590" i="1"/>
  <c r="K1590" i="1" s="1"/>
  <c r="J1933" i="1"/>
  <c r="K1933" i="1" s="1"/>
  <c r="J1534" i="1"/>
  <c r="K1534" i="1" s="1"/>
  <c r="J763" i="1"/>
  <c r="K763" i="1" s="1"/>
  <c r="J990" i="1"/>
  <c r="K990" i="1" s="1"/>
  <c r="J590" i="1"/>
  <c r="K590" i="1" s="1"/>
  <c r="J34" i="1"/>
  <c r="J104" i="1"/>
  <c r="K104" i="1" s="1"/>
  <c r="J599" i="1"/>
  <c r="K599" i="1" s="1"/>
  <c r="K598" i="1"/>
  <c r="J586" i="1"/>
  <c r="K586" i="1" s="1"/>
  <c r="K2031" i="1"/>
  <c r="J2032" i="1"/>
  <c r="K2032" i="1" s="1"/>
  <c r="J1937" i="1"/>
  <c r="K1937" i="1" s="1"/>
  <c r="J1410" i="1"/>
  <c r="K1410" i="1" s="1"/>
  <c r="J986" i="1"/>
  <c r="K986" i="1" s="1"/>
  <c r="J816" i="1"/>
  <c r="K816" i="1" s="1"/>
  <c r="J836" i="1" l="1"/>
  <c r="K836" i="1" s="1"/>
  <c r="K34" i="1"/>
  <c r="J2507" i="1" l="1"/>
  <c r="L2507" i="1" s="1"/>
</calcChain>
</file>

<file path=xl/sharedStrings.xml><?xml version="1.0" encoding="utf-8"?>
<sst xmlns="http://schemas.openxmlformats.org/spreadsheetml/2006/main" count="18103" uniqueCount="4024">
  <si>
    <t>YEAR:</t>
  </si>
  <si>
    <t>CV Date</t>
  </si>
  <si>
    <t>CV Number</t>
  </si>
  <si>
    <t>PO Number</t>
  </si>
  <si>
    <t>PR/REF Number</t>
  </si>
  <si>
    <t>Payee</t>
  </si>
  <si>
    <t>Amount Payable</t>
  </si>
  <si>
    <t>Project</t>
  </si>
  <si>
    <t>Accounts Title</t>
  </si>
  <si>
    <t>Debit</t>
  </si>
  <si>
    <t>Credit</t>
  </si>
  <si>
    <t>Net</t>
  </si>
  <si>
    <t>Amount Paid</t>
  </si>
  <si>
    <t>Status</t>
  </si>
  <si>
    <t>Particular</t>
  </si>
  <si>
    <t>Remarks</t>
  </si>
  <si>
    <t>Mode of Payment</t>
  </si>
  <si>
    <t>Check No.</t>
  </si>
  <si>
    <t>Check Date</t>
  </si>
  <si>
    <t>Source Bank</t>
  </si>
  <si>
    <t>Source of Fund</t>
  </si>
  <si>
    <t>REF. OR/CR/SI/CI</t>
  </si>
  <si>
    <t>CHANGE</t>
  </si>
  <si>
    <t>NOTES</t>
  </si>
  <si>
    <t>2026-0001</t>
  </si>
  <si>
    <t>COLLECTION</t>
  </si>
  <si>
    <t>4PB</t>
  </si>
  <si>
    <t>OneMark Engineering Technologies</t>
  </si>
  <si>
    <t>MKTI PH4</t>
  </si>
  <si>
    <t>Cash In Bank - Sterling</t>
  </si>
  <si>
    <t>4th progress billing from SPMC MKTI PH4 on the project Design &amp; Build for the Enhancement Works of SPMC Kidney Institute  with 95.46% work accomplished as of Dec 01, 2025.</t>
  </si>
  <si>
    <t>Check deposit to Sterling OMET</t>
  </si>
  <si>
    <t>Check</t>
  </si>
  <si>
    <t>0000417047</t>
  </si>
  <si>
    <t>12.26.2025</t>
  </si>
  <si>
    <t>LBP</t>
  </si>
  <si>
    <t>Accounts Receivable - MKTI PH4</t>
  </si>
  <si>
    <t>2026-0002</t>
  </si>
  <si>
    <t>TELEX</t>
  </si>
  <si>
    <t>Blackfish Industries (Shanghai) Co., Ltd.</t>
  </si>
  <si>
    <t>Direct Materials</t>
  </si>
  <si>
    <t>PAID</t>
  </si>
  <si>
    <t>50% Down payment for purchase of 2 pcs/sets scrub sink with cabinet as per Invoice No. BFPI251215.</t>
  </si>
  <si>
    <t>Autodebit</t>
  </si>
  <si>
    <t>01.13.2026</t>
  </si>
  <si>
    <t>PNB Savings OMET</t>
  </si>
  <si>
    <t>Ref. No.: BBS4003972726011300005</t>
  </si>
  <si>
    <t>Bank Charge</t>
  </si>
  <si>
    <t>Admin - Jluna</t>
  </si>
  <si>
    <t>Cash In Bank - OMET</t>
  </si>
  <si>
    <t>2026-0003</t>
  </si>
  <si>
    <t>50% Down payment for purchase of 38 pcs/sets scrub sink with cabinet as per Invoice No. BFPI251125.</t>
  </si>
  <si>
    <t>Ref. No.: BBS4003972726011300001</t>
  </si>
  <si>
    <t>2026-0004</t>
  </si>
  <si>
    <t>PB6 &amp; FB</t>
  </si>
  <si>
    <t>202503-04</t>
  </si>
  <si>
    <t>Erickson Villanueva</t>
  </si>
  <si>
    <t>Direct Labor - Subcontractor</t>
  </si>
  <si>
    <t>Payment for 6th and final billing for labor for ducting works with contract number 202503-04, Jan 05 - 11, 2026 week 01.</t>
  </si>
  <si>
    <t xml:space="preserve">Cash Payment to </t>
  </si>
  <si>
    <t>WHT - Labor</t>
  </si>
  <si>
    <t>Mobilization/Recoupment to Subcontractors</t>
  </si>
  <si>
    <t>Retention Payable</t>
  </si>
  <si>
    <t>2026-0005</t>
  </si>
  <si>
    <t>MOBILIZATION</t>
  </si>
  <si>
    <t>202512-06</t>
  </si>
  <si>
    <t>AJAT Philippines, Inc.</t>
  </si>
  <si>
    <t>Payment for mobilization for PU foam installation (MF) with contract number 202512-06, Jan 05 - 11, 2026 week 01.</t>
  </si>
  <si>
    <t>Check Payment to Joey To-ong</t>
  </si>
  <si>
    <t>0002730420</t>
  </si>
  <si>
    <t>01.12.2026</t>
  </si>
  <si>
    <t>SECBANK OMET</t>
  </si>
  <si>
    <t>from 01.12.2026 1.65M Encashment CV2025-0054</t>
  </si>
  <si>
    <t>2026-0006</t>
  </si>
  <si>
    <t>FUEL</t>
  </si>
  <si>
    <t>RFP1</t>
  </si>
  <si>
    <t>Carlou Bon Selorio</t>
  </si>
  <si>
    <t>Admin - Logistics</t>
  </si>
  <si>
    <t>Advances for Liquidation</t>
  </si>
  <si>
    <t>Fuel intended for OMET vehicles, trucks and genset for week Jan 05 - 11, 2026 week 01 as per RFP1, subject for liquidation.</t>
  </si>
  <si>
    <t>UNLIQUIDATED</t>
  </si>
  <si>
    <t>Cash</t>
  </si>
  <si>
    <t>01.06.2026</t>
  </si>
  <si>
    <t>Cash On Hand</t>
  </si>
  <si>
    <t>borrowed fund from 300K returned from subcon</t>
  </si>
  <si>
    <t>2026-0007</t>
  </si>
  <si>
    <t>PMS</t>
  </si>
  <si>
    <t>RFP2</t>
  </si>
  <si>
    <t>Oil 68 intended for lubricants for crane as per RFP2, subject for liquidation.</t>
  </si>
  <si>
    <t>01.14.2026</t>
  </si>
  <si>
    <t>2026-0008</t>
  </si>
  <si>
    <t>RFP272</t>
  </si>
  <si>
    <t>Rudy Noceja</t>
  </si>
  <si>
    <t>Payment for purchase of Thermostat (for ceiling concealed unit) intended for aircon installation as per RFP272, subject for liquidation.</t>
  </si>
  <si>
    <t>2026-0009</t>
  </si>
  <si>
    <t>RFP</t>
  </si>
  <si>
    <t>RFP2026-001</t>
  </si>
  <si>
    <t>Daikin Airconditioning Philippines Inc.</t>
  </si>
  <si>
    <t>Admin - Corange</t>
  </si>
  <si>
    <t>CANCELLED</t>
  </si>
  <si>
    <t>Payment for 1 unit aircon intended for Jibrielle Gayak office at D6.</t>
  </si>
  <si>
    <t>PO c/o Corange pls refer CV2025-0184</t>
  </si>
  <si>
    <t>0002730433</t>
  </si>
  <si>
    <t>from 01.12.2026 1.7M CV2026-0049</t>
  </si>
  <si>
    <t>Input VAT - Materials</t>
  </si>
  <si>
    <t>WHT - Materials</t>
  </si>
  <si>
    <t>2026-0010</t>
  </si>
  <si>
    <t>PO6132</t>
  </si>
  <si>
    <t>PR4622</t>
  </si>
  <si>
    <t>Southland Hardware</t>
  </si>
  <si>
    <t>Admin - Villa Josefina</t>
  </si>
  <si>
    <t>Payment for 100 bags of Holcim cement intended for floor slab materials - swimming pool project as per PO6132.</t>
  </si>
  <si>
    <t>2026-0011</t>
  </si>
  <si>
    <t>PO6133</t>
  </si>
  <si>
    <t>Cimafranca-Felisarta Aggregates Trading</t>
  </si>
  <si>
    <t>Payment for Gravel YY 3/4 and coarse sand intended for floor slab materials - swimming pool project as per PO6133.</t>
  </si>
  <si>
    <t>Cash deposit c/o Jazz</t>
  </si>
  <si>
    <t>01.07.2026</t>
  </si>
  <si>
    <t>from 300K Encashment CV2026-0018 under Villa Josefina/Croc Park</t>
  </si>
  <si>
    <t>NO RECEIPT ATTACHED</t>
  </si>
  <si>
    <t>Deposit to BPI Acct 002090-0140-59</t>
  </si>
  <si>
    <t>2026-0012</t>
  </si>
  <si>
    <t>PO6134</t>
  </si>
  <si>
    <t>Davao Citi Hardware, Inc.</t>
  </si>
  <si>
    <t>Payment for Redifix (Master) intended for floor slab materials - swimming pool project as per PO6134.</t>
  </si>
  <si>
    <t>Deposit to Metrobank Acct 547-7-54700585-2</t>
  </si>
  <si>
    <t>2026-0013</t>
  </si>
  <si>
    <t>RFP3</t>
  </si>
  <si>
    <t>Croc Park</t>
  </si>
  <si>
    <t>Fuel intended for Sumitomo Exca as per RFP3, subject for liquidation.</t>
  </si>
  <si>
    <t>2026-0014</t>
  </si>
  <si>
    <t>RFP4</t>
  </si>
  <si>
    <t>Daily expenses incurred by the owner of the vehicle that was damaged in the collision as   per RFP4.</t>
  </si>
  <si>
    <t>2026-0015</t>
  </si>
  <si>
    <t>CASH ADVANCE</t>
  </si>
  <si>
    <t>CARF001</t>
  </si>
  <si>
    <t>Josie Argawanon</t>
  </si>
  <si>
    <t>Advances to Employees</t>
  </si>
  <si>
    <t>Salary advances subject for payroll deduction of  P1,000.00 per payroll.</t>
  </si>
  <si>
    <t>2026-0016</t>
  </si>
  <si>
    <t>FUND #01</t>
  </si>
  <si>
    <t>ENCASHMENT</t>
  </si>
  <si>
    <t>Encashment from Sterling OMET intended for MKTI PH4 SOP.</t>
  </si>
  <si>
    <t>Encashment c/o Jazz</t>
  </si>
  <si>
    <t>0007441287</t>
  </si>
  <si>
    <t>Sterling OMET</t>
  </si>
  <si>
    <t>2026-0017</t>
  </si>
  <si>
    <t>TRF</t>
  </si>
  <si>
    <t>TRF2026-001</t>
  </si>
  <si>
    <t>Jhelde Ann Marie Taglucop</t>
  </si>
  <si>
    <t>Travel allowance of Jhelde to Cagayan with driver and Luis on Jan 8 - 9, 2026 (2 days) to pick up checks (collections from NMMC Nego and OR NHB projects) and to pick up waste.</t>
  </si>
  <si>
    <t>Cash Payment</t>
  </si>
  <si>
    <t>2026-0018</t>
  </si>
  <si>
    <t>FUND #02</t>
  </si>
  <si>
    <t>Encashment from STERLING OMET intended for CROC Park and Villa Josefina project.</t>
  </si>
  <si>
    <t>0007441288</t>
  </si>
  <si>
    <t>2026-0019</t>
  </si>
  <si>
    <t>FUND #03</t>
  </si>
  <si>
    <t>Encashment from STERLING OMET intended for MRJ's Credit Card (PNB - Peso/Dollar, BPI &amp; Eastwest), SPJ's Credit Card (PNB) and Dusit amortization.</t>
  </si>
  <si>
    <t>Encashment c/o Ma'am Andrea</t>
  </si>
  <si>
    <t>0007441289</t>
  </si>
  <si>
    <t>2026-0020</t>
  </si>
  <si>
    <t>0001381144</t>
  </si>
  <si>
    <t>2026-0021</t>
  </si>
  <si>
    <t>MRJ CC</t>
  </si>
  <si>
    <t>4608887801552314</t>
  </si>
  <si>
    <t>BPI Credit Card</t>
  </si>
  <si>
    <t>Admin - Exe</t>
  </si>
  <si>
    <t>Management Expense</t>
  </si>
  <si>
    <t>Payment of BPI credit card of MRJ for the month of January 2026, with card number 4608-8878-0155-2314.</t>
  </si>
  <si>
    <t>Cash Payment c/o AGB</t>
  </si>
  <si>
    <t>from 2.2M .Encashment CV2026-0019</t>
  </si>
  <si>
    <t>2026-0022</t>
  </si>
  <si>
    <t>SPJ CC</t>
  </si>
  <si>
    <t>5437619002338530</t>
  </si>
  <si>
    <t>PNB Credit Card Peso</t>
  </si>
  <si>
    <t>Payment of PNB Credit Card Peso of SPJ for the month of January 2026, with card number 5437-6190-0233-8530.</t>
  </si>
  <si>
    <t>Cash Payment c/o Jazz</t>
  </si>
  <si>
    <t>01.08.2026</t>
  </si>
  <si>
    <t>2026-0023</t>
  </si>
  <si>
    <t>5179888284286012</t>
  </si>
  <si>
    <t>Eastwest Credit Card</t>
  </si>
  <si>
    <t>Payment of Eastwest credit card of MRJ for the month of January 2026, with card number 5179-8882-8428-6012.</t>
  </si>
  <si>
    <t>Cash Payment c/o Mae</t>
  </si>
  <si>
    <t>2026-0024</t>
  </si>
  <si>
    <t>6250138500089836</t>
  </si>
  <si>
    <t>PNB Credit Card Dollar</t>
  </si>
  <si>
    <t>Payment of PNB credit card dollar of MRJ with card number 6250-1385-0008-9836.</t>
  </si>
  <si>
    <t>2026-0025</t>
  </si>
  <si>
    <t>5522809800645980</t>
  </si>
  <si>
    <t>PNB Credit Card Peso/Dollar</t>
  </si>
  <si>
    <t>Payment of PNB credit card peso/dollar of MRJ with card number 5522-8098-0064-5980.</t>
  </si>
  <si>
    <t>2026-0026</t>
  </si>
  <si>
    <t>2026-0027</t>
  </si>
  <si>
    <t>166500002617</t>
  </si>
  <si>
    <t>Mark Ryan Juanitas OR Sheila Patrice Juanitas</t>
  </si>
  <si>
    <t>Cash deposit to Chinabank MRJ OR SPJ to fund Dusit Thani amortization.</t>
  </si>
  <si>
    <t>2026-0028</t>
  </si>
  <si>
    <t xml:space="preserve">Mark Ryan Juanitas  </t>
  </si>
  <si>
    <t>To record return of remaining cash from Encashment CV2026-0019. (Cash deposit to AGB)</t>
  </si>
  <si>
    <t>Cash c/o AGB</t>
  </si>
  <si>
    <t>Cash deposit to BDO account of AGB as per instruction</t>
  </si>
  <si>
    <t>2026-0029</t>
  </si>
  <si>
    <t>FP</t>
  </si>
  <si>
    <t>NMMC Nego</t>
  </si>
  <si>
    <t>Cash In Bank - LBP OMET</t>
  </si>
  <si>
    <t>To record final billing collection for work accomplished of 100% in connection with the project: Repair and Upgrading of Operating Room in New Hospital Building - Contiguous.</t>
  </si>
  <si>
    <t>Check deposit to LBP OMET c/o Jhelde</t>
  </si>
  <si>
    <t>0001742313</t>
  </si>
  <si>
    <t>Account Receivable - NMMC Nego</t>
  </si>
  <si>
    <t>2026-0030</t>
  </si>
  <si>
    <t>NMMC OR NHB</t>
  </si>
  <si>
    <t>To record 3rd and final billing collection for work accomplished of 100% in connection with the project: Repair and Upgrading of Operating Room in New Hospital Building.</t>
  </si>
  <si>
    <t>0001742311</t>
  </si>
  <si>
    <t>Account Receivable - NMMC NMMC</t>
  </si>
  <si>
    <t>2026-0031</t>
  </si>
  <si>
    <t>LDDAP-ADA</t>
  </si>
  <si>
    <t>2026-0032</t>
  </si>
  <si>
    <t>RFP2026-003</t>
  </si>
  <si>
    <t>Office consumption for Jluna office and Corange office for the month of JANUARY 2026, subject for liquidation.</t>
  </si>
  <si>
    <t>2026-0033</t>
  </si>
  <si>
    <t>RFP2026-002</t>
  </si>
  <si>
    <t>Nellie Ugdang IV</t>
  </si>
  <si>
    <t>Payment for 50pcs OneMark calendar 2026 A2 size and 50pcs OneMark calendar 2026 22x34 inches including allowance for Grab fare (for pickup), subject for liquidation.</t>
  </si>
  <si>
    <t>Cash payment c/o Nellie</t>
  </si>
  <si>
    <t>DP 01.09.2026 &amp; FP 01.27.2026</t>
  </si>
  <si>
    <t>9,500 - 01.09.2026 ; 9,400 from 01.21.26 1.425M Encashment CV2026-0148 under 500K CROC/MKTI</t>
  </si>
  <si>
    <t>2026-0034</t>
  </si>
  <si>
    <t>RFP5</t>
  </si>
  <si>
    <t>Travel allowance to CDO on Jan 09, 2026 (including fuel, meals and emergency/sop) intended for backload of Nurse station and other furniture at site, subject for liquidation.</t>
  </si>
  <si>
    <t>Cash c/o CBS</t>
  </si>
  <si>
    <t>2026-0035</t>
  </si>
  <si>
    <t>TRF2026-002</t>
  </si>
  <si>
    <t>Luis Miguel Lacuesta</t>
  </si>
  <si>
    <t>Travel allowance of Luis to Cagayan with driver and Jhelde on Jan 8 - 9, 2026 (2 days) to pull out of Kelling furnitures, subject for liquidation.</t>
  </si>
  <si>
    <t>Cash deposit to Luis c/o Mae</t>
  </si>
  <si>
    <t>with liquidation</t>
  </si>
  <si>
    <t>Hotel and Accommodation</t>
  </si>
  <si>
    <t>Meals and Beverages</t>
  </si>
  <si>
    <t>Input VAT</t>
  </si>
  <si>
    <t>Advances from Employees</t>
  </si>
  <si>
    <t>2026-0036</t>
  </si>
  <si>
    <t>PO6110</t>
  </si>
  <si>
    <t>PR4576</t>
  </si>
  <si>
    <t>KingTian Pros Advertising</t>
  </si>
  <si>
    <t>Payment for various uniform intended for PPE as per PO6110.</t>
  </si>
  <si>
    <t>19,425 c/o Angel</t>
  </si>
  <si>
    <t>01.09.2026 &amp; 01.21.2026</t>
  </si>
  <si>
    <t>from 01.07.2026 300K Encashment CV2026-0018 under Villa Josefina &amp; Croc Park</t>
  </si>
  <si>
    <t>2026-0037</t>
  </si>
  <si>
    <t>PO6120</t>
  </si>
  <si>
    <t>PR4602</t>
  </si>
  <si>
    <t>Champion Formworks and Scaffolding Corporation</t>
  </si>
  <si>
    <t>Payment for tie rod, wing nut (circular), GI pipe and swivel clamp intended for formworks and scaffoldings as per PO6120.</t>
  </si>
  <si>
    <t>2026-0038</t>
  </si>
  <si>
    <t>PO6128</t>
  </si>
  <si>
    <t>Berovan Marketing Inc.</t>
  </si>
  <si>
    <t>Payment for medicine kit (box with complete set) intended for PPE, as per PO6128.</t>
  </si>
  <si>
    <t>2026-0039</t>
  </si>
  <si>
    <t>PAYROLL</t>
  </si>
  <si>
    <t>DEC - WEEK04</t>
  </si>
  <si>
    <t>John Russel Baltazar</t>
  </si>
  <si>
    <t>Admin - Household</t>
  </si>
  <si>
    <t>Direct Labor - Internal - Household</t>
  </si>
  <si>
    <t>Weekly payroll for the period Dec 22 - 28, 2025 week 04.</t>
  </si>
  <si>
    <t>Admin - Capili</t>
  </si>
  <si>
    <t>Direct Labor - Internal - Watchman</t>
  </si>
  <si>
    <t>Direct Labor - Internal - Civil Works</t>
  </si>
  <si>
    <t>PNP Hospital</t>
  </si>
  <si>
    <t>Direct Labor - Internal - Logistics</t>
  </si>
  <si>
    <t>Direct Labor - Internal - Gen. Foreman</t>
  </si>
  <si>
    <t>Direct Labor - Internal - Mechanical</t>
  </si>
  <si>
    <t>Direct Labor - Internal - Electronics</t>
  </si>
  <si>
    <t>2026-0040</t>
  </si>
  <si>
    <t>DEC16-31</t>
  </si>
  <si>
    <t>Mati Investigation Security Agency Services Inc.</t>
  </si>
  <si>
    <t>Security Services</t>
  </si>
  <si>
    <t>Security services rendered by MINSAS security guard covering the period Dec 16 - 31, 2025 at MKTI project site.</t>
  </si>
  <si>
    <t>Cash payment c/o Jazz</t>
  </si>
  <si>
    <t>05.07.2026</t>
  </si>
  <si>
    <t>from 200K</t>
  </si>
  <si>
    <t>Input VAT - OH</t>
  </si>
  <si>
    <t>WHT - OH</t>
  </si>
  <si>
    <t>2026-0041</t>
  </si>
  <si>
    <t>Security services rendered by MINSAS security guard covering the period Dec 16 - 31, 2025 at Admin-Jluna.</t>
  </si>
  <si>
    <t>Cash payment c/o Mae</t>
  </si>
  <si>
    <t>02.06.2026</t>
  </si>
  <si>
    <t>2026-0042</t>
  </si>
  <si>
    <t>RFP6</t>
  </si>
  <si>
    <t>Fuel intended for OMET vehicles, trucks and genset for week Jan 12 - 18, 2026 week 02 as per RFP6, subject for liquidation.</t>
  </si>
  <si>
    <t>from 01.07.2026 300K Encashment CV2026-0018 under Villa Josefina &amp; Croc Park (borrowed)</t>
  </si>
  <si>
    <t>2026-0043</t>
  </si>
  <si>
    <t>RFP7</t>
  </si>
  <si>
    <t>Angel May Dionela</t>
  </si>
  <si>
    <t>Payment for 10 wheelers 20-22 cubic intedend for hauling as per RFP7, subject for liquidation.</t>
  </si>
  <si>
    <t>2026-0044</t>
  </si>
  <si>
    <t>RFP8</t>
  </si>
  <si>
    <t>Fuel intended for Sumitomo Exca as per RFP8, subject for liquidation.</t>
  </si>
  <si>
    <t>2026-0045</t>
  </si>
  <si>
    <t>RFP9</t>
  </si>
  <si>
    <t>Payment for hood assy, bumper, fender assy, head light assy, rod grill and head bracket intended for parts for MG as per RFP9, subject for liquidation.</t>
  </si>
  <si>
    <t>2026-0046</t>
  </si>
  <si>
    <t>RFP11</t>
  </si>
  <si>
    <t>Additional fuel and meal allowance for MAH4765 to backload of nurse station and furniture intended for NMMC OR NHB project as per RFP11, subject for liquidation.</t>
  </si>
  <si>
    <t>2026-0047</t>
  </si>
  <si>
    <t>PO6138</t>
  </si>
  <si>
    <t>PR636</t>
  </si>
  <si>
    <t>True Aire Aircon &amp; Electrical Supply</t>
  </si>
  <si>
    <t>Payment for copper pipe 1/4" and 3/8" intended for OMET Croc Park - copper pipes, as per PO6138.</t>
  </si>
  <si>
    <t>2026-0048</t>
  </si>
  <si>
    <t>FUND TRANSFER</t>
  </si>
  <si>
    <t>Cash In Bank - Sterling2</t>
  </si>
  <si>
    <t>Fund transfer from DBP OMET to STERLING OMET2 with account number 00582-01-003710-96 from NMMC Collection.</t>
  </si>
  <si>
    <t>Check deposit c/o Jazz</t>
  </si>
  <si>
    <t>0095319619</t>
  </si>
  <si>
    <t>DBP OMET</t>
  </si>
  <si>
    <t>from NMMC OR NHB collection</t>
  </si>
  <si>
    <t>Cash In Bank - DBP</t>
  </si>
  <si>
    <t>2026-0049</t>
  </si>
  <si>
    <t>FUND #04</t>
  </si>
  <si>
    <t>Cash In Bank - SecBank</t>
  </si>
  <si>
    <t>Fund transfer from Sterling OMET to SECBANK OMET to fund various OMET transactions.</t>
  </si>
  <si>
    <t>0007441294</t>
  </si>
  <si>
    <t>01.11.2026</t>
  </si>
  <si>
    <t>from Sterling OMET fund</t>
  </si>
  <si>
    <t>2026-0050</t>
  </si>
  <si>
    <t>Admin - BGC</t>
  </si>
  <si>
    <t>Cash In Bank - BDO BGC</t>
  </si>
  <si>
    <t>Fund transfer from Sterling OMET to BDO OMET BGC to return borrowed funds.</t>
  </si>
  <si>
    <t>0007441290</t>
  </si>
  <si>
    <t>2026-0051</t>
  </si>
  <si>
    <t>Cash In Bank - Secbank OMET</t>
  </si>
  <si>
    <t>Fund transfer from Sterling OMET to SECBANK OMET intended for payment of borrowings to MRJ.</t>
  </si>
  <si>
    <t>0007441291</t>
  </si>
  <si>
    <t>Cash In Bank - Sterling OMET</t>
  </si>
  <si>
    <t>2026-0052</t>
  </si>
  <si>
    <t>Cash In Bank - PNB MRJ AND SPJ</t>
  </si>
  <si>
    <t>Fund transfer from Sterling OMET to PNB MRJ and SPJ Joint AND account intended for payment of borrowings.</t>
  </si>
  <si>
    <t>0007441292</t>
  </si>
  <si>
    <t>Deposit 01.13.2026</t>
  </si>
  <si>
    <t>2026-0053</t>
  </si>
  <si>
    <t>Fund transfer from LBP OMET to Sterling OMET2 with account number 00582-01-003710-96 from NMMC collection (via Manager's check)</t>
  </si>
  <si>
    <t>000000473</t>
  </si>
  <si>
    <t>LBP OMET</t>
  </si>
  <si>
    <t>Cash In Bank - LBP</t>
  </si>
  <si>
    <t>2026-0054</t>
  </si>
  <si>
    <t>FUND #05</t>
  </si>
  <si>
    <t>Encashment from Sterling OMET intended for MKTI PH4 VO project.</t>
  </si>
  <si>
    <t>Encashment c/o AGB</t>
  </si>
  <si>
    <t>0007441293</t>
  </si>
  <si>
    <t>2026-0055</t>
  </si>
  <si>
    <t>Mark Ryan Juanitas</t>
  </si>
  <si>
    <t>Borrowings - MRJ</t>
  </si>
  <si>
    <t>Check deposit to SECBANK MRJ intended for payment of borrowings.</t>
  </si>
  <si>
    <t>Check deposit</t>
  </si>
  <si>
    <t>0002730419</t>
  </si>
  <si>
    <t>from Secbank OMET ref. CV2026-0051 01/12/2026</t>
  </si>
  <si>
    <t>2026-0056</t>
  </si>
  <si>
    <t>Cash deposit to SECBANK OMET intended for AJAT Mobilization ref. CV2026-0005.</t>
  </si>
  <si>
    <t>2026-0057</t>
  </si>
  <si>
    <t>Cash In Bank - PNB Savings</t>
  </si>
  <si>
    <t>Cash deposit to PNB Savings OMET intended for telegraphic transfer for Blackfish ref. CV2026-0002 and CV2026-0003.</t>
  </si>
  <si>
    <t>2026-0058</t>
  </si>
  <si>
    <t>Cash In Bank - BPI Rivera</t>
  </si>
  <si>
    <t>Fund transfer to BPI Rivera OMET intended for autoloans dues.</t>
  </si>
  <si>
    <t>2026-0059</t>
  </si>
  <si>
    <t>Cash In Bank - Chinabank Monte</t>
  </si>
  <si>
    <t>Cash deposit to Chinabank Monte OMET to fund PDCs due last Dec 2, 2025 intended for Prudential insurance.</t>
  </si>
  <si>
    <t>2026-0060</t>
  </si>
  <si>
    <t>Cash deposit to Chinabank Monte OMET to fund PDC due last Dec 22, 2025 intended for FPG Insurance.</t>
  </si>
  <si>
    <t>2026-0061</t>
  </si>
  <si>
    <t>Corange Inc</t>
  </si>
  <si>
    <t>Cash In Bank - PNB Corange</t>
  </si>
  <si>
    <t>Payment for CMDR Application under Corange Inc.</t>
  </si>
  <si>
    <t>0002730422</t>
  </si>
  <si>
    <t>2026-0062</t>
  </si>
  <si>
    <t>PROF FEE</t>
  </si>
  <si>
    <t>Marlyn Sismar</t>
  </si>
  <si>
    <t>Admin - ACJ/OMET JV</t>
  </si>
  <si>
    <t>Professional Fee</t>
  </si>
  <si>
    <t>Partial payment for Maam Marlyn as external auditor as per SOA dated Dec  15, 2025.</t>
  </si>
  <si>
    <t>0002730423</t>
  </si>
  <si>
    <t>2026-0063</t>
  </si>
  <si>
    <t>Admin - RR/OMET JV</t>
  </si>
  <si>
    <t>0002730424</t>
  </si>
  <si>
    <t>2026-0064</t>
  </si>
  <si>
    <t>2ND &amp; 3RD QTR</t>
  </si>
  <si>
    <t>Lorenzo - Gomez &amp; Co., CPA'S</t>
  </si>
  <si>
    <t>Payment of Professional fee as OMET external audit for OMET Sole intended for 2nd and 3rd quarter of 2025 (5,600/month x 6 months)</t>
  </si>
  <si>
    <t>0002730425</t>
  </si>
  <si>
    <t>2026-0065</t>
  </si>
  <si>
    <t>3RD QTR</t>
  </si>
  <si>
    <t>Admin - OMET Inc</t>
  </si>
  <si>
    <t>Payment of Professional fee as OMET external audit for OMET Inc intended for 3rd quarter of 2025 (5,600/month x 3 months)</t>
  </si>
  <si>
    <t>0002730426</t>
  </si>
  <si>
    <t>2026-0066</t>
  </si>
  <si>
    <t>REIM</t>
  </si>
  <si>
    <t>SPJ-001</t>
  </si>
  <si>
    <t>Sheila Patrice Juanitas</t>
  </si>
  <si>
    <t>Payment for various management expenses including 50K CA of Erickson Villanueva, subject for reimbursement to SPJ.</t>
  </si>
  <si>
    <t>0002730427</t>
  </si>
  <si>
    <t>2026-0067</t>
  </si>
  <si>
    <t>Full release of payment intended for Household expenses for the month of December 2025.</t>
  </si>
  <si>
    <t>0002730428</t>
  </si>
  <si>
    <t>2026-0068</t>
  </si>
  <si>
    <t>Worldwide Interiors Design Center Corp</t>
  </si>
  <si>
    <t>Accounts Payable</t>
  </si>
  <si>
    <t>Partial payment to Worldwide for various accounts payable intended for various projects.</t>
  </si>
  <si>
    <t>0002730429</t>
  </si>
  <si>
    <t>from 01.12.2026 1.7M CV2026-0049 under OPEX</t>
  </si>
  <si>
    <t>2026-0069</t>
  </si>
  <si>
    <t>Cash In Bank - PNB Checking</t>
  </si>
  <si>
    <t>Fund transfer from SECBANK OMET to PNB Checking OMET intended for Ebro Pelayo Door 10 rent payment for the month of January 2026.</t>
  </si>
  <si>
    <t>0002730430</t>
  </si>
  <si>
    <t>2026-0070</t>
  </si>
  <si>
    <t>Fund transfer from SECBANK OMET to PNB Corange intended for Ebro Pelayo Door 6 rent payment for the months of December 2025 - January 2026.</t>
  </si>
  <si>
    <t>0002730431</t>
  </si>
  <si>
    <t>2026-0071</t>
  </si>
  <si>
    <t>PO6145</t>
  </si>
  <si>
    <t>PR4623</t>
  </si>
  <si>
    <t>JAPT School and Office Supplies</t>
  </si>
  <si>
    <t>Supplies - Office Supplies</t>
  </si>
  <si>
    <t>Payment for various office supplies intended for D10 office supplies, as per PO6145.</t>
  </si>
  <si>
    <t>2026-0072</t>
  </si>
  <si>
    <t>FUND #06</t>
  </si>
  <si>
    <t>Fund transfer from Sterling OMET to SECBANK OMET intended for MKTI PH4 various subcons.</t>
  </si>
  <si>
    <t>0007441295</t>
  </si>
  <si>
    <t>2026-0073</t>
  </si>
  <si>
    <t>FUND #07</t>
  </si>
  <si>
    <t>Fund transfer from Sterling OMET to SECBANK OMET intended for Demicillo Builders.</t>
  </si>
  <si>
    <t>0007441296</t>
  </si>
  <si>
    <t>2026-0074</t>
  </si>
  <si>
    <t>Encashment from SECBANK OMET fund intended for various OMET transactions.</t>
  </si>
  <si>
    <t>0002730432</t>
  </si>
  <si>
    <t>2026-0075</t>
  </si>
  <si>
    <t>FUND #08</t>
  </si>
  <si>
    <t>Fund transfer from STERLING OMET to SECBANK OMET intended for payment for GDY, AZIR and Pacheco.</t>
  </si>
  <si>
    <t>0007441297</t>
  </si>
  <si>
    <t>2026-0076</t>
  </si>
  <si>
    <t>FUND #09</t>
  </si>
  <si>
    <t>Encashment from BDO BGC OMET to fund telegraphic transfer intended for Wiskind and Ogaya.</t>
  </si>
  <si>
    <t>0000028341</t>
  </si>
  <si>
    <t>BDO BGC OMET</t>
  </si>
  <si>
    <t>2026-0077</t>
  </si>
  <si>
    <t>PO6150</t>
  </si>
  <si>
    <t>PR4643</t>
  </si>
  <si>
    <t>Lightning Thunder Electrical Supply</t>
  </si>
  <si>
    <t>Admin - IWHA</t>
  </si>
  <si>
    <t>Payment for various THHN wires intended for Ev charger - additional breaker, as per PO6150.</t>
  </si>
  <si>
    <t>Cash c/o Angel</t>
  </si>
  <si>
    <t>from 22K remaining from 01.12.2026 1.65M Encashment CV2026-0054</t>
  </si>
  <si>
    <t>No receipt c/o Angel</t>
  </si>
  <si>
    <t>Released by AGB worth 10K</t>
  </si>
  <si>
    <t>2026-0078</t>
  </si>
  <si>
    <t>PO6151</t>
  </si>
  <si>
    <t>Davao Electrical Sales</t>
  </si>
  <si>
    <t>Payment for circuit breaker 100At 2p, terminal lugs for 14mm and terminal lugs for 8.0mm intended for Ev charger - additional breaker, as per PO6151.</t>
  </si>
  <si>
    <t>2026-0079</t>
  </si>
  <si>
    <t>RFP2026-004</t>
  </si>
  <si>
    <t>Payment for printing services of Tarpaulin 8x12ft intended for Croc Park OMET office construction as per RFP2026-004, subject for liquidation.</t>
  </si>
  <si>
    <t>No receipt from John</t>
  </si>
  <si>
    <t>Released by AGB worth 1K</t>
  </si>
  <si>
    <t>2026-0080</t>
  </si>
  <si>
    <t>PO6146</t>
  </si>
  <si>
    <t>Payment for additional reflectorized uniform intended for Croc Park PPE as per PO6146.</t>
  </si>
  <si>
    <t>2026-0081</t>
  </si>
  <si>
    <t>REIM-RCJ26-001</t>
  </si>
  <si>
    <t>Reynaldo Juanitas</t>
  </si>
  <si>
    <t>Various expenses of RCJ, subject for reimbursement, as per REIM26-001.</t>
  </si>
  <si>
    <t>2026-0082</t>
  </si>
  <si>
    <t>REPLE</t>
  </si>
  <si>
    <t>JIB-REPLE26-001</t>
  </si>
  <si>
    <t>Jibrielle Gayak</t>
  </si>
  <si>
    <t>Various expenses held from PCF establishment subj for 1st replenishment for 2026 ref. CV2025-2162 and CV2025-2558.</t>
  </si>
  <si>
    <t>2026-0083</t>
  </si>
  <si>
    <t>RFP10</t>
  </si>
  <si>
    <t>Toyota Matina, Davao</t>
  </si>
  <si>
    <t>Preventive maintenance for pickup Hilux LAJ7864 intended for change oil and breakpad replacement with service quotation S5V705, G4DA025244.</t>
  </si>
  <si>
    <t>Check payment</t>
  </si>
  <si>
    <t>0002730434</t>
  </si>
  <si>
    <t>01.15.2026</t>
  </si>
  <si>
    <t>from 01.12.2026 1.7M ENCASHMENT CV2026-0049</t>
  </si>
  <si>
    <t>2026-0084</t>
  </si>
  <si>
    <t>JAN2026</t>
  </si>
  <si>
    <t>Imelda Juanitas</t>
  </si>
  <si>
    <t>Rental for Iwha staff house for the month of January 2026.</t>
  </si>
  <si>
    <t>2026-0085</t>
  </si>
  <si>
    <t>DEC29-JAN10</t>
  </si>
  <si>
    <t>Various</t>
  </si>
  <si>
    <t xml:space="preserve">Mindanao site bi-monthly payroll for the period Dec 29, 2025 - Jan 10, 2026. </t>
  </si>
  <si>
    <t>2026-0086</t>
  </si>
  <si>
    <t>DEC26-JAN10</t>
  </si>
  <si>
    <t>Payroll for Corange, Inc. monthly employees for the period Dec 26, 2025 - Jan 10, 2026.</t>
  </si>
  <si>
    <t>2026-0087</t>
  </si>
  <si>
    <t>Cash deposit to PNB Savings OMET intended for Payroll for OMET Mindanao monthly employees for the period Dec 26, 2025 - Jan 10, 2026.</t>
  </si>
  <si>
    <t>2026-0088</t>
  </si>
  <si>
    <t>Cash deposit to PNB Savings OMET intended for payroll for OMET BGC monthly employees for the period Dec 26, 2025 - Jan 10, 2026.</t>
  </si>
  <si>
    <t>2026-0089</t>
  </si>
  <si>
    <t>Janice Pedres</t>
  </si>
  <si>
    <t>Payroll for OMET Mindanao monthly employees for the period Dec 26, 2025 - Jan 10, 2026.</t>
  </si>
  <si>
    <t>2026-0090</t>
  </si>
  <si>
    <t>Payroll for OMET BGC monthly employees for the period Dec 26, 2025 - Jan 10, 2026.</t>
  </si>
  <si>
    <t>2026-0091</t>
  </si>
  <si>
    <t>DEC23-JAN12</t>
  </si>
  <si>
    <t xml:space="preserve">BGC site bi-monthly payroll for the period Dec 23, 2025 - Jan 12, 2026. </t>
  </si>
  <si>
    <t>2026-0092</t>
  </si>
  <si>
    <t>HOUSEHOLD</t>
  </si>
  <si>
    <t>JAN 1ST HALF</t>
  </si>
  <si>
    <t>50% Partial deposit intended for Household expenses for the month of JANUARY 2026.</t>
  </si>
  <si>
    <t>2026-0093</t>
  </si>
  <si>
    <t>Encashment from SECBANK OMET intended for various OMET transactions ref. CV Nos. 2025-2493, 2025-2879, 2026-0007 and 2026-0045.</t>
  </si>
  <si>
    <t>0002730455</t>
  </si>
  <si>
    <t>2026-0094</t>
  </si>
  <si>
    <t>Encashment from SECBANK OMET intended for various OMET transactions intended for semi-monthly payrolls, Dec week 04 payroll and etc.</t>
  </si>
  <si>
    <t>2026-0095</t>
  </si>
  <si>
    <t>Cash deposit to PNB Savings OMET intended for Wiskind and Ogaya telegraphic transfer transaction.</t>
  </si>
  <si>
    <t>2026-0096</t>
  </si>
  <si>
    <t>Cash deposit to PNB OMET BGC from remaining of 1.4M encashment CV2026-0076.</t>
  </si>
  <si>
    <t>2026-0097</t>
  </si>
  <si>
    <t>Payment for freight fee of Laptop to BGC Office, subject for liquidation.</t>
  </si>
  <si>
    <t>2026-0098</t>
  </si>
  <si>
    <t>Cash to Romnick Calinao as per SPJ instruction.</t>
  </si>
  <si>
    <t>from PCF</t>
  </si>
  <si>
    <t>2026-0099</t>
  </si>
  <si>
    <t>Wiskind Architectural Steel Co., LTD.</t>
  </si>
  <si>
    <t>Payment</t>
  </si>
  <si>
    <t>2026-0100</t>
  </si>
  <si>
    <t>Ogaya Filter Co., LTD.</t>
  </si>
  <si>
    <t>2026-0101</t>
  </si>
  <si>
    <t>RFP2026-005</t>
  </si>
  <si>
    <t>MKTI VO</t>
  </si>
  <si>
    <t>50% Down payment for MC Alforque glassworks intended for 4F presidential sliding doors, frosted and glass works for laboratory as per RFP2026-005, subject for liquidation.</t>
  </si>
  <si>
    <t>02.10.2026</t>
  </si>
  <si>
    <t>2026-0102</t>
  </si>
  <si>
    <t>PO6152</t>
  </si>
  <si>
    <t>PR4642</t>
  </si>
  <si>
    <t>Payment for convenience outlet, 2 gang switch, aircon outlet, THHN wire 3.5mmm2, utility box, entrance cap 1/2 and electrical tape 1" intended for OMET Croc Park - electrical works (site office) as per PO6152.</t>
  </si>
  <si>
    <t>Cash c/o Jazz</t>
  </si>
  <si>
    <t>01.16.2026</t>
  </si>
  <si>
    <t>No change receive from Jazz (Received 24K)</t>
  </si>
  <si>
    <t>2026-0103</t>
  </si>
  <si>
    <t>PO6116</t>
  </si>
  <si>
    <t>PR4610</t>
  </si>
  <si>
    <t>Soliduseventures Corporation</t>
  </si>
  <si>
    <t>Payment for grinder 4 and cutting disc 4" intended for handtools and consumables as per PO6116.</t>
  </si>
  <si>
    <t>2026-0104</t>
  </si>
  <si>
    <t>PO6137</t>
  </si>
  <si>
    <t>PR4635</t>
  </si>
  <si>
    <t>Safecon Industries Inc.</t>
  </si>
  <si>
    <t>Payment for ready mix concrete with pump crete and pump crete intended for OMET CROR Park - concrete (3500 psi) as per PO6137.</t>
  </si>
  <si>
    <t>2026-0105</t>
  </si>
  <si>
    <t>PO6140</t>
  </si>
  <si>
    <t>PR4626</t>
  </si>
  <si>
    <t>Davao Greatly Marketing</t>
  </si>
  <si>
    <t>Payment for solvent cement 200ml, 4x4 floor drain, PVC tee 2" and blue sack intended for OMET Croc Park - temporary toilet as per PO6140.</t>
  </si>
  <si>
    <t>2026-0106</t>
  </si>
  <si>
    <t>PO6141</t>
  </si>
  <si>
    <t>PR4634</t>
  </si>
  <si>
    <t>Payment for shovel, welding rod 6011 and chain lock (chain and lock set) intended for OMET Croc Park - consumables as per PO6141.</t>
  </si>
  <si>
    <t>2026-0107</t>
  </si>
  <si>
    <t>PO6144</t>
  </si>
  <si>
    <t>PR4627</t>
  </si>
  <si>
    <t>Cisa Marketing Company Inc.</t>
  </si>
  <si>
    <t>Payment for rust converter, zinc / anri-rust primer (touch-up), exterior metal paint Enamel, interior metal paint semi-gloss and paint tray intended for OMET Croc Park - rust removal and repainting for temp structure as per PO6144.</t>
  </si>
  <si>
    <t>2026-0108</t>
  </si>
  <si>
    <t>RFP13</t>
  </si>
  <si>
    <t>Preventive maintenance for loafbread MAU 1900 intended for change oil as per RFP13, subject for liquidation.</t>
  </si>
  <si>
    <t>Cash c/o Carlou</t>
  </si>
  <si>
    <t>01.23.2026</t>
  </si>
  <si>
    <t>from PCF 2026</t>
  </si>
  <si>
    <t>2026-0109</t>
  </si>
  <si>
    <t>RFP18</t>
  </si>
  <si>
    <t>Fuel intended for OMET vehicles, trucks and genset for week Jan 19 -25, 2026 week 03 as per RFP18, subject for liquidation.</t>
  </si>
  <si>
    <t>2026-0110</t>
  </si>
  <si>
    <t>RFP12</t>
  </si>
  <si>
    <t>8 Ply Tire Trading</t>
  </si>
  <si>
    <t>Repair &amp; Maintenance - Vehicle - Exe Service</t>
  </si>
  <si>
    <t>Payment for 4pcs tires - Yokohama 225/55 R18 intended for Subaru.</t>
  </si>
  <si>
    <t>2026-0111</t>
  </si>
  <si>
    <t>RFP14</t>
  </si>
  <si>
    <t>Super Great Truck Sales Inc.</t>
  </si>
  <si>
    <t>UNPAID</t>
  </si>
  <si>
    <t>Payment for packing seal and seal kit intended for parts for crane including labor and miscellaneous as per RFP14.</t>
  </si>
  <si>
    <t>2026-0112</t>
  </si>
  <si>
    <t>RFP2026-006</t>
  </si>
  <si>
    <t>Payment for bidding docs fee intended for bidding at APMC for the Construction of Trauma Building Phase 2 - Construction of eight (8) Modular or twelve (12) Bed Pacu as per RFP2026-006, subject for liquidation.</t>
  </si>
  <si>
    <t>2026-0113</t>
  </si>
  <si>
    <t>TRF2026-003</t>
  </si>
  <si>
    <t>Travel allowance of Jhelde to Marawi on Jan. 21 - 23, 2026 with Jibrielle and driver to attend pre-bid conference at APMC as per TRF2026-003, subject for liquidation.</t>
  </si>
  <si>
    <t>2026-0114</t>
  </si>
  <si>
    <t>Office of the City Treasurer</t>
  </si>
  <si>
    <t>Payment for Business Permit renewal for the year 2026.</t>
  </si>
  <si>
    <t>2026-0115</t>
  </si>
  <si>
    <t>2026-0116</t>
  </si>
  <si>
    <t>PO5498</t>
  </si>
  <si>
    <t>PR4184</t>
  </si>
  <si>
    <t>Demecillo Builders</t>
  </si>
  <si>
    <t>Full payment of Fire gas suppression system intended for operating room, as per PO5498.</t>
  </si>
  <si>
    <t>Check Payment</t>
  </si>
  <si>
    <t>0002730457</t>
  </si>
  <si>
    <t>2026-0117</t>
  </si>
  <si>
    <t>BSN3</t>
  </si>
  <si>
    <t>2ND SEM</t>
  </si>
  <si>
    <t>Altheya Mangle</t>
  </si>
  <si>
    <t>Donation and Sponsorship</t>
  </si>
  <si>
    <t>Enrollment fee for 2nd semester of B.S in Nursing for 3rd year level of Altheya.</t>
  </si>
  <si>
    <t>Cash payment</t>
  </si>
  <si>
    <t>from Encashment 438,898.16 CV2026-0124 01/16/2026</t>
  </si>
  <si>
    <t>2026-0118</t>
  </si>
  <si>
    <t>PCF</t>
  </si>
  <si>
    <t>OneMark Engineering Technologies - PCF</t>
  </si>
  <si>
    <t>Petty Cash Fund</t>
  </si>
  <si>
    <t>Establishment of Petty cash fund for Accounting/Finance Department for the year 2026, subject for liquidation to replenish.</t>
  </si>
  <si>
    <t>2026-0119</t>
  </si>
  <si>
    <t>Andrea Marish Barayuga</t>
  </si>
  <si>
    <t>Various expenses of AGB, subject for reimbursement.</t>
  </si>
  <si>
    <t>Cash payment to AGB</t>
  </si>
  <si>
    <t>2026-0120</t>
  </si>
  <si>
    <t>Michael Cubian</t>
  </si>
  <si>
    <t>2026-0121</t>
  </si>
  <si>
    <t>2026-0122</t>
  </si>
  <si>
    <t>Partial payment for various accounts payable under True Aire including 34,150.00 under GDY Airtech Enterprises for the RR Encabo/OMET JV account.</t>
  </si>
  <si>
    <t>0002730466</t>
  </si>
  <si>
    <t>from SECBANK OMET fund</t>
  </si>
  <si>
    <t>2026-0123</t>
  </si>
  <si>
    <t>Nida Pacheco</t>
  </si>
  <si>
    <t>PNPR11-MSH</t>
  </si>
  <si>
    <t>Loan from Other Institution</t>
  </si>
  <si>
    <t>Payment for rediscounting with reference PNB check no. 2000031561 (PHP 98,133.08) dated 07/02/2024, 2000031936 (PHP 250,000.00) &amp; 2000031838 (PHP 73,135.67) dated 07/01/2026 including interest for the months of November and December 2025.</t>
  </si>
  <si>
    <t>Check payment c/o AGB</t>
  </si>
  <si>
    <t>0002730470</t>
  </si>
  <si>
    <t>DPWH Pahulayan</t>
  </si>
  <si>
    <t>Interest Expense</t>
  </si>
  <si>
    <t>2026-0124</t>
  </si>
  <si>
    <t>Encashment from SECBANK OMET intended for various OMET transactions.</t>
  </si>
  <si>
    <t>Encashment c/o Mae</t>
  </si>
  <si>
    <t>0002730467</t>
  </si>
  <si>
    <t>2026-0125</t>
  </si>
  <si>
    <t>FUND #10</t>
  </si>
  <si>
    <t>Encashment from BDO OMET BGC intended for AZIR fund borrowings 1/15/2026 and others.</t>
  </si>
  <si>
    <t>0000028342</t>
  </si>
  <si>
    <t>01.19.2026</t>
  </si>
  <si>
    <t>BDO OMET BGC</t>
  </si>
  <si>
    <t>from BDO BGC OMET fund</t>
  </si>
  <si>
    <t>2026-0126</t>
  </si>
  <si>
    <t>Cash deposit to DBP OMET intended for AZIR Steel Trading.</t>
  </si>
  <si>
    <t>Cash depo c/o Jazz</t>
  </si>
  <si>
    <t>from 01.16.2026 1.4M Encashment CV2026-0125</t>
  </si>
  <si>
    <t>2026-0127</t>
  </si>
  <si>
    <t>from 01.19.2026 Encashment CV2026-0129</t>
  </si>
  <si>
    <t>2026-0128</t>
  </si>
  <si>
    <t>Cash deposit to PNB Savings OMET intended for various OMET mandatories.</t>
  </si>
  <si>
    <t>2026-0129</t>
  </si>
  <si>
    <t>Encashment from SECBANK OMET to fund various OMET transactions ref. CV No. 2026-0127 &amp; 2026-0128.</t>
  </si>
  <si>
    <t>0002730473</t>
  </si>
  <si>
    <t>2026-0130</t>
  </si>
  <si>
    <t>Azir Steel Trading</t>
  </si>
  <si>
    <t>Partial payment of accounts payable to Azir Steel Trading under Multi-Storey Parking with road network (Contracct Cost = 25,000,000.00) and full payment under SPMC Pahulayan project with contract cost = 13,000,000.00.</t>
  </si>
  <si>
    <t>0095319620</t>
  </si>
  <si>
    <t>from 01.19.2026 CV2026-0126 &amp; 0127</t>
  </si>
  <si>
    <t>2026-0131</t>
  </si>
  <si>
    <t>Rodel Manan</t>
  </si>
  <si>
    <t>Partial payment of accounts payable to Rodel Manan.</t>
  </si>
  <si>
    <t>2026-0132</t>
  </si>
  <si>
    <t>RFP19</t>
  </si>
  <si>
    <t>Fuel intended for self loading to pick up materials as per RFP19, subject for liquidation.</t>
  </si>
  <si>
    <t>2026-0133</t>
  </si>
  <si>
    <t>Cash deposit to PNB OMET BGC to fund various projects.</t>
  </si>
  <si>
    <t>Cash deposit c/o Mae</t>
  </si>
  <si>
    <t>2026-0134</t>
  </si>
  <si>
    <t>Cash to MRJ as per instruction.</t>
  </si>
  <si>
    <t>2026-0135</t>
  </si>
  <si>
    <t>RFP2026-007</t>
  </si>
  <si>
    <t>50% Down payment for Foretown Glass - D21 4pcs intended for PNP Hospital project as per RFP2026-007, subject for liquidation.</t>
  </si>
  <si>
    <t>2026-0136</t>
  </si>
  <si>
    <t>RFP2026-008</t>
  </si>
  <si>
    <t>50% Down payment for MC Alforque  Glassworks intended for 4F partition glass with double swing door as per  RFP2026-008, subject for liquidation.</t>
  </si>
  <si>
    <t>2026-0137</t>
  </si>
  <si>
    <t>PO6076</t>
  </si>
  <si>
    <t>PR4586</t>
  </si>
  <si>
    <t>JCA Electrical Products Trading</t>
  </si>
  <si>
    <t>Payment for various THHN Wire intended for eletric wires balance at MKTI PH4 as per PO6076.</t>
  </si>
  <si>
    <t>2026-0138</t>
  </si>
  <si>
    <t>Roel Modena</t>
  </si>
  <si>
    <t>Payment for rental of staff house in CDO for the period Dec 14, 2025 to Jan 14, 2026 with utilities.</t>
  </si>
  <si>
    <t>2026-0139</t>
  </si>
  <si>
    <t>LUIS26-001</t>
  </si>
  <si>
    <t>Various expenses subject for reimbursement under cash advances ref. CV2026-0035.</t>
  </si>
  <si>
    <t>2026-0140</t>
  </si>
  <si>
    <t>2026-0141</t>
  </si>
  <si>
    <t>02-307370-5</t>
  </si>
  <si>
    <t>NOV04-JAN03</t>
  </si>
  <si>
    <t>Davao City Water District</t>
  </si>
  <si>
    <t>Water consumption for D6 Corange Inc office for the period of Nov 04, 2025 - Jan 03, 2026. Account No. 02-307370-5</t>
  </si>
  <si>
    <t>2026-0142</t>
  </si>
  <si>
    <t>RFP2026-009</t>
  </si>
  <si>
    <t>Payment for angle grinder intended for Croc Park OMET office building as per RFP2026-009, subject for liquidation.</t>
  </si>
  <si>
    <t>2026-0143</t>
  </si>
  <si>
    <t>RFP20</t>
  </si>
  <si>
    <t>Payment for 10 wheelers 20-22 cubic intended for hauling as per RFP20, subject for liquidation.</t>
  </si>
  <si>
    <t>2026-0144</t>
  </si>
  <si>
    <t>RFP2026-010</t>
  </si>
  <si>
    <t>Payment for real property taxes, tax clearances, tax declaration - land and building for 146-2023017253, 146-2020021387 and MRJ residence as per RFP2026-010, subject for liquidation.</t>
  </si>
  <si>
    <t>CASH</t>
  </si>
  <si>
    <t>01.21.2026</t>
  </si>
  <si>
    <t>Released 5,000.00 by AGB</t>
  </si>
  <si>
    <t>Cash - PCF</t>
  </si>
  <si>
    <t>2026-0145</t>
  </si>
  <si>
    <t>PO6025</t>
  </si>
  <si>
    <t>PR4527</t>
  </si>
  <si>
    <t>WV New Davao Goldstar Hardware Co., Inc.</t>
  </si>
  <si>
    <t>Payment for various deformed bar and GI tie wire #16 intended for steel reinforcements (Foundation works) as per PO6025.</t>
  </si>
  <si>
    <t>from PO6000 ref.CV2025-3335</t>
  </si>
  <si>
    <t>charge to advance payment amounting 305,000.00 under PO6000 ref CV2025-3335</t>
  </si>
  <si>
    <t>2026-0146</t>
  </si>
  <si>
    <t>PO6159</t>
  </si>
  <si>
    <t>PR4644</t>
  </si>
  <si>
    <t>SKS Interiors Inc</t>
  </si>
  <si>
    <t>Payment for silicone sealant, 25x12x0.5 metal furring 5.0m, 38x12mmx0.8 carrying channel 5.0m and 25x25mmx0.5 wall angle intended for OMET Croc Park - temporary office furnishing as per PO6159.</t>
  </si>
  <si>
    <t>2026-0147</t>
  </si>
  <si>
    <t>PO6158</t>
  </si>
  <si>
    <t>Payment for 5W pinlight, 7W spotlight, 2gang switch 16A flush/surface, 2-gang convenience outlet and surface utility box (metal/PVC) as per PO6158.</t>
  </si>
  <si>
    <t>2026-0148</t>
  </si>
  <si>
    <t>FUND #11</t>
  </si>
  <si>
    <t>Encashment from STERLING OMET intended for OMET BGC fund (300K), SPMC Pathwalk SOP (625K) and MKTI PH4 and CROC Park fund (500K).</t>
  </si>
  <si>
    <t>0007441298</t>
  </si>
  <si>
    <t>2026-0149</t>
  </si>
  <si>
    <t>FUND #12</t>
  </si>
  <si>
    <t>Fund transfer from STERLING OMET to PNB Savings OMET intended for telegraphic transfer to ALVO Medical.</t>
  </si>
  <si>
    <t>0007441299</t>
  </si>
  <si>
    <t>2026-0150</t>
  </si>
  <si>
    <t>Cash In Bank - PNB BGC</t>
  </si>
  <si>
    <t>Cash deposit to PNB OMET BGC intended for BGC various transactions.</t>
  </si>
  <si>
    <t>from 01.21.2026 1.425M Encashment CV2026-0148</t>
  </si>
  <si>
    <t>2026-0151</t>
  </si>
  <si>
    <t>SOP</t>
  </si>
  <si>
    <t>SOP intended for various SPMC Personnel, as per RCJ instruction.</t>
  </si>
  <si>
    <t>Cash c/o RCJ</t>
  </si>
  <si>
    <t>2026-0152</t>
  </si>
  <si>
    <t>SPMC Pathwalk</t>
  </si>
  <si>
    <t>3rd and finaal billing from SPMC on the project Design and Build of Interconnecting Elevated Covered Walk-way for Heart Institute, Orthopedic Institute and Children's Institute with 100% work accomplished as of August 6, 2025.</t>
  </si>
  <si>
    <t>LDDAP-ADA# 101-01-014-2026</t>
  </si>
  <si>
    <t>Accounts Receivable - SPMC Pathwalk</t>
  </si>
  <si>
    <t>2026-0153</t>
  </si>
  <si>
    <t>Fund transfer from LBP OMET to STERLING OMET (via issuance of Manager's check) dated 01/20/2026.</t>
  </si>
  <si>
    <t>MC deposit c/o Jazz</t>
  </si>
  <si>
    <t>0000000475</t>
  </si>
  <si>
    <t>01.20.2026</t>
  </si>
  <si>
    <t>from SPMC Pathwalk Collection CV2026-0152</t>
  </si>
  <si>
    <t>2026-0154</t>
  </si>
  <si>
    <t>Alvo</t>
  </si>
  <si>
    <t>92966 USD</t>
  </si>
  <si>
    <t>2026-0155</t>
  </si>
  <si>
    <t>Home Development Mutual Fund</t>
  </si>
  <si>
    <t>2026-0156</t>
  </si>
  <si>
    <t>Philippine Health Insurance Corporation</t>
  </si>
  <si>
    <t>2026-0157</t>
  </si>
  <si>
    <t>2026-0158</t>
  </si>
  <si>
    <t>2026-0159</t>
  </si>
  <si>
    <t>Social Security System</t>
  </si>
  <si>
    <t>2026-0160</t>
  </si>
  <si>
    <t>2026-0161</t>
  </si>
  <si>
    <t>2026-0162</t>
  </si>
  <si>
    <t>2026-0163</t>
  </si>
  <si>
    <t>PO6143</t>
  </si>
  <si>
    <t>Payment for various materials intended for OMET Croc Park - rust removal and repainting for temp structure as per PO6143.</t>
  </si>
  <si>
    <t>2026-0164</t>
  </si>
  <si>
    <t>RFP22</t>
  </si>
  <si>
    <t>Repair &amp; Maintenance - Vehicle - Office Service</t>
  </si>
  <si>
    <t>Preventive maintenance intended for Altis GAT 7582 as per Service quotation no. G4DA025434.</t>
  </si>
  <si>
    <t>2026-0165</t>
  </si>
  <si>
    <t>RFP2026-011</t>
  </si>
  <si>
    <t>JTECH Industry incorporated</t>
  </si>
  <si>
    <t>Payment for Inspection, troubleshooting and one-time PMS of 2 units 1600kg hospital bed elevator, as per RFP2026-011.</t>
  </si>
  <si>
    <t>2026-0166</t>
  </si>
  <si>
    <t>Fund transfer from PNB Savings OMET to SECBANK OMET intended for Toyota Matina, Davao ref. CV2026-0164 (PMS for Altis GAT 7582)</t>
  </si>
  <si>
    <t>Withdrawal then Cash deposit to SECBANK</t>
  </si>
  <si>
    <t>Withdrawal Slip</t>
  </si>
  <si>
    <t>from remaining of 300K Mandatories</t>
  </si>
  <si>
    <t>2026-0167</t>
  </si>
  <si>
    <t>JIB-REPLE26-002</t>
  </si>
  <si>
    <t>Representation</t>
  </si>
  <si>
    <t>Various expenses held from PCF establishment subj for 2nd replenishment for 2026 ref. CV2025-2162 and CV2025-2558.</t>
  </si>
  <si>
    <t>Fund transfer PNB</t>
  </si>
  <si>
    <t>Fund Transfer</t>
  </si>
  <si>
    <t>from remaining balance of 5.6M intended for Alvo telex</t>
  </si>
  <si>
    <t>Freight</t>
  </si>
  <si>
    <t>Office Equipment</t>
  </si>
  <si>
    <t>Uniform</t>
  </si>
  <si>
    <t>Transportation and Travel Allowance</t>
  </si>
  <si>
    <t>Office Furniture</t>
  </si>
  <si>
    <t>2026-0168</t>
  </si>
  <si>
    <t>RFP2026-012</t>
  </si>
  <si>
    <t>Establishment of Petty cash fund for Liaison Dept for the year 2026, subject for liquidation to replenish.</t>
  </si>
  <si>
    <t>2026-0169</t>
  </si>
  <si>
    <t>PO6154</t>
  </si>
  <si>
    <t>PR4639</t>
  </si>
  <si>
    <t>LPC Glass and Aluminum Supply</t>
  </si>
  <si>
    <t>Payment for silicone sealant black intended for MKTI - GF laboratory glass window sealing of gaps as per PO6154.</t>
  </si>
  <si>
    <t>2026-0170</t>
  </si>
  <si>
    <t>Jose H. Puentespina</t>
  </si>
  <si>
    <t>MKTI</t>
  </si>
  <si>
    <t>Customs Duties</t>
  </si>
  <si>
    <t>Payment for LCL BOC Importation customs clearance by airfreight from Republic of China to OMET,BGC,Taguig City (final destination) Davao City, Philippines containing digital control device 3 pcs 3 ctns. As per commercial invoice no. 23R32004 and customs importation dated October 30, 2023 and BL no. PSLNBOMNL00576.</t>
  </si>
  <si>
    <t>2026-0171</t>
  </si>
  <si>
    <t>RFP2026-013</t>
  </si>
  <si>
    <t>Payment for screws, brackets and sealants needed for finishes spaces to be turned over by 01/22/2026 as per RFP2026-013, subject for liquidation.</t>
  </si>
  <si>
    <t>2026-0172</t>
  </si>
  <si>
    <t>RFP23</t>
  </si>
  <si>
    <t>Repair and Maintenance - Vehicle</t>
  </si>
  <si>
    <t>Payment for tire 700x15 Apollo lug type (front) intended for truck MAH 4765 as per RFP23.</t>
  </si>
  <si>
    <t>2026-0173</t>
  </si>
  <si>
    <t>RFP21</t>
  </si>
  <si>
    <t>Preventive maintenance intended for truck CAF 8729 as per RFP21, subject for liquidation.</t>
  </si>
  <si>
    <t>2026-0174</t>
  </si>
  <si>
    <t>RFP2026-014</t>
  </si>
  <si>
    <t>SICI Davao Corporate Office Services</t>
  </si>
  <si>
    <t>Surety - Retention Bond</t>
  </si>
  <si>
    <t>Payment for Retention Bond - Surety Bond for SPMC Pathwalk/Walkway for the project Design and Build of Interconnecting elevated covered walk-way for health institute, orthopaedic institute and children's institute with policy no. G(42)121335.</t>
  </si>
  <si>
    <t>2026-0175</t>
  </si>
  <si>
    <t>RFP2026-015</t>
  </si>
  <si>
    <t>Payment for Retention Bond - Surety Bond for SPMC Pahulayan for the project Design and construction of 7-storey building, SPMC Pahulayan with roofdeck southern med center, Davao City with policy no. G(42)121353 / 21L00136.</t>
  </si>
  <si>
    <t>2026-0176</t>
  </si>
  <si>
    <t>RFP2026-016</t>
  </si>
  <si>
    <t>License Fee</t>
  </si>
  <si>
    <t>Payment for LTO registration renewal of OR/CR, CTPL, Emission and stencil intended for L531IE Yamaha Mio and Toyota Altis GAT 7582 as per RFP2026-016, subject for liquidation.</t>
  </si>
  <si>
    <t>2026-0177</t>
  </si>
  <si>
    <t>13-371001-2</t>
  </si>
  <si>
    <t>Utilities - Water</t>
  </si>
  <si>
    <t>Water consumption for Croc Park for the month of JANUARY 2026 with account no. 13-371001-2 due date on Feb 09, 2026 as per billing#: 00000429754.</t>
  </si>
  <si>
    <t>2026-0178</t>
  </si>
  <si>
    <t>8215822313-9</t>
  </si>
  <si>
    <t>DEC11-JAN11</t>
  </si>
  <si>
    <t>Davao Light and Power Co., Inc.</t>
  </si>
  <si>
    <t>Utilities - Electricity</t>
  </si>
  <si>
    <t>Power consumption for the period of Dec 11, 2025 - Jan 11, 2026 of D10 office with account number 8215822313-9.</t>
  </si>
  <si>
    <t>2026-0179</t>
  </si>
  <si>
    <t>4790525717-7</t>
  </si>
  <si>
    <t>Power consumption for the period of Dec 11, 2025 - Jan 11, 2026 of Door 06 Corange office with account number 4790525717-7.</t>
  </si>
  <si>
    <t>2026-0180</t>
  </si>
  <si>
    <t>PO6165</t>
  </si>
  <si>
    <t>PR4653</t>
  </si>
  <si>
    <t>Payment for gravel YY 3/4 and coarse sand intended for building floor slab - Villa Josefina swimming pool as per PO6165.</t>
  </si>
  <si>
    <t>01.26.2026</t>
  </si>
  <si>
    <t>Borrowed from OH fund under CROC Park (under 500K from 01.21.2026 1.425M Encashment CV2026-0148)</t>
  </si>
  <si>
    <t>2026-0181</t>
  </si>
  <si>
    <t>RFP24</t>
  </si>
  <si>
    <t>Admin -Logistics</t>
  </si>
  <si>
    <t>Fuel intended for OMET vehicles, trucks and genset for week Jan 26 - Feb 01, 2026 week 04 as per RFP24, subject for liquidation.</t>
  </si>
  <si>
    <t>2026-0182</t>
  </si>
  <si>
    <t>JAN01-15</t>
  </si>
  <si>
    <t>Security services rendered by MINSAS security guard covering the period Jan 01 - 15, 2026 at MKTI project site.</t>
  </si>
  <si>
    <t>2026-0183</t>
  </si>
  <si>
    <t>Security services rendered by MINSAS security guard covering the period Jan 01 - 15, 2026 at Admin-Jluna.</t>
  </si>
  <si>
    <t>2026-0184</t>
  </si>
  <si>
    <t>Fund transfer to PNB Corange intended for payment of 1 unit aircon (Daikin Airconditioning Philippines) for Jibrielle Gayak office at D6.</t>
  </si>
  <si>
    <t>Encash then cash depo c/o Jazz</t>
  </si>
  <si>
    <t>0002730479</t>
  </si>
  <si>
    <t>01.27.2026</t>
  </si>
  <si>
    <t>2026-0185</t>
  </si>
  <si>
    <t>RFP2026-017</t>
  </si>
  <si>
    <t>Admin - Pikit</t>
  </si>
  <si>
    <t>Processing Fee</t>
  </si>
  <si>
    <t>Payment for Sketch plan intended for Pikit Cotabato Farm lot.</t>
  </si>
  <si>
    <t>2026-0186</t>
  </si>
  <si>
    <t>CARF002</t>
  </si>
  <si>
    <t>Daniel Austria</t>
  </si>
  <si>
    <t>2026-0187</t>
  </si>
  <si>
    <t>WITHDRAWAL</t>
  </si>
  <si>
    <t>ONeMark Engineering Technologies</t>
  </si>
  <si>
    <t>Cash withdrawal from PNB Savings OMET intended for 13th Month pay of separated employees (Welson Bolina, Jorge Naval and Marino Bague).</t>
  </si>
  <si>
    <t>Withdrawal c/o Jazz</t>
  </si>
  <si>
    <t>from BGC fund remaining of Alvo Telex</t>
  </si>
  <si>
    <t>2026-0188</t>
  </si>
  <si>
    <t>Cash withdrawal from PNB Savings OMET intended for Daniel Austria's salary advances ref. CV2026-0186 and payment for sketch plan for Pikit Farm lot ref. CV2026-0185.</t>
  </si>
  <si>
    <t>2026-0189</t>
  </si>
  <si>
    <t>PO6166</t>
  </si>
  <si>
    <t>PR4652</t>
  </si>
  <si>
    <t>Payment for Freon 410A Akashi packing 11.3kgs/cyl intended for MKTI freon 410A for aircon as per PO6166.</t>
  </si>
  <si>
    <t>2026-0190</t>
  </si>
  <si>
    <t>PO6160</t>
  </si>
  <si>
    <t>Payment for 18x295cm PVC ceiling panels and 20x285cm WPC wall panels intended for OMET Croc Park - temporary office furnishing as per PO6160.</t>
  </si>
  <si>
    <t>2026-0191</t>
  </si>
  <si>
    <t>PO6163</t>
  </si>
  <si>
    <t>PR4624</t>
  </si>
  <si>
    <t>Champion Hardware</t>
  </si>
  <si>
    <t>Payment for acrytex primer white intended for MKTI for grounf floor door widening as per PO6163.</t>
  </si>
  <si>
    <t>2026-0192</t>
  </si>
  <si>
    <t>PO6164</t>
  </si>
  <si>
    <t>Payment for flush bolt intended for MKTI for ground floor door widening as per PO6164.</t>
  </si>
  <si>
    <t>2026-0193</t>
  </si>
  <si>
    <t>RFP2026-018</t>
  </si>
  <si>
    <t>Payment for bidding docs intended for bidding at NKTI - Modular OR project as per RFP2026-018, subject for liquidation.</t>
  </si>
  <si>
    <t>Forwarded to Ace BGC</t>
  </si>
  <si>
    <t>2026-0194</t>
  </si>
  <si>
    <t>REIM-RCJ26-002</t>
  </si>
  <si>
    <t>Various expenses of RCJ, subject for reimbursement, as per REIM26-002.</t>
  </si>
  <si>
    <t>01.29.2026</t>
  </si>
  <si>
    <t>borrowed from CROC Park - Safecon fund</t>
  </si>
  <si>
    <t>Fuel, Oil and Lubricants</t>
  </si>
  <si>
    <t>Repair and Maintenance - Equipment</t>
  </si>
  <si>
    <t>2026-0195</t>
  </si>
  <si>
    <t>TRF2026-004</t>
  </si>
  <si>
    <t>Jocy Mae Frasco</t>
  </si>
  <si>
    <t>Travel allowance to OMET Office at Pikit Cotabato on January 31, 2026 with Madam Imelda Juanitas, Josie Argawanon and driver Jun to retrieve files or documents (like vouchers, contract, etc.) from previous years such as Glimpse, etc. for the verification of payables as per TRF2026-004, subject for liquidation.</t>
  </si>
  <si>
    <t>2026-0196</t>
  </si>
  <si>
    <t>TRF2026-005</t>
  </si>
  <si>
    <t>Travel allowance to Manila-Cebu-Marawi on January 28, 2026 (inclusive for 6 days) intened for various projects NKTI, VSMMC and APMC as per TRF2026-005, subject for liquidation.</t>
  </si>
  <si>
    <t>Cash deposit c/o MAE</t>
  </si>
  <si>
    <t>01.28.2026</t>
  </si>
  <si>
    <t>2026-0197</t>
  </si>
  <si>
    <t>RFP2026-019</t>
  </si>
  <si>
    <t>Payment for refill of fire extinguisher 10lbs dry and fire extinguisher 20lbs dry and replacement of gauge as per RFP2026-019, subject for liquidation.</t>
  </si>
  <si>
    <t>Cash c/o John</t>
  </si>
  <si>
    <t>2026-0198</t>
  </si>
  <si>
    <t>Cash In Bank - BPI Ateneo</t>
  </si>
  <si>
    <t>Encashment from BDO BGC OMET then cash deposit to BPI Ateneo OMET intended for BPI loans (January interest and DST for restructuring.</t>
  </si>
  <si>
    <t>Encashment and cash deposit to BPI Ateneo account c/o Jazz</t>
  </si>
  <si>
    <t>0000028345</t>
  </si>
  <si>
    <t>from BDO BGC OMET</t>
  </si>
  <si>
    <t>2026-0199</t>
  </si>
  <si>
    <t>PNB Corporate Loans</t>
  </si>
  <si>
    <t>Loan Payment</t>
  </si>
  <si>
    <t>Payment for PNB Corporate loan principal due of 2,000,000.00 and interest of 837,000.00 for the period of 12/28/2025 to 01/28/2026 as per SI PN# Original loan old PN# 800012521070.</t>
  </si>
  <si>
    <t>Check payment c/o Mae</t>
  </si>
  <si>
    <t>0000028344</t>
  </si>
  <si>
    <t>2026-0200</t>
  </si>
  <si>
    <t>Check deposit to AGB BDO account as per MRJ's instruction.</t>
  </si>
  <si>
    <t>0000028346</t>
  </si>
  <si>
    <t>2026-0201</t>
  </si>
  <si>
    <t>Fund transfer via cash deposit to PNB BGC OMET intended for Special PCAB license.</t>
  </si>
  <si>
    <t>2026-0202</t>
  </si>
  <si>
    <t>Cash deposit to BPI Ateneo OMET intended for BPI loans (January interest and DST for restructuring.</t>
  </si>
  <si>
    <t>2026-0203</t>
  </si>
  <si>
    <t>Bureau of Customs</t>
  </si>
  <si>
    <t>Payment for customs duties intended for Villa Josefina tiles from Ningbo Zhongrui Import and Export Co., LTD.</t>
  </si>
  <si>
    <t>Chinabank Monte OMET</t>
  </si>
  <si>
    <t>from Chinabank Monte OMET fund</t>
  </si>
  <si>
    <t>2026-0204</t>
  </si>
  <si>
    <t>TRF2026-006</t>
  </si>
  <si>
    <t>Travel allowance to APMC Marawi on February 01 - 05, 2026 (5days) with Jibrielle and driver Jun to attend bidding at APMC as per TRF2026-006, subject for liquidation.</t>
  </si>
  <si>
    <t>2026-0205</t>
  </si>
  <si>
    <t>RFP2026-020</t>
  </si>
  <si>
    <t>Payment for additional 50pcs OneMark calendar 2026 22x34 inches as per RFP2026-020, subject for liquidation.</t>
  </si>
  <si>
    <t>2026-0206</t>
  </si>
  <si>
    <t>Encashment from STERLING OMET intended for customs duties and broker's fee.</t>
  </si>
  <si>
    <t>0007536201</t>
  </si>
  <si>
    <t>2026-0207</t>
  </si>
  <si>
    <t>Check deposit to PNB BGC OMET to fund various BGC transactions.</t>
  </si>
  <si>
    <t>0000028347</t>
  </si>
  <si>
    <t>2026-0208</t>
  </si>
  <si>
    <t>Cash deposit to Chinabank OMET to fund payment of customs duties.</t>
  </si>
  <si>
    <t>from 01.29.2026 320K Encashment CV2026-0206</t>
  </si>
  <si>
    <t>2026-0209</t>
  </si>
  <si>
    <t>RFP2026-021</t>
  </si>
  <si>
    <t>Christopher Juanitas</t>
  </si>
  <si>
    <t>Pouring allowance intended for OMET Croc Park as per RFP2026-021, subject for liquidation.</t>
  </si>
  <si>
    <t>Cash c/o CLJ</t>
  </si>
  <si>
    <t>2026-0210</t>
  </si>
  <si>
    <t>Cash In Bank - Corange</t>
  </si>
  <si>
    <t>Fund transfer from Maybank RR Encabo/OMET JV to Corange Inc intended for issuance of Bank Certificate for BOC renewal.</t>
  </si>
  <si>
    <t>0000000001</t>
  </si>
  <si>
    <t>MayBank RR/OMET JV</t>
  </si>
  <si>
    <t>from Maybank RR Encabo/OMET JV fund</t>
  </si>
  <si>
    <t>Cash In Bank - Maybank RR/OMET JV</t>
  </si>
  <si>
    <t>2026-0211</t>
  </si>
  <si>
    <t>RFP2026-022</t>
  </si>
  <si>
    <t>Payment for clamp tester (digital clamp meter DCM-60R Sanwa) intended for MKTI PH4 as per RFP25/RFP2026-022, subject for liquidation.</t>
  </si>
  <si>
    <t>2026-0212</t>
  </si>
  <si>
    <t>JAN11-25</t>
  </si>
  <si>
    <t>Direct Labor</t>
  </si>
  <si>
    <t xml:space="preserve">Mindanao site bi-monthly payroll for the period Jan 11 - 25, 2026. </t>
  </si>
  <si>
    <t>2026-0213</t>
  </si>
  <si>
    <t>Salaries and Wages</t>
  </si>
  <si>
    <t>Payroll for OMET Mindanao monthly employees for the period Jan 11 - 25, 2026.</t>
  </si>
  <si>
    <t>WHT - JM. Frasco</t>
  </si>
  <si>
    <t>WHT - C. Juanitas</t>
  </si>
  <si>
    <t>WHT - LM. Lacuesta</t>
  </si>
  <si>
    <t>WHT - MA. Lozada</t>
  </si>
  <si>
    <t>WHT - J. Pedres</t>
  </si>
  <si>
    <t>WHT - CB. Selorio</t>
  </si>
  <si>
    <t>Advances to Employees - J. Argawanon</t>
  </si>
  <si>
    <t>Advances to Employees - J. Pedres</t>
  </si>
  <si>
    <t>2026-0214</t>
  </si>
  <si>
    <t>Payroll for OMET BGC monthly employees for the period Jan 11 - 25, 2026.</t>
  </si>
  <si>
    <t>WHT - MD. Ahmad</t>
  </si>
  <si>
    <t>WHT - FA. Colisao</t>
  </si>
  <si>
    <t>WHT - M. Lindon</t>
  </si>
  <si>
    <t>WHT - AJ. Montes</t>
  </si>
  <si>
    <t>WHT - KH. Rustia</t>
  </si>
  <si>
    <t>WHT - MF. Villafuerte</t>
  </si>
  <si>
    <t>WHT - A. Villagen</t>
  </si>
  <si>
    <t>Advances to Employees - M. Lindon</t>
  </si>
  <si>
    <t>Advances to Employees - AJ. Montes</t>
  </si>
  <si>
    <t>Advances to Employees - A. Teodosio</t>
  </si>
  <si>
    <t>Advances to Employees - MF. Villafuerte</t>
  </si>
  <si>
    <t>2026-0215</t>
  </si>
  <si>
    <t>0825792227-1</t>
  </si>
  <si>
    <t>DEC21-JAN21</t>
  </si>
  <si>
    <t>Light and power consumption for Capili under the name of MRJ for the period of Dec 21, 2025 - Jan 21, 2026, with account number 0825792227-1.</t>
  </si>
  <si>
    <t>2026-0216</t>
  </si>
  <si>
    <t>RFP29</t>
  </si>
  <si>
    <t>Payment for parts of MG (balance of Radiator Slay and Bump grill) as per RFP29, subject for liquidation.</t>
  </si>
  <si>
    <t>2026-0217</t>
  </si>
  <si>
    <t>RFP26</t>
  </si>
  <si>
    <t>Fuel intended for OMET vehicles, trucks and genset for week Feb 02 - 08, 2026 week 01 as per RFP26, subject for liquidation.</t>
  </si>
  <si>
    <t>2026-0218</t>
  </si>
  <si>
    <t>RFP27</t>
  </si>
  <si>
    <t>Payment for tire 165x65 R13 (front) intended for MAU 1900, battery 15 plates intended for Sumitomo Exca, battery 17 plates intended for Self loading and tire 7.50x16 LT intended for CAF 8729 as per RFP27.</t>
  </si>
  <si>
    <t>.</t>
  </si>
  <si>
    <t>2026-0219</t>
  </si>
  <si>
    <t>RFP28</t>
  </si>
  <si>
    <t>Payment for headlight, trapal, turn bucle, brake light, binder, oil 10 and clearance light as per RFP28, subject for liquidation.</t>
  </si>
  <si>
    <t>02.13.2026</t>
  </si>
  <si>
    <t>2026-0220</t>
  </si>
  <si>
    <t>RFP2026-023</t>
  </si>
  <si>
    <t>Payment for pathwalk as built plans architectural A3 intended for SPMC Pathwalk project as per RFP2026-023, subject for liquidation.</t>
  </si>
  <si>
    <t>2026-0221</t>
  </si>
  <si>
    <t>202504-06</t>
  </si>
  <si>
    <t>PB2 &amp; FB</t>
  </si>
  <si>
    <t>Dennis Javier</t>
  </si>
  <si>
    <t>Payment for 3rd and final billing of medical gas - hemodialysis and ICU with contract number 202504-06, Jan 26 - 31, 2026 week 04.</t>
  </si>
  <si>
    <t>2026-0222</t>
  </si>
  <si>
    <t>202507-04</t>
  </si>
  <si>
    <t>PB3</t>
  </si>
  <si>
    <t>Narciso Añasco</t>
  </si>
  <si>
    <t>Payment for 3rd progress billing of fire protection system works with contract number 202507-04, Jan 26 - 31, 2026 week 04.</t>
  </si>
  <si>
    <t>2026-0223</t>
  </si>
  <si>
    <t>RFP2026-024</t>
  </si>
  <si>
    <t>Joanne Mae Laniba</t>
  </si>
  <si>
    <t>APMC OR</t>
  </si>
  <si>
    <t>Professional fee of Engr. Laniba as Electrical Engineer intended for APMC Marawi bidding, as per RFP2026-024.</t>
  </si>
  <si>
    <t>02.12.2026</t>
  </si>
  <si>
    <t>from 02.11.2026 950K Encashment CV2026-0326</t>
  </si>
  <si>
    <t>2026-0224</t>
  </si>
  <si>
    <t>RFP2026-025</t>
  </si>
  <si>
    <t>Clairegie Marie Llido</t>
  </si>
  <si>
    <t>Professional fee of Engr. Llido as Sanitary Engineer intended for APMC Marawi bidding, as per RFP2026-025.</t>
  </si>
  <si>
    <t>Cancellation confirmed by CLJ dated 02/18/2026</t>
  </si>
  <si>
    <t>Fund used as partial payment for ECO-EDGE payables, 15K for labor &amp; 15K under supplies</t>
  </si>
  <si>
    <t>2026-0225</t>
  </si>
  <si>
    <t>PO5960</t>
  </si>
  <si>
    <t>PR4488</t>
  </si>
  <si>
    <t>Payment for freon R410A Akashi Packing 11.3kgs/cyl and noirogen R32 Eufron packing 9.5kgs/cyl intended for refrigerant as per PO5960.</t>
  </si>
  <si>
    <t>2026-0226</t>
  </si>
  <si>
    <t>PO6149</t>
  </si>
  <si>
    <t>PR4625</t>
  </si>
  <si>
    <t>Davao Diamond Industrial Supply</t>
  </si>
  <si>
    <t>Payment for 5/32 drill bit (for metal), 5/32 drill bit (for masonry) and 5/32 x 3/4 blind rivets intended for PNP hospital 3F nurse station as per PO6149.</t>
  </si>
  <si>
    <t>2026-0227</t>
  </si>
  <si>
    <t>PO6123</t>
  </si>
  <si>
    <t>PR4615</t>
  </si>
  <si>
    <t>Payment for primer surfacer automotive white and sanding sealer apollo intended for painting materials requested by Subcon Jovit as per PO6123.</t>
  </si>
  <si>
    <t>2026-0228</t>
  </si>
  <si>
    <t>PO6118</t>
  </si>
  <si>
    <t>PR4608</t>
  </si>
  <si>
    <t>Eco Edge Home Interiors &amp; Supplies Inc</t>
  </si>
  <si>
    <t>Payment for 4ft x 8ft MDF Board intended for PNP hospital restroom partition as per PO6118.</t>
  </si>
  <si>
    <t>Change supplier ref. CV2026-0392</t>
  </si>
  <si>
    <t>2026-0229</t>
  </si>
  <si>
    <t>PO6119</t>
  </si>
  <si>
    <t>Payment for toilet partition foot, door latch, coat hook, door hinge auto return, lock indicator and black door rubber stopper intended for PNP Hospital restroom partition as per PO6119.</t>
  </si>
  <si>
    <t>2026-0230</t>
  </si>
  <si>
    <t>PO6126</t>
  </si>
  <si>
    <t>Payment for 1x1.5x3mm inch angle bar top railing 6m, tox screw, wood glue and paint brush intended for PNP Hospital restroom partition as per PO6126.</t>
  </si>
  <si>
    <t>2026-0231</t>
  </si>
  <si>
    <t>PO6187</t>
  </si>
  <si>
    <t>PR4476</t>
  </si>
  <si>
    <t>LAZADA</t>
  </si>
  <si>
    <t>Payment for floor drain, clean out, three way faucet, lavatory faucet, lavatory p trap, flexible hose and angle valve intended for balance fixture (PNP plumbing) as per PO6187.</t>
  </si>
  <si>
    <t>2026-0232</t>
  </si>
  <si>
    <t>PO6188</t>
  </si>
  <si>
    <t>Trust Home Depot</t>
  </si>
  <si>
    <t>Payment for wall hung lavatory intended for balance fixture (PNP plumbing) as per PO6188.</t>
  </si>
  <si>
    <t>2026-0233</t>
  </si>
  <si>
    <t>Payment to Office of  City Treasurer intended for Corange Inc business permit for the year 2026.</t>
  </si>
  <si>
    <t>2026-0234</t>
  </si>
  <si>
    <t>JIB-REPLE26-003</t>
  </si>
  <si>
    <t>Various expenses related to marketing cost held from PCF establishment subj for 3rd replenishment for 2026 ref. CV2025-2162 and CV2025-2558.</t>
  </si>
  <si>
    <t>2026-0235</t>
  </si>
  <si>
    <t>Cash withdrawal from PNB Savings OMET</t>
  </si>
  <si>
    <t>2026-0236</t>
  </si>
  <si>
    <t>Liza Jane Molano</t>
  </si>
  <si>
    <t>Payment for Business Permit for Pikit</t>
  </si>
  <si>
    <t>2026-0237</t>
  </si>
  <si>
    <t>Cash deposit to SPJ's PNB Payroll account as per instruction.</t>
  </si>
  <si>
    <t>01.22.2026</t>
  </si>
  <si>
    <t>SPJ</t>
  </si>
  <si>
    <t>funded by SPJ</t>
  </si>
  <si>
    <t>2026-0238</t>
  </si>
  <si>
    <t>2026-0239</t>
  </si>
  <si>
    <t>Payment to Prozone Xpress Logistics Inc as forwarder for BGC.</t>
  </si>
  <si>
    <t>2026-0240</t>
  </si>
  <si>
    <t>FUND #13</t>
  </si>
  <si>
    <t>Encashment from Sterling OMET to fund various OMET transactions.</t>
  </si>
  <si>
    <t>0007536202</t>
  </si>
  <si>
    <t>02.02.2026</t>
  </si>
  <si>
    <t>2026-0241</t>
  </si>
  <si>
    <t>Evergreen Logistics Philippines Corporation</t>
  </si>
  <si>
    <t>Payment to broker including BOC processing fee, brokerage fee, handling fee and other charges intended for importation of materials from Shanghai, China with BL No. 142503812903UWS.</t>
  </si>
  <si>
    <t>2026-0242</t>
  </si>
  <si>
    <t xml:space="preserve"> Payroll for OMET executives employees for the month of Jan 2026.</t>
  </si>
  <si>
    <t>2026-0243</t>
  </si>
  <si>
    <t>Domilo Lucenario</t>
  </si>
  <si>
    <t>Professional fee of Mr. Domilo as Business Development - Contracts Manager for the month of January 2026.</t>
  </si>
  <si>
    <t>2026-0244</t>
  </si>
  <si>
    <t>RFP31</t>
  </si>
  <si>
    <t>Payment for labor and materials for painting (50% only) and welder/body builder/allignment intended for MG as per RFP31, subject for liquidation.</t>
  </si>
  <si>
    <t>2026-0245</t>
  </si>
  <si>
    <t>Laura Laqui</t>
  </si>
  <si>
    <t>Admin - Bukidnon</t>
  </si>
  <si>
    <t>Payroll for caretaker of Bukidnon property for the month of January 2026.</t>
  </si>
  <si>
    <t>2026-0246</t>
  </si>
  <si>
    <t>Cash deposit to PNB Savings OMET to fund Mindanao monthly employees payroll.</t>
  </si>
  <si>
    <t>2026-0247</t>
  </si>
  <si>
    <t>50% Full payment intended for Household expenses for the month of JANUARY 2026.</t>
  </si>
  <si>
    <t>02.03.2026</t>
  </si>
  <si>
    <t>from 02.02.2026 2.3M Encashment CV2026-0240</t>
  </si>
  <si>
    <t>2026-0248</t>
  </si>
  <si>
    <t>SPJ-002</t>
  </si>
  <si>
    <t>Payment for various management expenses, subject for reimbursement to SPJ.</t>
  </si>
  <si>
    <t>2026-0249</t>
  </si>
  <si>
    <t>Cash deposit to PNB Checking OMET to fund D10 office rental for the month of February 2026.</t>
  </si>
  <si>
    <t>2026-0250</t>
  </si>
  <si>
    <t>Borrowings of Corange Inc. to fund payroll, OPEX, Mandatories and BIR.</t>
  </si>
  <si>
    <t>Cash c/o Jesyl</t>
  </si>
  <si>
    <t>2026-0251</t>
  </si>
  <si>
    <t>Cash deposit to PNB Savings OMET intended for Mandatories (for catch up).</t>
  </si>
  <si>
    <t>2026-0252</t>
  </si>
  <si>
    <t>1601-EQ</t>
  </si>
  <si>
    <t>4TH QTR</t>
  </si>
  <si>
    <t>Bureau of Internal Revenue</t>
  </si>
  <si>
    <t>Payment for Quarterly Remittance Return of Creditable Income Taxes Withheld (Expanded) or BIR Form No. 1601-EQ for the 4th quarter of 2025.</t>
  </si>
  <si>
    <t>2026-0253</t>
  </si>
  <si>
    <t>2026-0254</t>
  </si>
  <si>
    <t>RFP33</t>
  </si>
  <si>
    <t>Fuel for Sumitomo Exca as per RFP33, subject for liquidation.</t>
  </si>
  <si>
    <t>2026-0255</t>
  </si>
  <si>
    <t>9364721111-4</t>
  </si>
  <si>
    <t>DEC20-JAN20</t>
  </si>
  <si>
    <t>Admin - Bayabas</t>
  </si>
  <si>
    <t>Light and power consumption for Bayabas for the period of Dec 20, 2025 - Jan 20, 2026, with account number 9364721111-4.</t>
  </si>
  <si>
    <t>2026-0256</t>
  </si>
  <si>
    <t>PO6201</t>
  </si>
  <si>
    <t>PR4669</t>
  </si>
  <si>
    <t>Payment for lever type door knob intended for MKTI - door knob replacement as per PO6201.</t>
  </si>
  <si>
    <t>2026-0257</t>
  </si>
  <si>
    <t>PO6202</t>
  </si>
  <si>
    <t>PR4668</t>
  </si>
  <si>
    <t>Payment for bidet (fixture only) intended for MKTI - additional bidet for replacement as per PO6202.</t>
  </si>
  <si>
    <t>2026-0258</t>
  </si>
  <si>
    <t>PO6197</t>
  </si>
  <si>
    <t>PR4667</t>
  </si>
  <si>
    <t>Payment for 410A Freon Wilfron packing 11.3kg/cyl intended for MKTI - freon request for Aircon as per PO6197.</t>
  </si>
  <si>
    <t>2026-0259</t>
  </si>
  <si>
    <t>RFP30</t>
  </si>
  <si>
    <t>Payment for portable steam cleaner intended for steam cleaner for company vehicles as per RFP30.</t>
  </si>
  <si>
    <t>BORROWED FUND</t>
  </si>
  <si>
    <t>2026-0260</t>
  </si>
  <si>
    <t>19-325539-8</t>
  </si>
  <si>
    <t>NOV24-JAN23</t>
  </si>
  <si>
    <t>Water consumption for Villa Josefina Under MRJ for the period of Nov 24, 2025 - Jan 23, 2026.</t>
  </si>
  <si>
    <t>2026-0261</t>
  </si>
  <si>
    <t>JIB-REPLE26-004</t>
  </si>
  <si>
    <t>Various expenses related to marketing cost held from PCF establishment subj for 4th replenishment for 2026 ref. CV2025-2162 and CV2025-2558.</t>
  </si>
  <si>
    <t>02.04.2026</t>
  </si>
  <si>
    <t>borrowed from 02.03.2026 2.3M Encashment CV2026-0246 under OPEX</t>
  </si>
  <si>
    <t>2026-0262</t>
  </si>
  <si>
    <t>PO6198</t>
  </si>
  <si>
    <t>PR4670</t>
  </si>
  <si>
    <t>Davao Golden Hardware</t>
  </si>
  <si>
    <t>Payment for various Neltex pipe sanitary, wye sanitary and elbow sanitary intended for building floor slab - plumbing as per PO6198.</t>
  </si>
  <si>
    <t>2026-0263</t>
  </si>
  <si>
    <t>PO6200</t>
  </si>
  <si>
    <t>Mit &amp; Company</t>
  </si>
  <si>
    <t>Payment for various Neltex floor clean out intended for building floor slab - plumbing as per PO6200.</t>
  </si>
  <si>
    <t>2026-0264</t>
  </si>
  <si>
    <t>PO6199</t>
  </si>
  <si>
    <t>GDSM Marketing</t>
  </si>
  <si>
    <t>Payment for 3 inches pipe sanitary S1000 intended for building floor slab - plumbing as per PO6199.</t>
  </si>
  <si>
    <t>2026-0265</t>
  </si>
  <si>
    <t>TRF2026-007</t>
  </si>
  <si>
    <t>Jazzel Mojado</t>
  </si>
  <si>
    <t>Travel allowance to Kidapawan City and Pikit North Cotabato on Feb 6, 2026 with driver to submit documents and claim LOA at BIR Kidapawan office and transmit PNB documents to Ma'am Laklak at Pikit Cotabato as per TRF2026-007, subject for liquidation.</t>
  </si>
  <si>
    <t>02.05.2026</t>
  </si>
  <si>
    <t>from 1st 50K OPEX</t>
  </si>
  <si>
    <t>Meals &amp; Beverages</t>
  </si>
  <si>
    <t>Input VAT - Admin</t>
  </si>
  <si>
    <t>2026-0266</t>
  </si>
  <si>
    <t>RFP36</t>
  </si>
  <si>
    <t>Full payment for painting works intended for repair of MG as per RFP36, subject for liquidation.</t>
  </si>
  <si>
    <t>2026-0267</t>
  </si>
  <si>
    <t>RFP37</t>
  </si>
  <si>
    <t>Denis Alapan</t>
  </si>
  <si>
    <t>Payment for painting works intended for repaint of Avila as per RFP37.</t>
  </si>
  <si>
    <t>Reim to RCJ</t>
  </si>
  <si>
    <t>02.23.2026</t>
  </si>
  <si>
    <t>from 02.20.2026 500K Encashment CV2026-0396</t>
  </si>
  <si>
    <t>2026-0268</t>
  </si>
  <si>
    <t>RFP38</t>
  </si>
  <si>
    <t>Domingo Doyongan Jr.</t>
  </si>
  <si>
    <t>Payment for minor sponsorship of the Davao-Samal Cross Channel event on March 08, 2026.</t>
  </si>
  <si>
    <t>Paid via GCASH transfer</t>
  </si>
  <si>
    <t>from 01.30.2026 2.3M Encashment under OPEX 50K</t>
  </si>
  <si>
    <t>2026-0269</t>
  </si>
  <si>
    <t>Encashment from SECBANK MRJ intended for Admin Logistics and Sales various request, amortizations and Admin - Jluna OPEX.</t>
  </si>
  <si>
    <t>0001140976</t>
  </si>
  <si>
    <t>Secbank MRJ</t>
  </si>
  <si>
    <t>from Secbank MRJ personal account</t>
  </si>
  <si>
    <t>2026-0270</t>
  </si>
  <si>
    <t>Encashment from Secbank MRJ personal intended for Eastwest,BPI, PNB Peso - MRJ and PNB Peso - SPJ credit cards payment and money changer Peso to Dirhams (50,000.00).</t>
  </si>
  <si>
    <t>0001140977</t>
  </si>
  <si>
    <t>2026-0271</t>
  </si>
  <si>
    <t>RFP35</t>
  </si>
  <si>
    <t>Fuel intended for OMET vehicles, trucks and genset for week Feb 09 - 15, 2026 week 02 as per RFP35, subject for liquidation.</t>
  </si>
  <si>
    <t>2026-0272</t>
  </si>
  <si>
    <t>PO6215</t>
  </si>
  <si>
    <t>PR4684</t>
  </si>
  <si>
    <t>Payment for gravel YY 3/4 intended for building floor slab - swimming pool, as per PO6215.</t>
  </si>
  <si>
    <t>2026-0273</t>
  </si>
  <si>
    <t>PO6210</t>
  </si>
  <si>
    <t>PR4675</t>
  </si>
  <si>
    <t>IPHT Storage, Inc.</t>
  </si>
  <si>
    <t>Payment for Ingco HLL306505 Self-leveling line laser red laser beam 0-20m IPT intended for OMET Croc Park - request for self-leveling laser (Ingco) as per PO6210.</t>
  </si>
  <si>
    <t>Cash payment c/o Angel</t>
  </si>
  <si>
    <t>02.18.2026</t>
  </si>
  <si>
    <t>2026-0274</t>
  </si>
  <si>
    <t>PO6148</t>
  </si>
  <si>
    <t>Payment for hand wire brush 6, cup wire brush (grinder) 4, rust remover liquid and cleaning rags intended for OMET Croc Park - rust removal and repainting for temp structure as per PO6148.</t>
  </si>
  <si>
    <t>2026-0275</t>
  </si>
  <si>
    <t>PO6147</t>
  </si>
  <si>
    <t>Payment for cement and 6mm drill bit for granite intended for MKTI for ground floor door widening as per PO6147.</t>
  </si>
  <si>
    <t>03.07.2026</t>
  </si>
  <si>
    <t>from Encashment 500K CV2026-0509 03.06.2026</t>
  </si>
  <si>
    <t>2026-0276</t>
  </si>
  <si>
    <t>PO6213</t>
  </si>
  <si>
    <t>PR4677</t>
  </si>
  <si>
    <t>Payment for plexibond intended for MKTI - additional flexibond for waterproofing as per PO6213.</t>
  </si>
  <si>
    <t>Cash Payment c/o Angel</t>
  </si>
  <si>
    <t>2026-0277</t>
  </si>
  <si>
    <t>PO6214</t>
  </si>
  <si>
    <t>PR4681</t>
  </si>
  <si>
    <t>Payment for water plug intended for waterproofing of cistern tank for fire pro as per PO6214.</t>
  </si>
  <si>
    <t>2026-0278</t>
  </si>
  <si>
    <t>PO6208</t>
  </si>
  <si>
    <t>PR4674</t>
  </si>
  <si>
    <t>Payment for THHN wire #80 sq mm, PVC connector 2 inches and cable tie intended for materials for power pump room as per PO6208.</t>
  </si>
  <si>
    <t>REVISED VOUCHER - CANCELLATION DUE TO CHANGE OF PRICE</t>
  </si>
  <si>
    <t>PLEASE REFER CV2026-0446</t>
  </si>
  <si>
    <t>2026-0279</t>
  </si>
  <si>
    <t>PO6209</t>
  </si>
  <si>
    <t>Payment for THHN wire #14 sq mm (green) and electrical tape intended for materials for power pump room as per PO6209.</t>
  </si>
  <si>
    <t>CANCELLATION DUE TO CHANGE OF SUPPLIER FROM JCA TO THUNDER</t>
  </si>
  <si>
    <t>PLEASE REFER TO CV2026-0447</t>
  </si>
  <si>
    <t>2026-0280</t>
  </si>
  <si>
    <t>Cash In Bank - SecBank MRJ</t>
  </si>
  <si>
    <t>Refund to MRJ Secbank Personal issued intended for Admin Logistics and Sales various request, amortization and Admin OPEX.</t>
  </si>
  <si>
    <t>Check deposit to SECBANK - MRJ</t>
  </si>
  <si>
    <t>0000000003</t>
  </si>
  <si>
    <t>from MayBank RR/OMET JV fund</t>
  </si>
  <si>
    <t>2026-0281</t>
  </si>
  <si>
    <t>PO6211</t>
  </si>
  <si>
    <t>PR4683</t>
  </si>
  <si>
    <t>Payment for W 24x55x12m and welding rod intended for I-beam for intermediate beam as per PO6211.</t>
  </si>
  <si>
    <t>PAID TO RCJ DATED 04/05/2026</t>
  </si>
  <si>
    <t>2026-0282</t>
  </si>
  <si>
    <t>Payment of Eastwest credit card of MRJ for the month of February 2026, with card number 5179-8882-8428-6012.</t>
  </si>
  <si>
    <t>from 02.05.2026 600K Encashment CV2026-0270</t>
  </si>
  <si>
    <t>2026-0283</t>
  </si>
  <si>
    <t>Payment of BPI credit card of MRJ for the month of February 2026, with card number 4608-8878-0155-2314.</t>
  </si>
  <si>
    <t>2026-0284</t>
  </si>
  <si>
    <t>Payment of PNB Credit Card Peso of MRJ for the month of February 2026, with card number 5522-8098-0064-5980.</t>
  </si>
  <si>
    <t>2026-0285</t>
  </si>
  <si>
    <t>Payment of PNB Credit Card Peso of SPJ for the month of February 2026, with card number 5437-6190-0233-8530.</t>
  </si>
  <si>
    <t>2026-0286</t>
  </si>
  <si>
    <t>Money changer PESO to DIRHAMS worth Php 50,000.00, as per SPJ instruction.</t>
  </si>
  <si>
    <t>Cash c/o John Baltazar</t>
  </si>
  <si>
    <t>2026-0287</t>
  </si>
  <si>
    <t>Cash deposit to BPI Rivera OMET intended for  February autoloans.</t>
  </si>
  <si>
    <t>2026-0288</t>
  </si>
  <si>
    <t>Cash deposit to LBP OMET intended for payment for Urban Hive for the month of February.</t>
  </si>
  <si>
    <t>2026-0289</t>
  </si>
  <si>
    <t>Fund transfer from PNB Savings OMET to EGOV intended for SSS Dec 2025, SSS (Vince) for the month of August 2025, PhilHealth for the months of Feb - Mar 2025 and SSS (J. Pedres) for the months of Feb &amp; Mar 2025.</t>
  </si>
  <si>
    <t>2026-0290</t>
  </si>
  <si>
    <t>Fund transfer from PNB Savings OMET to EGOV intended for SSS Loan payment of Madam Imelda.</t>
  </si>
  <si>
    <t>2026-0291</t>
  </si>
  <si>
    <t>21-358583-7</t>
  </si>
  <si>
    <t>JAN20-FEB04</t>
  </si>
  <si>
    <t>Water consumption for SPMC for the period Jan 20 - Feb 04, 2026 with account no. 21-358583-7.</t>
  </si>
  <si>
    <t>2026-0292</t>
  </si>
  <si>
    <t>18-312818-5</t>
  </si>
  <si>
    <t>DEC23-JAN23</t>
  </si>
  <si>
    <t>Water consumption of Capili under MRJ for the month of Dec 23, 2025 to Jan 23, 2026, with account number 18-312818-5.</t>
  </si>
  <si>
    <t>2026-0293</t>
  </si>
  <si>
    <t>1559398707-4</t>
  </si>
  <si>
    <t>NOV10-JAN10</t>
  </si>
  <si>
    <t>Light and power consumption  for MKTI PH4 for the period of Nov 10, 2025 to Jan 10, 2026.</t>
  </si>
  <si>
    <t>2026-0294</t>
  </si>
  <si>
    <t>Check deposit to PNB Joint OR account as per SPJ instruction.</t>
  </si>
  <si>
    <t>02.08.2026</t>
  </si>
  <si>
    <t>PNB MRJ AND SPJ</t>
  </si>
  <si>
    <t>from PNB Joint AND account 4085-70003818</t>
  </si>
  <si>
    <t>2026-0295</t>
  </si>
  <si>
    <t>Encashment from Sterling OMET intended for various OMET transactions.</t>
  </si>
  <si>
    <t>2026-0296</t>
  </si>
  <si>
    <t>Cash deposit to PNB Savings OMET intended for Blackfish telegraphic transfer transaction.</t>
  </si>
  <si>
    <t>2026-0297</t>
  </si>
  <si>
    <t>2026-0298</t>
  </si>
  <si>
    <t>Allowance during meeting at SPMC last Feb 04, 2026, subject for reimbursement.</t>
  </si>
  <si>
    <t>2026-0299</t>
  </si>
  <si>
    <t>Payment for customs duties intended for FS Singapore.</t>
  </si>
  <si>
    <t>2026-0300</t>
  </si>
  <si>
    <t>Payment to broker for additional charges intended for importation of materials from Shanghai, China with BL No. 142503812903UWS.</t>
  </si>
  <si>
    <t>2026-0301</t>
  </si>
  <si>
    <t>JF Digital Solution</t>
  </si>
  <si>
    <t>Softwares</t>
  </si>
  <si>
    <t>Payment for OneMark.PH domain and website hosting renewal for the year 2026.</t>
  </si>
  <si>
    <t>2026-0302</t>
  </si>
  <si>
    <t>DEC16-JAN15</t>
  </si>
  <si>
    <t>Globe Telecom</t>
  </si>
  <si>
    <t>Communication - Internet Sub</t>
  </si>
  <si>
    <t>Internet line subscription of D10 and D6 office for the period Dec 16 - Jan 15, 2026  with account number 927404116.</t>
  </si>
  <si>
    <t>via Gcash Bills Payment</t>
  </si>
  <si>
    <t>Gcash</t>
  </si>
  <si>
    <t>02.14.2026</t>
  </si>
  <si>
    <t>from Utilities fund</t>
  </si>
  <si>
    <t>Ref. No. 9769 7503 5 dated 02/14/2026</t>
  </si>
  <si>
    <t>2026-0303</t>
  </si>
  <si>
    <t>Internet line subscription of Villa Josefina for the period Dec 16 - Jan 15, 2026  with account number 929950485.</t>
  </si>
  <si>
    <t>Ref. No. 9769 5606 4 dated 02/14/2026</t>
  </si>
  <si>
    <t>2026-0304</t>
  </si>
  <si>
    <t>0251583420</t>
  </si>
  <si>
    <t>DEC18-JAN17</t>
  </si>
  <si>
    <t>PLDT Inc.</t>
  </si>
  <si>
    <t>Payment for IWHA and Door 6 office internet bill for the period of Dec 18, 2025 - Jan 17, 2026.</t>
  </si>
  <si>
    <t>Paid via PNB Bills Payment</t>
  </si>
  <si>
    <t>from Utilities Fund</t>
  </si>
  <si>
    <t>Txn Ref #: BBS4003971026021000006</t>
  </si>
  <si>
    <t>2026-0305</t>
  </si>
  <si>
    <t>RFP2026-026</t>
  </si>
  <si>
    <t>Payment for van rental and petty cash (for meals, etc) intended for APMC post qua on Feb 12 - 14, 2026 as per RFP2026-026, subject for liquidation.</t>
  </si>
  <si>
    <t>Liquidated with original OR's</t>
  </si>
  <si>
    <t>2026-0306</t>
  </si>
  <si>
    <t>PO6222</t>
  </si>
  <si>
    <t>PR4692</t>
  </si>
  <si>
    <t>Payment for Holcim cement 100 bags intended for building floor slab as per PO6222.</t>
  </si>
  <si>
    <t>FUNDED</t>
  </si>
  <si>
    <t>2026-0307</t>
  </si>
  <si>
    <t>PO6190</t>
  </si>
  <si>
    <t>PR4628</t>
  </si>
  <si>
    <t>Summer Warehouse</t>
  </si>
  <si>
    <t>Payment for 20x285cm WPC wall panels intended for Corange D6 conference room WPC panels installation as per PO6190.</t>
  </si>
  <si>
    <t>02.25.2026</t>
  </si>
  <si>
    <t>funded by Corange</t>
  </si>
  <si>
    <t>2026-0308</t>
  </si>
  <si>
    <t>PO6191</t>
  </si>
  <si>
    <t>Payment for metal furring (studs), metal track (top and bottom) and wall angle / flat bar bracing intended for Corange D6 conference room WPC panels installation as per PO6191.</t>
  </si>
  <si>
    <t>2026-0309</t>
  </si>
  <si>
    <t>Full payment for purchase of 38 pcs/sets scrub sink with cabinet as per Invoice No. BFPI251125.</t>
  </si>
  <si>
    <t>2026-0310</t>
  </si>
  <si>
    <t>Full payment for purchase of 2 pcs/sets scrub sink with cabinet as per Invoice No. BFPI251215.</t>
  </si>
  <si>
    <t>2026-0311</t>
  </si>
  <si>
    <t>Partial Payment</t>
  </si>
  <si>
    <t>2026-0312</t>
  </si>
  <si>
    <t>RFP2026-027</t>
  </si>
  <si>
    <t>Cash advance for the purchase of office supplies to be used in the preparation of incoming biddings of the Procurement Department as per RFP2026-027, subject for liquidation.</t>
  </si>
  <si>
    <t>2026-0313</t>
  </si>
  <si>
    <t>RFP2026-028</t>
  </si>
  <si>
    <t>Office consumption for Jluna office and Corange office for the month of February 2026 as per RFP2026-028, subject for liquidation.</t>
  </si>
  <si>
    <t>2026-0314</t>
  </si>
  <si>
    <t>PO6223</t>
  </si>
  <si>
    <t>Payment for gravel YY 3/4 intended for building floor slab - swimming pool as per PO6223.</t>
  </si>
  <si>
    <t>2026-0315</t>
  </si>
  <si>
    <t>PO6216</t>
  </si>
  <si>
    <t>PR4663</t>
  </si>
  <si>
    <t>Payment for sandpaper 1000 grit, construction type ruler and 2 inches paint brush intended for OMET Croc Park temporary office additional materials for rust removal and restoration, as per PO6216.</t>
  </si>
  <si>
    <t>2026-0316</t>
  </si>
  <si>
    <t>PO6218</t>
  </si>
  <si>
    <t>PR4664</t>
  </si>
  <si>
    <t>Payment for 1/2 PPR elbow blue and faucet plastic intended for OMET Croc Park additional materials for temporary structure toilet, as per PO6218.</t>
  </si>
  <si>
    <t>2026-0317</t>
  </si>
  <si>
    <t>RFP2026-029</t>
  </si>
  <si>
    <t>Image Cars Davao, Inc.</t>
  </si>
  <si>
    <t>Payment for repair, parts, materials and labor intended for Subaru Forester XT 2.0 LAA 9810 preventive maintenance, as per RFP2026-029.</t>
  </si>
  <si>
    <t>2026-0318</t>
  </si>
  <si>
    <t>JAN16-31</t>
  </si>
  <si>
    <t>Security services rendered by MINSAS security guard covering the period Jan 16 - 31, 2026 at MKTI project site.</t>
  </si>
  <si>
    <t>2026-0319</t>
  </si>
  <si>
    <t>Security services rendered by MINSAS security guard covering the period Jan 16 - 31, 2026 at Admin-Jluna.</t>
  </si>
  <si>
    <t>2026-0320</t>
  </si>
  <si>
    <t>RFP2026-030</t>
  </si>
  <si>
    <t>Real Property Taxes</t>
  </si>
  <si>
    <t>Payment for Real Property Tax, Tax Declaration and Tax Clearance of Garage (RCJ/Imelda property) at Lot 5 Blk 60 Rosalina Village III with title T-426634, as per RFP2026-030.</t>
  </si>
  <si>
    <t>2026-0321</t>
  </si>
  <si>
    <t>RFP2026-031</t>
  </si>
  <si>
    <t>Payment for Real Property Tax, Tax Declaration and Tax Clearance of RCJ/Imelda property at Lot 5 Blk 60 Rosalina Village III with title 146-2024002969, as per RFP2026-031.</t>
  </si>
  <si>
    <t>2026-0322</t>
  </si>
  <si>
    <t>RFP2026-032</t>
  </si>
  <si>
    <t>Payment for Real Property Tax, Tax Declaration and Tax Clearance of Croc Park property with title 146-2021014093, as per RFP2026-032.</t>
  </si>
  <si>
    <t>Cash payment c/o John</t>
  </si>
  <si>
    <t>02.26-27.2026</t>
  </si>
  <si>
    <t>10K from Croc Park Overhead fund and remaining 1,385.84 from 02.20.2026 50K OPEX</t>
  </si>
  <si>
    <t>2026-0323</t>
  </si>
  <si>
    <t>RFP2026-033</t>
  </si>
  <si>
    <t>Cocogen Insurance, Inc.</t>
  </si>
  <si>
    <t>Bohol Supply</t>
  </si>
  <si>
    <t>Performance Bond</t>
  </si>
  <si>
    <t>Payment for performance bond - surety bond intended for Provincial Government of Bohol - City of Tagbilaran policy no. SU-G(13)-A-DV-24-0000065-00 for the procurement of brand new water pump, plastic barrels, and P.E hose, as per RFP2026-033.</t>
  </si>
  <si>
    <t>2026-0324</t>
  </si>
  <si>
    <t>TRF2026-008</t>
  </si>
  <si>
    <t>Advances intended for travel allowance to Kidapawan City on Feb 12, 2026 with driver to meet up Ma'am Laklak to transmit PNB documents as per TRF2026-008, subject for liquidation.</t>
  </si>
  <si>
    <t>2026-0325</t>
  </si>
  <si>
    <t>Borrowings of Corange Inc.</t>
  </si>
  <si>
    <t>Check payment c/o Syl</t>
  </si>
  <si>
    <t>0007536205</t>
  </si>
  <si>
    <t>02.11.2026</t>
  </si>
  <si>
    <t>2026-0326</t>
  </si>
  <si>
    <t>Encashment from Sterling OMET</t>
  </si>
  <si>
    <t>2026-0327</t>
  </si>
  <si>
    <t>Fund transfer from BDO BGC OMET to Sterling OMET</t>
  </si>
  <si>
    <t>2026-0328</t>
  </si>
  <si>
    <t>PO6232</t>
  </si>
  <si>
    <t>E-Light Electrical Lightings &amp; Supplies</t>
  </si>
  <si>
    <t>Payment for 20W hanging linear light with led tube intended for OMET Croc Park temporary office furnishing as per PO6232.</t>
  </si>
  <si>
    <t>from 02.24.2026 Encashment CV2026-0420</t>
  </si>
  <si>
    <t>ORIGINAL PO PRICE IS 6,240.00 WAS CHANGE TO 6,260.00</t>
  </si>
  <si>
    <t>2026-0329</t>
  </si>
  <si>
    <t>PO6231</t>
  </si>
  <si>
    <t>Payment for 5W pinlight and 7W spotlight intended for OMET Croc Park temporary office furnishing as per PO6231.</t>
  </si>
  <si>
    <t>2026-0330</t>
  </si>
  <si>
    <t>CARF003</t>
  </si>
  <si>
    <t>Elymar Mariano</t>
  </si>
  <si>
    <t>Salary advances subject for payroll deduction of  P1,500.00 per payroll.</t>
  </si>
  <si>
    <t>2026-0331</t>
  </si>
  <si>
    <t>CARF004</t>
  </si>
  <si>
    <t>Salary advances subject for payroll deduction of  P2,000.00 per payroll.</t>
  </si>
  <si>
    <t>2026-0332</t>
  </si>
  <si>
    <t>PO6226</t>
  </si>
  <si>
    <t>PR4694</t>
  </si>
  <si>
    <t>Payment for #4 floor drain intended for MKTI floor drain requests for dialyzer as per PO6226.</t>
  </si>
  <si>
    <t>2026-0333</t>
  </si>
  <si>
    <t>PO6228</t>
  </si>
  <si>
    <t>PR4690</t>
  </si>
  <si>
    <t>Payment for 3.5 sq mm wire intended for MKTI wire materials for roof deck water tanks automatic valves, as per PO6228.</t>
  </si>
  <si>
    <t>2026-0334</t>
  </si>
  <si>
    <t>PO6229</t>
  </si>
  <si>
    <t>PR4689</t>
  </si>
  <si>
    <t>Payment for 30cmx30cm exhaust fan intended for MKTI additional exhaust fan for 4F toilet, as per PO6229.</t>
  </si>
  <si>
    <t>2026-0335</t>
  </si>
  <si>
    <t>PO6227</t>
  </si>
  <si>
    <t>PR4691</t>
  </si>
  <si>
    <t>Payment for bidet, shower heads (wall type), bathroom faucet (wall type), 3 way valve (for bidet), and floor cleanout intended for MKTI additional bidets, shower heads, faucets and accessories as per PO6227.</t>
  </si>
  <si>
    <t>2026-0336</t>
  </si>
  <si>
    <t>202507-07</t>
  </si>
  <si>
    <t>PB1 &amp; FB</t>
  </si>
  <si>
    <t>Carl Dave Tupaz</t>
  </si>
  <si>
    <t>SNML</t>
  </si>
  <si>
    <t>Payment for 1st and final billing for ATS and generator set installation as per contract number 202507-07, Feb 09 - 15, 2026 week 02.</t>
  </si>
  <si>
    <t>2026-0337</t>
  </si>
  <si>
    <t>Marketing cost for APMC project during post qua.</t>
  </si>
  <si>
    <t>2026-0338</t>
  </si>
  <si>
    <t>Payment for SEC</t>
  </si>
  <si>
    <t>2026-0339</t>
  </si>
  <si>
    <t>2026-0340</t>
  </si>
  <si>
    <t>PO6234</t>
  </si>
  <si>
    <t>PR4695</t>
  </si>
  <si>
    <t>Payment for safety boots rubber intended for OMET Croc Park - PPE Safety boots as per PO6234.</t>
  </si>
  <si>
    <t>2026-0341</t>
  </si>
  <si>
    <t>RFP2026-034</t>
  </si>
  <si>
    <t>Pouring allowance intended for OMET Croc Park as per RFP2026-034, subject for liquidation.</t>
  </si>
  <si>
    <t>2026-0342</t>
  </si>
  <si>
    <t>REIM-RCJ26-003</t>
  </si>
  <si>
    <t>Various expenses of RCJ, subject for reimbursement, as per REIM26-003.</t>
  </si>
  <si>
    <t>2026-0343</t>
  </si>
  <si>
    <t>Cash withdrawal from PNB Savings OMET to return fund borrowed from Safecon Croc Park fund.</t>
  </si>
  <si>
    <t>2026-0344</t>
  </si>
  <si>
    <t>Encashment from PNB RCJ Checking account to fund 50% partial release of payrolls.</t>
  </si>
  <si>
    <t>2026-0345</t>
  </si>
  <si>
    <t>Cash deposit of 119,000.00 to PNB Savings OMET and 6,000.00 for cash basis to fund 50% partial release of semi-monthly payroll for Mindanao.</t>
  </si>
  <si>
    <t>2026-0346</t>
  </si>
  <si>
    <t>Cash deposit to PNB OMET BGC to fund 50% partial release of semi-monthly payroll for BGC.</t>
  </si>
  <si>
    <t>2026-0347</t>
  </si>
  <si>
    <t>Cash deposit to fund 50% partial release for site semi-monthly payroll for BGC c/o Lindon Martin.</t>
  </si>
  <si>
    <t>2026-0348</t>
  </si>
  <si>
    <t>2026-0349</t>
  </si>
  <si>
    <t>Fund transfer to Corange to fund 50% partial release of semi-monthly payroll for Admin-Tech.</t>
  </si>
  <si>
    <t>2026-0350</t>
  </si>
  <si>
    <t>RFP41</t>
  </si>
  <si>
    <t>Fuel intended for OMET vehicles, trucks and genset for week Feb 16 - 22, 2026 week 03 as per RFP41, subject for liquidation.</t>
  </si>
  <si>
    <t>Cash release to Carlou</t>
  </si>
  <si>
    <t xml:space="preserve">from OPEX </t>
  </si>
  <si>
    <t>2026-0351</t>
  </si>
  <si>
    <t>PO6155</t>
  </si>
  <si>
    <t>PR4638</t>
  </si>
  <si>
    <t>Cagayan Modern Electrical Supply &amp; General Merchandise</t>
  </si>
  <si>
    <t>NMMC HLK</t>
  </si>
  <si>
    <t>Payment for various THHN wire, rubber tape, electrical tape, two bolt connector, split bolt connector and EMT pipe 3/4" dia intended for additional wire for HLK aircon as per PO6155.</t>
  </si>
  <si>
    <t>2026-0352</t>
  </si>
  <si>
    <t>PO6170</t>
  </si>
  <si>
    <t>PR4647</t>
  </si>
  <si>
    <t>Payment for electrical tape, 1 gang switch, wire 5.5mm and 1 inch PVC moulding intended for MKTI electrical additional materials 01/19/2026, as per PO6170.</t>
  </si>
  <si>
    <t>2026-0353</t>
  </si>
  <si>
    <t>PO6171</t>
  </si>
  <si>
    <t>Payment for 17W LED bulb daylight intended for MKTI electrical additional materials 01/19/2026, as per PO6171.</t>
  </si>
  <si>
    <t>2026-0354</t>
  </si>
  <si>
    <t>PO6235</t>
  </si>
  <si>
    <t>PR4697</t>
  </si>
  <si>
    <t>Payment for flange nut 12mm, circular intended for OMET Croc Park formworks and scaffolding, as per PO6235.</t>
  </si>
  <si>
    <t>2026-0355</t>
  </si>
  <si>
    <t>2026-0356</t>
  </si>
  <si>
    <t>2026-0357</t>
  </si>
  <si>
    <t>RFP42</t>
  </si>
  <si>
    <t>Payment for mechanic of Boom truck (CAF 8729), MG5 (LAJ 4178), Fortuner (KEA 920), Trailer of Jetski and Innova (NBR 1308) as per RFP42, subject for liquidation.</t>
  </si>
  <si>
    <t>Cash Payment to Ondoy</t>
  </si>
  <si>
    <t>2026-0358</t>
  </si>
  <si>
    <t>Cash deposit of 119,000.00 to PNB Savings OMET and 6,000.00 for cash basis to fund 50% full release of semi-monthly payroll for Mindanao and BGC.</t>
  </si>
  <si>
    <t>2026-0359</t>
  </si>
  <si>
    <t>Payment to RCJ for funding the 50% partial release of payroll last 02/13/2026.</t>
  </si>
  <si>
    <t>2026-0360</t>
  </si>
  <si>
    <t>Cash deposit to fund 50% full release for site semi-monthly payroll for BGC c/o Lindon Martin.</t>
  </si>
  <si>
    <t>2026-0361</t>
  </si>
  <si>
    <t>FEB2026</t>
  </si>
  <si>
    <t>Rental for Iwha staff house for the month of February 2026.</t>
  </si>
  <si>
    <t>2026-0362</t>
  </si>
  <si>
    <t>50% Partial deposit intended for Household expenses for the month of FEBRUARY 2026.</t>
  </si>
  <si>
    <t>2026-0363</t>
  </si>
  <si>
    <t>Fund transfer to Corange to fund 50% full release of semi-monthly payroll for Admin-Tech.</t>
  </si>
  <si>
    <t>2026-0364</t>
  </si>
  <si>
    <t>Cash deposit to PNB BGC OMET intended for labor for plumbing under PGH PH1 project.</t>
  </si>
  <si>
    <t>2026-0365</t>
  </si>
  <si>
    <t>Cash deposit to Ahmad Dean BDO account intended for labor for plumbing under PGH PH1 project.</t>
  </si>
  <si>
    <t>2026-0366</t>
  </si>
  <si>
    <t>Cash deposit to PNB BGC OMET intended for plumbing materials.</t>
  </si>
  <si>
    <t>2026-0367</t>
  </si>
  <si>
    <t>FEB01-15</t>
  </si>
  <si>
    <t>Security services rendered by MINSAS security guard covering the period Feb 01 - 15, 2026 at MKTI project site.</t>
  </si>
  <si>
    <t>2026-0368</t>
  </si>
  <si>
    <t>Security services rendered by MINSAS security guard covering the period Feb 01 - 15, 2026 at Admin-Jluna.</t>
  </si>
  <si>
    <t>2026-0369</t>
  </si>
  <si>
    <t>PO6247</t>
  </si>
  <si>
    <t>PR4709</t>
  </si>
  <si>
    <t>PNP Parking</t>
  </si>
  <si>
    <t>Payment for plexibond (Boysen) B-7760, paint roller #7 and paint brush #4 intended for PNP Parking waterproofing repair, as per PO6247.</t>
  </si>
  <si>
    <t>2026-0370</t>
  </si>
  <si>
    <t>PO6248</t>
  </si>
  <si>
    <t>Payment for cement (Holcim) and cutting disc 4" intended for PNP Parking waterproofing repair, as per PO6248.</t>
  </si>
  <si>
    <t>2026-0371</t>
  </si>
  <si>
    <t>Payment for flange nut 12mm circular intended for OMET Croc Park - formworks and scaffolding, as per PO6235.</t>
  </si>
  <si>
    <t>2026-0372</t>
  </si>
  <si>
    <t>PO6246</t>
  </si>
  <si>
    <t>PR4707</t>
  </si>
  <si>
    <t>Payment for hollow PVC board 18mm (4ft x 8ft) intended for OMET Croc Park formworks pedestal and tie beam, as per PO6246.</t>
  </si>
  <si>
    <t>2026-0373</t>
  </si>
  <si>
    <t>Cash withdrawal from PNB Savings OMET to fund Chinabank OMET account due to negative balance, as per AGB instruction.</t>
  </si>
  <si>
    <t>Cash withdrawal c/o Jazz</t>
  </si>
  <si>
    <t>from PNB Savings OMET fund</t>
  </si>
  <si>
    <t>2026-0374</t>
  </si>
  <si>
    <t>Cash deposit to Chinabank OMET as maintaining balance, as per AGB instruction.</t>
  </si>
  <si>
    <t>2026-0375</t>
  </si>
  <si>
    <t>RFP2026-035</t>
  </si>
  <si>
    <t>Payment for air freight fee of grease trap from Manila to Davao and materials for packing and preparing grease trap for shipment as per RFP2026-035, subject for liquidation.</t>
  </si>
  <si>
    <t>2026-0376</t>
  </si>
  <si>
    <t>PB1</t>
  </si>
  <si>
    <t>Jovito Peritos</t>
  </si>
  <si>
    <t>Payment for 1st progress billing with 70% work accomplishment for labor of rectification of painting works due to earthquake.</t>
  </si>
  <si>
    <t>2026-0377</t>
  </si>
  <si>
    <t>RFP43</t>
  </si>
  <si>
    <t>Payment for flat latex white 2 gal intended for painting materials of MKTI PH4, as per RFP43.</t>
  </si>
  <si>
    <t>02.19.2026</t>
  </si>
  <si>
    <t>from PCF 20K</t>
  </si>
  <si>
    <t>2026-0378</t>
  </si>
  <si>
    <t>CARF005</t>
  </si>
  <si>
    <t>Jhon Clifford Arriesgado</t>
  </si>
  <si>
    <t>2026-0379</t>
  </si>
  <si>
    <t>PO6253</t>
  </si>
  <si>
    <t>PR4718</t>
  </si>
  <si>
    <t>Payment for vulcaseal 2 gal intended for SPMC Pahulayan materials for leaks and rectification, as per PO6253.</t>
  </si>
  <si>
    <t>2026-0380</t>
  </si>
  <si>
    <t>PO6257</t>
  </si>
  <si>
    <t>PR4717</t>
  </si>
  <si>
    <t>South Davao Gasul Trade Corporation</t>
  </si>
  <si>
    <t>Overhead Cost</t>
  </si>
  <si>
    <t>Payment for oxygen tank intended for MKTI oxygen and LPG materials for cutting of additional water treatment room I-beam, as per PO6257.</t>
  </si>
  <si>
    <t>02.20.2026</t>
  </si>
  <si>
    <t>2026-0381</t>
  </si>
  <si>
    <t>RFP44</t>
  </si>
  <si>
    <t>Payment to Tata Sala (Carpenter) intended for labor for carpentry works of 1 unit long table with contract amount of 25,000.00, as per RFP44.</t>
  </si>
  <si>
    <t>Cash payment to RCJ</t>
  </si>
  <si>
    <t>03.12.2026</t>
  </si>
  <si>
    <t>from OPEX 30K</t>
  </si>
  <si>
    <t>2026-0382</t>
  </si>
  <si>
    <t>MC Alforque Glass &amp; Aluminum Works</t>
  </si>
  <si>
    <t>50% Full payment for MC Alforque  Glassworks intended for 4F partition glass with double swing door.</t>
  </si>
  <si>
    <t>2026-0383</t>
  </si>
  <si>
    <t>JIB-REPLE26-005</t>
  </si>
  <si>
    <t>Various expenses related to marketing cost held from PCF establishment subj for 5th replenishment for 2026 ref. CV2025-2162 and CV2025-2558.</t>
  </si>
  <si>
    <t>LIQUIDATED</t>
  </si>
  <si>
    <t>borrowed from PNB Savings OMET</t>
  </si>
  <si>
    <t>Cash deposit to Jib c/o Jazz</t>
  </si>
  <si>
    <t>Transportation and Travel Expense</t>
  </si>
  <si>
    <t>Marketing Expense</t>
  </si>
  <si>
    <t>2026-0384</t>
  </si>
  <si>
    <t>Additional allowance for Jib as per AGB instruction, subject for liquidation.</t>
  </si>
  <si>
    <t>2026-0385</t>
  </si>
  <si>
    <t>Cash withdrawal from PNB Savings OMET intended for LAZADA PO6187 under PNP Hospital ref CV2026-0231, Jibrielle 5th PCF reple ref CV2026-0383 and Jibrielle additional allowance ref CV2026-0384.</t>
  </si>
  <si>
    <t>2026-0386</t>
  </si>
  <si>
    <t>Encashment from Sterling OMET with Check No. 0007536208 dated 02/19/2026 intended for various OMET transactions.</t>
  </si>
  <si>
    <t>0007536208</t>
  </si>
  <si>
    <t>2026-0387</t>
  </si>
  <si>
    <t>from 02.19.2026 150K Encashment CV2026-0386</t>
  </si>
  <si>
    <t>2026-0388</t>
  </si>
  <si>
    <t>Refund to PNB Savings OMET from Jibrielle 5th PCF reple CV2026-0383 and additional allowance CV2026-0384 borrowed fund.</t>
  </si>
  <si>
    <t>2026-0389</t>
  </si>
  <si>
    <t>Cash deposit to PNB BGC OMET, as per AGB instruction.</t>
  </si>
  <si>
    <t>2026-0390</t>
  </si>
  <si>
    <t>Payment for processing fee of Pikit legal documents.</t>
  </si>
  <si>
    <t>Paid thru Gcash transfer</t>
  </si>
  <si>
    <t>GCash</t>
  </si>
  <si>
    <t>from OPEX</t>
  </si>
  <si>
    <t>2026-0391</t>
  </si>
  <si>
    <t>PO6178</t>
  </si>
  <si>
    <t>Payment for flexible hose 1/2 x 16" length intended for balance fixture (PNP plumbing), as per PO6178.</t>
  </si>
  <si>
    <t>2026-0392</t>
  </si>
  <si>
    <t>IQuick Homes Davao</t>
  </si>
  <si>
    <t>Payment for melamine plywood 4ft x 8ft 18mm sku:4022 intended for PNP Hospital restroom partition, as per PO6118.</t>
  </si>
  <si>
    <t>2026-0393</t>
  </si>
  <si>
    <t>Cash withdrawal from PNB Savings OMET intended for salary advances of Mariano - CV2026-0330 and Arriesgado - CV2026-0378.</t>
  </si>
  <si>
    <t>2026-0394</t>
  </si>
  <si>
    <t>Maria Villareal</t>
  </si>
  <si>
    <t>0000028350</t>
  </si>
  <si>
    <t>BDO BGC</t>
  </si>
  <si>
    <t>2026-0395</t>
  </si>
  <si>
    <t>Cash deposit to SPJ PNB payroll account, as per instruction.</t>
  </si>
  <si>
    <t>2026-0396</t>
  </si>
  <si>
    <t>Encashment from Sterling OMET intended for list of requests - Mindanao dated 02/19/2026 for the following: BIR, OPEX and Logistics.</t>
  </si>
  <si>
    <t>0007536209</t>
  </si>
  <si>
    <t>2026-0397</t>
  </si>
  <si>
    <t>Sep2025-Jan2026</t>
  </si>
  <si>
    <t>Miscellaneous Cost</t>
  </si>
  <si>
    <t>Payment for monthly email subcriptions intended for registered corporate email list of various OMET employees for the period Sep 2025 to Jan 2026.</t>
  </si>
  <si>
    <t>from OPEX 50K</t>
  </si>
  <si>
    <t>Seq# 96</t>
  </si>
  <si>
    <t>2026-0398</t>
  </si>
  <si>
    <t>Cash deposit to PNB Savings OMET</t>
  </si>
  <si>
    <t>2026-0399</t>
  </si>
  <si>
    <t>Andy Teodosio</t>
  </si>
  <si>
    <t>2026-0400</t>
  </si>
  <si>
    <t>RFP45</t>
  </si>
  <si>
    <t>Fuel intended for OMET vehicles, trucks and genset for week Feb 23 - Mar 01, 2026 week 04 as per RFP45, subject for liquidation.</t>
  </si>
  <si>
    <t>Cash payment to Carlou</t>
  </si>
  <si>
    <t>2026-0401</t>
  </si>
  <si>
    <t>RFP46</t>
  </si>
  <si>
    <t>Payment for piston ring, conrod bearing, piston with pin and conrod arm assy intended for repair of MAV 8274 (mini dumptruck green) as per RFP46, subject for liquidation.</t>
  </si>
  <si>
    <t>02.24.2026</t>
  </si>
  <si>
    <t>from 02.24.2026 84K Encashment CV2026-0423</t>
  </si>
  <si>
    <t>2026-0402</t>
  </si>
  <si>
    <t>PO6258</t>
  </si>
  <si>
    <t>Payment for ratchet 17mm-19mm 1/2" intended for OMET Croc Park formworks and scaffolding, as per PO6258.</t>
  </si>
  <si>
    <t>ON: 1073597236244954</t>
  </si>
  <si>
    <t>2026-0403</t>
  </si>
  <si>
    <t>PO6267</t>
  </si>
  <si>
    <t>PR4725</t>
  </si>
  <si>
    <t>Mapecon Philippines Inc</t>
  </si>
  <si>
    <t>50% down payment for termite proofing work and perforated pipes installation intended for soil treatment, as per PO6267.</t>
  </si>
  <si>
    <t>2026-0404</t>
  </si>
  <si>
    <t>50% Full payment for termite proofing work and perforated pipes installation intended for soil treatment, as per PO6267.</t>
  </si>
  <si>
    <t>2026-0405</t>
  </si>
  <si>
    <t>TRF2026-009</t>
  </si>
  <si>
    <t>Travel allowance to Marawi City on Feb 23, 2026 (3 days) with William Florenosos and Glenn Viana for contract signing and site inspection as per TRF2026-009, subject for liquidation.</t>
  </si>
  <si>
    <t>2026-0406</t>
  </si>
  <si>
    <t>TRF2026-010</t>
  </si>
  <si>
    <t>Mark Anthony Lozada</t>
  </si>
  <si>
    <t>Travel allowance to Marawi City and Bohol on Feb 23 - 27, 2026 (5 days) to conduct site visit as per TRF2026-010, subject for liquidation.</t>
  </si>
  <si>
    <t>2026-0407</t>
  </si>
  <si>
    <t>TRF2026-011</t>
  </si>
  <si>
    <t>Marie Franz Villafuerte</t>
  </si>
  <si>
    <t>Travel allowance to Marawi City on Feb 24 - 27, 2026 (4 days) with Jibrielle Gayak for precon meeting, contract signing, site survey and billing collection as per TRF2026-011, subject for liquidation.</t>
  </si>
  <si>
    <t>2026-0408</t>
  </si>
  <si>
    <t>TRF2026-012</t>
  </si>
  <si>
    <t>Rodrigo Nuñez</t>
  </si>
  <si>
    <t>Travel allowance to Marawi City on Feb 24 - 27, 2026 (4 days) with Jibrielle Gayak and Mark Lozada to pick up at Laguindingan Airport then travel to Marawi (as service driver) as per TRF2026-012, subject for liquiation c/o Jhelde.</t>
  </si>
  <si>
    <t>2026-0409</t>
  </si>
  <si>
    <t>Monthly tuition fee for 2nd semester of B.S in Nursing for 3rd year level of Altheya.</t>
  </si>
  <si>
    <t>Cash to Altheya</t>
  </si>
  <si>
    <t>02.27.2026</t>
  </si>
  <si>
    <t>2026-0410</t>
  </si>
  <si>
    <t>Encashment from STERLING OMET fund to fund BGC transactions ref CV2026-0412 and AGB ref CV2026-0413 as per instruction of MRJ.</t>
  </si>
  <si>
    <t>0007536210</t>
  </si>
  <si>
    <t>2026-0411</t>
  </si>
  <si>
    <t>Check deposit to Sterling OMET from BDO BGC fund to fund encashment CV2026-0410.</t>
  </si>
  <si>
    <t>0000028351</t>
  </si>
  <si>
    <t>2026-0412</t>
  </si>
  <si>
    <t>Cash deposit to PNB BGC OMET to fund project cost related transactions.</t>
  </si>
  <si>
    <t>from 02.23.2026 2.5M Encashment CV2026-0410</t>
  </si>
  <si>
    <t>2026-0413</t>
  </si>
  <si>
    <t>Cash deposit to AGB BDO account as per MRJ instruction.</t>
  </si>
  <si>
    <t>2026-0414</t>
  </si>
  <si>
    <t>RFP2026-036</t>
  </si>
  <si>
    <t>Payment for 2nd and final billing with 100% work accomplishment for labor of rectification of painting works due to earthquake (retouching cracked walls).</t>
  </si>
  <si>
    <t>25,000 FOR REIM TO RCJ</t>
  </si>
  <si>
    <t>2026-0415</t>
  </si>
  <si>
    <t>JAN11-FEB11</t>
  </si>
  <si>
    <t>Power consumption for the period of Jan 11 - Feb 11, 2026 of D10 office with account number 8215822313-9.</t>
  </si>
  <si>
    <t>03.09.2026</t>
  </si>
  <si>
    <t>2026-0416</t>
  </si>
  <si>
    <t>Power consumption for the period of Jan 11 - Feb 11, 2026 of Door 06 Corange office with account number 4790525717-7.</t>
  </si>
  <si>
    <t>2026-0417</t>
  </si>
  <si>
    <t>RFP47</t>
  </si>
  <si>
    <t>Payment for steam cleaner or portable steam cleaning machine intended for company vehicles as per RFP47.</t>
  </si>
  <si>
    <t>BORROWED FROM LOGISTICS FUND</t>
  </si>
  <si>
    <t>2026-0418</t>
  </si>
  <si>
    <t>PO6268</t>
  </si>
  <si>
    <t>PR4726</t>
  </si>
  <si>
    <t>Payment for 3.5mm wires intended for MKTI - wire material for roof deck water tanks automatic valves (additional wires), as per PO6268.</t>
  </si>
  <si>
    <t>2026-0419</t>
  </si>
  <si>
    <t>Payment for processing fee of Business Permit renewal of OMET Sole.</t>
  </si>
  <si>
    <t>2026-0420</t>
  </si>
  <si>
    <t>Encashment from PNB MRJ OR SPJ account intended for Croc Park and Villa Josefina request.</t>
  </si>
  <si>
    <t>PNB MRJ OR SPJ</t>
  </si>
  <si>
    <t>from PNB MRJ OR SPJ account - 4003-70009971</t>
  </si>
  <si>
    <t>2026-0421</t>
  </si>
  <si>
    <t>Encashment from BDO BGC OMET intended for MRJ Eastwest and BPI credit cards and SPJ PNB credit card, as per instruction.</t>
  </si>
  <si>
    <t>0000028352</t>
  </si>
  <si>
    <t>2026-0422</t>
  </si>
  <si>
    <t>Encashment from Sterling OMET intended for PNB MRJ OR SPJ account.</t>
  </si>
  <si>
    <t>0007536212</t>
  </si>
  <si>
    <t>2026-0423</t>
  </si>
  <si>
    <t>Encashment from Sterling OMET intended for various Mindanao request.</t>
  </si>
  <si>
    <t>0007536211</t>
  </si>
  <si>
    <t>2026-0424</t>
  </si>
  <si>
    <t>Check deposit to MRJ OR SPJ Chinabank account intended for Dusit Thani amortization.</t>
  </si>
  <si>
    <t>2026-0425</t>
  </si>
  <si>
    <t>Lina Abrantes</t>
  </si>
  <si>
    <t>Check deposit to Lina Abrantes, as per SPJ instruction.</t>
  </si>
  <si>
    <t>2026-0426</t>
  </si>
  <si>
    <t>Payment of Eastwest credit card of MRJ with card number 5179-8882-8428-6012.</t>
  </si>
  <si>
    <t>from 02.24.2026 550K Encashment CV2026-0421</t>
  </si>
  <si>
    <t>2026-0427</t>
  </si>
  <si>
    <t>Payment of BPI credit card of MRJ with card number 4608-8878-0155-2314.</t>
  </si>
  <si>
    <t>2026-0428</t>
  </si>
  <si>
    <t>Payment of PNB Credit Card Peso of SPJ with card number 5437-6190-0233-8530.</t>
  </si>
  <si>
    <t>2026-0429</t>
  </si>
  <si>
    <t>Payment for PNB Corporate loan principal due of 2,000,000.00 and interest of 821,500.00 for the period of 01/28/2026 to 02/28/2026 as per SI PN# Original loan old PN# 800012521070.</t>
  </si>
  <si>
    <t>Check payment c/o Jazz</t>
  </si>
  <si>
    <t>0007536220</t>
  </si>
  <si>
    <t>03.02.2026</t>
  </si>
  <si>
    <t>2026-0430</t>
  </si>
  <si>
    <t>RFP2026-037</t>
  </si>
  <si>
    <t>Payment for LTO registration renewal (ORCR) with SOP, CTPL insurance, emission and stencil of Toyota Hilux LAJ7864 Freedom white and Isuzu Dumptruck Elf MAV8274 Green as per RFP2026-037.</t>
  </si>
  <si>
    <t>Need on April 1st week</t>
  </si>
  <si>
    <t>2026-0431</t>
  </si>
  <si>
    <t>Bank of the Philippine Islands</t>
  </si>
  <si>
    <t>Payment for monthly loan amortization for the month of February 28, 2026 including interest. (Principal = 549,338.21 ; Interest = 376,296.67)</t>
  </si>
  <si>
    <t>Cash deposit to BPI OMET c/o Mae</t>
  </si>
  <si>
    <t>2026-0432</t>
  </si>
  <si>
    <t>Payment for monthly loan amortization for the month of March 29, 2026.</t>
  </si>
  <si>
    <t>AUTODEBIT</t>
  </si>
  <si>
    <t>03.30.2026</t>
  </si>
  <si>
    <t>BPI Ateneo/Azuela</t>
  </si>
  <si>
    <t>2026-0433</t>
  </si>
  <si>
    <t>Payment for monthly loan amortization for the month of April 29, 2026.</t>
  </si>
  <si>
    <t>PDC dated 04.29.2026</t>
  </si>
  <si>
    <t>04.29.2026</t>
  </si>
  <si>
    <t>BPI Rivera OMET</t>
  </si>
  <si>
    <t>from CV2026-0855</t>
  </si>
  <si>
    <t>2026-0434</t>
  </si>
  <si>
    <t>PDC</t>
  </si>
  <si>
    <t>Payment for monthly loan amortization for the month of May 29, 2026.</t>
  </si>
  <si>
    <t>PDC dated 05.29.2026</t>
  </si>
  <si>
    <t>05.29.2026</t>
  </si>
  <si>
    <t>2026-0435</t>
  </si>
  <si>
    <t>Payment for monthly loan amortization for the month of June 29, 2026.</t>
  </si>
  <si>
    <t>PDC dated 06.29.2026</t>
  </si>
  <si>
    <t>06.29.2026</t>
  </si>
  <si>
    <t>2026-0436</t>
  </si>
  <si>
    <t>Payment for monthly loan amortization for the month of July 29, 2026.</t>
  </si>
  <si>
    <t>PDC dated 07.29.2026</t>
  </si>
  <si>
    <t>07.29.2026</t>
  </si>
  <si>
    <t>2026-0437</t>
  </si>
  <si>
    <t>Payment for monthly loan amortization for the month of August 29, 2026.</t>
  </si>
  <si>
    <t>PDC dated 08.29.2026</t>
  </si>
  <si>
    <t>08.29.2026</t>
  </si>
  <si>
    <t>2026-0438</t>
  </si>
  <si>
    <t>Payment for monthly loan amortization for the month of September 29, 2026.</t>
  </si>
  <si>
    <t>PDC dated 09.29.2026</t>
  </si>
  <si>
    <t>09.29.2026</t>
  </si>
  <si>
    <t>2026-0439</t>
  </si>
  <si>
    <t>Payment for monthly loan amortization for the month of October 29, 2026.</t>
  </si>
  <si>
    <t>PDC dated 10.29.2026</t>
  </si>
  <si>
    <t>10.29.2026</t>
  </si>
  <si>
    <t>2026-0440</t>
  </si>
  <si>
    <t>Payment for monthly loan amortization for the month of November 29, 2026.</t>
  </si>
  <si>
    <t>PDC dated 11.29.2026</t>
  </si>
  <si>
    <t>11.29.2026</t>
  </si>
  <si>
    <t>2026-0441</t>
  </si>
  <si>
    <t>Payment for monthly loan amortization for the month of December 29, 2026.</t>
  </si>
  <si>
    <t>PDC dated 12.29.2026</t>
  </si>
  <si>
    <t>12.29.2026</t>
  </si>
  <si>
    <t>2026-0442</t>
  </si>
  <si>
    <t>Payment for monthly loan amortization for the month of January 29, 2027.</t>
  </si>
  <si>
    <t>PDC dated 01.29.2027</t>
  </si>
  <si>
    <t>01.29.2027</t>
  </si>
  <si>
    <t>2026-0443</t>
  </si>
  <si>
    <t>PO6274</t>
  </si>
  <si>
    <t>ECV Office Supplies Warehouse, Inc.</t>
  </si>
  <si>
    <t>Payment for small handheld white board, whiteboard marker and whiteboard eraser intended for SPMC Pahulayan materials for leaks and rectification, as per PO6274.</t>
  </si>
  <si>
    <t>2026-0444</t>
  </si>
  <si>
    <t>RFP2026-038</t>
  </si>
  <si>
    <t>Payment for bidding docs intended for bidding at VSMMC - Crank bed as per RFP2026-038, subject for liquidation.</t>
  </si>
  <si>
    <t>Endorsed to Ace 03/04/26</t>
  </si>
  <si>
    <t>funded by BGC</t>
  </si>
  <si>
    <t>2026-0445</t>
  </si>
  <si>
    <t>REIM-RCJ26-004</t>
  </si>
  <si>
    <t>Various expenses of RCJ, subject for reimbursement, as per REIM26-004.</t>
  </si>
  <si>
    <t>03.06.2026</t>
  </si>
  <si>
    <t>2026-0446</t>
  </si>
  <si>
    <t>Payment for THHN wire #80 sq mm, PVC connector 2 inch and cable tie intended for MKTI materials for power pump room, as per PO6208.</t>
  </si>
  <si>
    <t>2026-0447</t>
  </si>
  <si>
    <t>Payment for THHN wire #14 sq mm green and electrical tape intended for MKTI materials for power pump room, as per PO6209.</t>
  </si>
  <si>
    <t>2026-0448</t>
  </si>
  <si>
    <t>PO6276</t>
  </si>
  <si>
    <t>PR4680</t>
  </si>
  <si>
    <t>Payment for pipe bender head intended for 1/2" and 3/4" EMT pipe ECE work, as per PO6276.</t>
  </si>
  <si>
    <t>2026-0449</t>
  </si>
  <si>
    <t>SI10908</t>
  </si>
  <si>
    <t>JAN18-FEB18</t>
  </si>
  <si>
    <t>VDRC Marketing</t>
  </si>
  <si>
    <t>Rent - Office Equipment</t>
  </si>
  <si>
    <t>Ink all you can subscription for Cost and Accounting/Finance, Purchasing and Procurement for the period of Jan 18 - Feb 18, 2026.</t>
  </si>
  <si>
    <t>2026-0450</t>
  </si>
  <si>
    <t>PO6279</t>
  </si>
  <si>
    <t>PR4738</t>
  </si>
  <si>
    <t>Payment for square metal box 8"x8", EMT connector 3/4" and EMT wall mount clamp clips 3/4" intended for MKTI auditorium integration consumables, as per PO6279.</t>
  </si>
  <si>
    <t>2026-0451</t>
  </si>
  <si>
    <t>TRF2026-013</t>
  </si>
  <si>
    <t>Travel allowance to Marawi City on Mar 01 - 02, 2026 with driver for the submission of contract at APMC as per TRF2026-013, subject for liquiation.</t>
  </si>
  <si>
    <t>2026-0452</t>
  </si>
  <si>
    <t>RFP48</t>
  </si>
  <si>
    <t>Payment for Motolite Gold battery intended for loafbread MAU 1900 as per RFP48, subject for liquidation.</t>
  </si>
  <si>
    <t>05.14.2026</t>
  </si>
  <si>
    <t>CSI# 517 &amp; DR# 824 dated 02/27/2026</t>
  </si>
  <si>
    <t>2026-0453</t>
  </si>
  <si>
    <t>PB4 &amp; FB</t>
  </si>
  <si>
    <t>Payment for 4th and final billing of labor for fire protection system works with contract number 202507-04, Feb 23 - Mar 01, 2026 week 04.</t>
  </si>
  <si>
    <t>2026-0454</t>
  </si>
  <si>
    <t>202507-05</t>
  </si>
  <si>
    <t>PB3 &amp; FB</t>
  </si>
  <si>
    <t>Payment for 3rd and final billing for plumbing works (labor only) with contract number 202507-05, Feb 23 - Mar 01, 2026 week 04.</t>
  </si>
  <si>
    <t>2026-0455</t>
  </si>
  <si>
    <t>202512-01</t>
  </si>
  <si>
    <t>PB1 &amp; FP</t>
  </si>
  <si>
    <t>Payment for 1st and final billing for waterproofing of 3rd floor water treatment room, coring and installation of drainage with contract number 202512-01, Feb 23 - Mar 01, 2026 week 04.</t>
  </si>
  <si>
    <t>2026-0456</t>
  </si>
  <si>
    <t>202503-09</t>
  </si>
  <si>
    <t>PB5 &amp; FB</t>
  </si>
  <si>
    <t>Payment for 5th and final billing from labor for electrical works with contract number 202503-09, Feb23 - Mar 01, 2026 week 04.</t>
  </si>
  <si>
    <t>2026-0457</t>
  </si>
  <si>
    <t>RFP49</t>
  </si>
  <si>
    <t>Fuel intended for OMET vehicles, trucks and genset for week Mar 02 - 08, 2026 week 01 as per RFP49, subject for liquidation.</t>
  </si>
  <si>
    <t>from Encashment 500K 03.06.2026</t>
  </si>
  <si>
    <t>2026-0458</t>
  </si>
  <si>
    <t>CARF006</t>
  </si>
  <si>
    <t>Emil Dominic Sumadic</t>
  </si>
  <si>
    <t>Salary advances subject for payroll deduction of  P900.00 per payroll.</t>
  </si>
  <si>
    <t>Cash Payment to Emil</t>
  </si>
  <si>
    <t>2026-0459</t>
  </si>
  <si>
    <t>Encashment from Sterling OMET intended for BPI SOA Feb 28 amortization and auto debit of Altis and Lexus amortization.</t>
  </si>
  <si>
    <t>2026-0460</t>
  </si>
  <si>
    <t>Cash deposit to BPI Rivera OMET intended for auto debit amortization of Altis and Lexus.</t>
  </si>
  <si>
    <t>2026-0461</t>
  </si>
  <si>
    <t>Encashment from Sterling OMET intended for various OMET payroll and retainers and Corange executive and admin tech payroll.</t>
  </si>
  <si>
    <t>2026-0462</t>
  </si>
  <si>
    <t>Executive payroll</t>
  </si>
  <si>
    <t>2026-0463</t>
  </si>
  <si>
    <t>Admin Tech payroll - Mindanao</t>
  </si>
  <si>
    <t>2026-0464</t>
  </si>
  <si>
    <t>Admin Tech payroll - BGC</t>
  </si>
  <si>
    <t>2026-0465</t>
  </si>
  <si>
    <t>2026-0466</t>
  </si>
  <si>
    <t>Professional fee of Mr. Domilo as Business Development - Contracts Manager for the month of February 2026.</t>
  </si>
  <si>
    <t>2026-0467</t>
  </si>
  <si>
    <t>Dr. Than Htun</t>
  </si>
  <si>
    <t>Admin - OLS</t>
  </si>
  <si>
    <t>Professional fee of Dr. Htun as Senior Scientific Advisor for OLS Biotechnologies Corp. for the month of February 2026.</t>
  </si>
  <si>
    <t>2026-0468</t>
  </si>
  <si>
    <t>50% Full payment intended for Household expenses for the month of FEBRUARY 2026.</t>
  </si>
  <si>
    <t>2026-0469</t>
  </si>
  <si>
    <t>Payroll for caretaker of Bukidnon property for the month of February 2026.</t>
  </si>
  <si>
    <t>via Palawan Padala</t>
  </si>
  <si>
    <t>03.03.2026</t>
  </si>
  <si>
    <t>2026-0470</t>
  </si>
  <si>
    <t>Atty. Raymond Samarita</t>
  </si>
  <si>
    <t>Payment of Professional fee for the notarization for the months of July to September 2025.</t>
  </si>
  <si>
    <t>2026-0471</t>
  </si>
  <si>
    <t>Accounts Receivable</t>
  </si>
  <si>
    <t>Borrowings of Corange, Inc. intended for executive and admin tech payroll.</t>
  </si>
  <si>
    <t>Cash payment to Jesyl</t>
  </si>
  <si>
    <t>from 1.4M Encashment CV2026-0461 03.02.2026</t>
  </si>
  <si>
    <t>2026-0472</t>
  </si>
  <si>
    <t>PO6286</t>
  </si>
  <si>
    <t>PR4741</t>
  </si>
  <si>
    <t>Villa Josefina Construction</t>
  </si>
  <si>
    <t>Payment for 12mm Rebar grade 33 intended for building floor slab - Villa Josefina swimming pool, as per PO6286.</t>
  </si>
  <si>
    <t>Payment made by Angel</t>
  </si>
  <si>
    <t>2026-0473</t>
  </si>
  <si>
    <t>PO6285</t>
  </si>
  <si>
    <t>Payment for 3" sanitary wye, 3" x 45 deg sanitary elbow and 2" x 4" bushing reducer intended for building floor slab - Villa Josefina swimming pool, as per PO6285.</t>
  </si>
  <si>
    <t>2026-0474</t>
  </si>
  <si>
    <t>PO6283</t>
  </si>
  <si>
    <t>Dulalas Hollow Blocks</t>
  </si>
  <si>
    <t>Payment for 4" CHB Machine made intended for building floor slab - Villa Josefina swimming pool, as per PO6283.</t>
  </si>
  <si>
    <t>2026-0475</t>
  </si>
  <si>
    <t>PO6284</t>
  </si>
  <si>
    <t>Payment for coarse sand intended for building floor slab - Villa Josefina swimming pool, as per PO6284.</t>
  </si>
  <si>
    <t>2026-0476</t>
  </si>
  <si>
    <t>PO6289</t>
  </si>
  <si>
    <t>Croc Park Building Construction</t>
  </si>
  <si>
    <t>Payment for deformed bar 20mm dia, 10.5m and deformed bar 32mm dia ,7.5m length intended for steel reinforcements (foundation works), as per PO6289.</t>
  </si>
  <si>
    <t>2026-0477</t>
  </si>
  <si>
    <t>PO6287</t>
  </si>
  <si>
    <t>PR4744</t>
  </si>
  <si>
    <t>Payment for GI tie wire #16 intended for OMET Croc Park - GI tie wire, as per PO6287.</t>
  </si>
  <si>
    <t>2026-0478</t>
  </si>
  <si>
    <t>PO6026</t>
  </si>
  <si>
    <t>Payment for various deformed bar 12mm and 20mm dia intended for steel reinforcements (foundation works), as per PO6026.</t>
  </si>
  <si>
    <t xml:space="preserve"> - 260,147.00 charge to advance payment amounting 305,000.00 under PO6000 ref CV2025-3335 &amp; 227.78 charge to OPEX</t>
  </si>
  <si>
    <t>2026-0479</t>
  </si>
  <si>
    <t>1531176083-7</t>
  </si>
  <si>
    <t>Light and power consumption for Croc Park under the name of MRJ for the period of Dec 2025 - Feb 2026, with account number 1533176083-7.</t>
  </si>
  <si>
    <t>2026-0480</t>
  </si>
  <si>
    <t>JAN21-FEB21</t>
  </si>
  <si>
    <t>Light and power consumption for Capili under the name of MRJ for the period of Jan 21 - Feb 21, 2026, with account number 0825792227-1.</t>
  </si>
  <si>
    <t>2026-0481</t>
  </si>
  <si>
    <t>JAN20-FEB20</t>
  </si>
  <si>
    <t>Light and power consumption for Bayabas for the period of Jan 20 - Feb 20, 2026, with account number 9364721111-4.</t>
  </si>
  <si>
    <t>2026-0482</t>
  </si>
  <si>
    <t>PO6293</t>
  </si>
  <si>
    <t>PR4743</t>
  </si>
  <si>
    <t>Payment for drill driver, screw adaptor, black screw 3" (flat), black screw 2" (flat) and rubber mallet intended for tools and equipment and consumables, as per PO6293.</t>
  </si>
  <si>
    <t>2026-0483</t>
  </si>
  <si>
    <t>PO6292</t>
  </si>
  <si>
    <t>PR4749</t>
  </si>
  <si>
    <t>Payment for structural concrete class A - ready mix concrete 3500 PSI intended for concrete pouring of structural pedestals, as per PO6292.</t>
  </si>
  <si>
    <t>2026-0484</t>
  </si>
  <si>
    <t>RFP2026-039</t>
  </si>
  <si>
    <t>Legal Fees</t>
  </si>
  <si>
    <t>Payment for preparation, legal fees and service fee for SEC registration of OLS BioTechnologies Corp, as per RFP2026-039.</t>
  </si>
  <si>
    <t>2026-0485</t>
  </si>
  <si>
    <t>CARF007</t>
  </si>
  <si>
    <t>Salary advances subject for payroll deduction of  P7,500.00 per month.</t>
  </si>
  <si>
    <t>FOR VERIFICATION</t>
  </si>
  <si>
    <t>2026-0486</t>
  </si>
  <si>
    <t>JRSB-REPLE26-001</t>
  </si>
  <si>
    <t>Surcharges</t>
  </si>
  <si>
    <t>Various expenses held from PCF establishment subj for 1st replenishment for 2026 ref. CV2026-0168.</t>
  </si>
  <si>
    <t>From OPEX</t>
  </si>
  <si>
    <t>04.08.2026</t>
  </si>
  <si>
    <t>OPEX</t>
  </si>
  <si>
    <t>Notarial Fee</t>
  </si>
  <si>
    <t>2026-0487</t>
  </si>
  <si>
    <t>REIM-RCJ26-005</t>
  </si>
  <si>
    <t>Various expenses of RCJ, subject for reimbursement, as per REIM26-005.</t>
  </si>
  <si>
    <t>05.06.2026</t>
  </si>
  <si>
    <t>from Encashment 50K CV2026-0889 dated 05.06.2026</t>
  </si>
  <si>
    <t>2026-0488</t>
  </si>
  <si>
    <t>TRF2026-014</t>
  </si>
  <si>
    <t>Travel allowance to Kidapawan City on Mar 6, 2026 with RCJ and company driver to attend meeting with BIR Chief of Collection as per TRF2026-014, subject for liquidation.</t>
  </si>
  <si>
    <t>2026-0489</t>
  </si>
  <si>
    <t>RFP50</t>
  </si>
  <si>
    <t>Fuel for Sumitomo Exca as per RFP50, subject for liquidation.</t>
  </si>
  <si>
    <t>03.04.2026</t>
  </si>
  <si>
    <t>2026-0490</t>
  </si>
  <si>
    <t>RFP2026-040</t>
  </si>
  <si>
    <t>Operating Expense</t>
  </si>
  <si>
    <t>Operating expense fund for immediate needs, as per RFP2026-040.</t>
  </si>
  <si>
    <t>from Encashment 252K CV2026-0538 03.12.2026</t>
  </si>
  <si>
    <t>2026-0491</t>
  </si>
  <si>
    <t>RFP2026-041</t>
  </si>
  <si>
    <t>Pouring allowance intended for OMET Croc Park as per RFP2026-041, subject for liquidation.</t>
  </si>
  <si>
    <t>2026-0492</t>
  </si>
  <si>
    <t>RFP2026-042</t>
  </si>
  <si>
    <t>Documentary Stamp Taxes</t>
  </si>
  <si>
    <t>Payment for DST for Paid Up Capital of 15M x 0.75% due on March 05, 2026 intended for OLS, as per RFP2026-042.</t>
  </si>
  <si>
    <t>Cash deposit to LBP - Ma'am Marlyn</t>
  </si>
  <si>
    <t>0006583416</t>
  </si>
  <si>
    <t>000097  2HFM</t>
  </si>
  <si>
    <t>2026-0493</t>
  </si>
  <si>
    <t>RFP51</t>
  </si>
  <si>
    <t>Payment for plastic pail intended for concrete pouring as per RFP51, subject for liquidation.</t>
  </si>
  <si>
    <t>2026-0494</t>
  </si>
  <si>
    <t>Encashment from PNB MRJ OR SPJ account 4003-70009971 intended for CROC Park PO6292 and PO6293.</t>
  </si>
  <si>
    <t>from PNB MRJ OR SPJ account 4003-70009971</t>
  </si>
  <si>
    <t>Cash In Bank - PNB MRJ OR SPJ</t>
  </si>
  <si>
    <t>2026-0495</t>
  </si>
  <si>
    <t>Fund transfer from BDO BGC to PNB BGC via encashment from BDO then cash deposit to PNB.</t>
  </si>
  <si>
    <t>Encashment - Deposit c/o Jazz</t>
  </si>
  <si>
    <t>0000028353</t>
  </si>
  <si>
    <t>03.05.2026</t>
  </si>
  <si>
    <t>2026-0496</t>
  </si>
  <si>
    <t>PO6303</t>
  </si>
  <si>
    <t>PR4752</t>
  </si>
  <si>
    <t>Payment for welding handle 300A intended for MKTI - additional welding handle for I-beam installation for 3F water treatment, as per PO6303.</t>
  </si>
  <si>
    <t>Borrowed fund from OPEX</t>
  </si>
  <si>
    <t>Cash Sales Invoice No. 20092</t>
  </si>
  <si>
    <t>Cash payment c/o Ivy Sumalinog ; PO NO APPROVAL OF RCJ</t>
  </si>
  <si>
    <t>2026-0497</t>
  </si>
  <si>
    <t>RFP52</t>
  </si>
  <si>
    <t>Payment for Delo Gold, oil filter and air filter intended for PMS of MAH 4765 as per RFP52, subject for liquidation.</t>
  </si>
  <si>
    <t>2026-0498</t>
  </si>
  <si>
    <t>RFP53</t>
  </si>
  <si>
    <t>Fuel intended for OMET vehicles, trucks and genset for week Mar 09 - 15, 2026 week 02 as per RFP53, subject for liquidation.</t>
  </si>
  <si>
    <t>2026-0499</t>
  </si>
  <si>
    <t>PO6297</t>
  </si>
  <si>
    <t>PR4750</t>
  </si>
  <si>
    <t>Payment for miniature panel board - 4 ways, PVC moulding 3/4 wide type, blank plate and electrical tape 1" intended for electrical works for the proposed 1-storey office at Crocodile Park, as per PO6297.</t>
  </si>
  <si>
    <t>funded by SPJ via fund transfer to Angel</t>
  </si>
  <si>
    <t>SI# 310890 dated 03/05/2026</t>
  </si>
  <si>
    <t>2026-0500</t>
  </si>
  <si>
    <t>PO6299</t>
  </si>
  <si>
    <t>Payment for miniature circuit breaker 40amp, miniature circuit breaker 20amp, miniature breaker 15amp, recessed type square down light 6W, surfaced type utility box and black screw 2" intended for electrical works for the proposed 1-storey office at Crocodile Park, as per PO6299.</t>
  </si>
  <si>
    <t>CI# 07308 dated 03/05/2026</t>
  </si>
  <si>
    <t>2026-0501</t>
  </si>
  <si>
    <t>JAN16-FEB15</t>
  </si>
  <si>
    <t>Internet line subscription of D10 and D6 office for the period Jan 16 - Feb 15, 2026  with account number 927404116.</t>
  </si>
  <si>
    <t>03.14.2026</t>
  </si>
  <si>
    <t>2026-0502</t>
  </si>
  <si>
    <t>Internet line subscription of Villa Josefina for the period Jan 16 - Feb 15, 2026  with account number 929950485.</t>
  </si>
  <si>
    <t>2026-0503</t>
  </si>
  <si>
    <t>FEB16-28</t>
  </si>
  <si>
    <t>Security Sevices - Admin</t>
  </si>
  <si>
    <t>Security services rendered by MINSAS security guard covering the period Feb 16 - 28, 2026 at OMET Croc Park site.</t>
  </si>
  <si>
    <t>FUNDED BY SPJ</t>
  </si>
  <si>
    <t>03.31.2026</t>
  </si>
  <si>
    <t>2026-0504</t>
  </si>
  <si>
    <t>Security services rendered by MINSAS security guard covering the period Feb 16 - 28, 2026 at Admin-Jluna.</t>
  </si>
  <si>
    <t>from 200k</t>
  </si>
  <si>
    <t>2026-0505</t>
  </si>
  <si>
    <t>JAN18-FEB17</t>
  </si>
  <si>
    <t>Payment for IWHA and Door 6 office internet bill for the period of Jan 18 - Feb 17, 2026.</t>
  </si>
  <si>
    <t>2026-0506</t>
  </si>
  <si>
    <t>Bethel General Insurance and Surety Corporation</t>
  </si>
  <si>
    <t>Insurance  - Real Estate</t>
  </si>
  <si>
    <t>Payment for fire property insurance of the collateral under TCT No. 146-202301725 for the period from Feb 25, 2026 to Feb 25, 2027 with policy no. F-K05-0000093.</t>
  </si>
  <si>
    <t>2026-0507</t>
  </si>
  <si>
    <t>Payment for overdue fire insurance of mortgaged property for the period from Jan 31, 2026 to May 01, 2027 with reference no. LAD2-022026-923.</t>
  </si>
  <si>
    <t>Due date: Mar 12, 2026</t>
  </si>
  <si>
    <t>2026-0508</t>
  </si>
  <si>
    <t>1601-C</t>
  </si>
  <si>
    <t>Expanded Withholding Tax</t>
  </si>
  <si>
    <t>Payment for monthly remittance return of income taxes withheld on compensation (1601C) for the month of February 2026.</t>
  </si>
  <si>
    <t>Due date: Mar 15, 2026</t>
  </si>
  <si>
    <t>2026-0509</t>
  </si>
  <si>
    <t>Encashment from Sterling OMET intended for OMET various transactions.</t>
  </si>
  <si>
    <t>0007536222</t>
  </si>
  <si>
    <t>2026-0510</t>
  </si>
  <si>
    <t>Cash deposit to BPI Rivera intended for autodebit monthly amortization of Toyota Hilux.</t>
  </si>
  <si>
    <t>2026-0511</t>
  </si>
  <si>
    <t>Cash deposit to LBP OMET intended for autodebit monthly amortization of Urban Hive.</t>
  </si>
  <si>
    <t>2026-0512</t>
  </si>
  <si>
    <t>Payment for 1st progress billing for PU foam installation (MF) with contract number 202512-06, Mar 02 - 08, 2026 week 01.</t>
  </si>
  <si>
    <t>2026-0513</t>
  </si>
  <si>
    <t>PO6298</t>
  </si>
  <si>
    <t>PR4742</t>
  </si>
  <si>
    <t>Payment for gooseneck faucet (surface mounted) with pull out sprayer intended for remaining gooseneck faucet for 3F corridor nurse station sink, as per PO6298.</t>
  </si>
  <si>
    <t>2026-0514</t>
  </si>
  <si>
    <t>RFP2026-043</t>
  </si>
  <si>
    <t>Office consumption for Jluna office and Corange office for the month of March 2026 as per RFP2026-043, subject for liquidation.</t>
  </si>
  <si>
    <t>Cash c/o Josie</t>
  </si>
  <si>
    <t>2026-0515</t>
  </si>
  <si>
    <t>Encashment from Sterling OMET fund intended for various management expenses (like credit cards payment).</t>
  </si>
  <si>
    <t>0007536223</t>
  </si>
  <si>
    <t>2026-0516</t>
  </si>
  <si>
    <t>Fund transfer from Sterling OMET to PNB MRJ OR SPJ account, as per instruction.</t>
  </si>
  <si>
    <t>0007536224</t>
  </si>
  <si>
    <t>2026-0517</t>
  </si>
  <si>
    <t>from Encashment 1M CV2026-0515 03.09.2026</t>
  </si>
  <si>
    <t>2026-0518</t>
  </si>
  <si>
    <t>2026-0519</t>
  </si>
  <si>
    <t>2026-0520</t>
  </si>
  <si>
    <t>Buy EUR equivalent to 800 euro.</t>
  </si>
  <si>
    <t>2026-0521</t>
  </si>
  <si>
    <t>2026-0522</t>
  </si>
  <si>
    <t>RFP57</t>
  </si>
  <si>
    <t>Gil Albert Dolero</t>
  </si>
  <si>
    <t>Payment for susp. Bushing CVP, low big, low small and machine shop intended for parts of Innova NBR 1308, as per RFP57.</t>
  </si>
  <si>
    <t>2026-0523</t>
  </si>
  <si>
    <t>RFP56</t>
  </si>
  <si>
    <t>Payment for fuel (diesel) intended for Sumitomo Exca as per RFP56, subject for liquidation.</t>
  </si>
  <si>
    <t>Fund transfer c/o Angel</t>
  </si>
  <si>
    <t>Fund transfer</t>
  </si>
  <si>
    <t>03.10.2026</t>
  </si>
  <si>
    <t>PNB - Angel</t>
  </si>
  <si>
    <t>2026-0524</t>
  </si>
  <si>
    <t>RFP2026-044</t>
  </si>
  <si>
    <t>Other Overhead Expense</t>
  </si>
  <si>
    <t>Payment for cancellation fee of NMMC OR NHB &amp; Nego warranty and retention bonds issued, as per RFP2026-044.</t>
  </si>
  <si>
    <t>2026-0525</t>
  </si>
  <si>
    <t>BPI MS Motor Insurance</t>
  </si>
  <si>
    <t>Insurance - Vehicle</t>
  </si>
  <si>
    <t>Payment for insurance premium for the unit of 2021 Mazda CX8 will expire on March 11, 2026.</t>
  </si>
  <si>
    <t>2026-0526</t>
  </si>
  <si>
    <t>Payment for insurance premium for the unit of 2022 Toyota Hilux will expire on March 22, 2026.</t>
  </si>
  <si>
    <t>2026-0527</t>
  </si>
  <si>
    <t>Payment for insurance premium for the unit of 2022 Isuzu Traviz L with Utility Van will expire on March 21, 2026.</t>
  </si>
  <si>
    <t>2026-0528</t>
  </si>
  <si>
    <t>REPLE002</t>
  </si>
  <si>
    <t>Various expenses held from PCF establishment subject for 2nd replenishment for 2026 ref. CV2026-0118.</t>
  </si>
  <si>
    <t>Communication - Mobile Load</t>
  </si>
  <si>
    <t>2026-0529</t>
  </si>
  <si>
    <t>REPLE001</t>
  </si>
  <si>
    <t>Various expenses held from PCF establishment subject for 1st replenishment for 2026 ref. CV2026-0118.</t>
  </si>
  <si>
    <t>Giveaways</t>
  </si>
  <si>
    <t>Parking Fee</t>
  </si>
  <si>
    <t>Supplies - Pantry and Janitorial</t>
  </si>
  <si>
    <t>2026-0530</t>
  </si>
  <si>
    <t>Fund transfer from BDO BGC Account no. 012948002311 thru encashment then cash deposit to PNB BGC intended for BGC transactions.</t>
  </si>
  <si>
    <t>Encashment c/o Jazz then cash deposit</t>
  </si>
  <si>
    <t>0000028355</t>
  </si>
  <si>
    <t>2026-0531</t>
  </si>
  <si>
    <t>PO6315</t>
  </si>
  <si>
    <t>PR4761</t>
  </si>
  <si>
    <t>Payment for PVC pipe 4 inch, PVC pipe 2 inch and PVC elbow 2x90 intended for MKTI - additional materials for plumbing works on 3F water treatment room, as per PO6315.</t>
  </si>
  <si>
    <t>FUNDED 5,513.33</t>
  </si>
  <si>
    <t>Revised 04/14/2026 due to change of price</t>
  </si>
  <si>
    <t>2026-0532</t>
  </si>
  <si>
    <t>RFP55</t>
  </si>
  <si>
    <t>Jane Golocan</t>
  </si>
  <si>
    <t>Rent - Field and Heavy Equipment</t>
  </si>
  <si>
    <t>Payment for 10 wheelers (20-22 cubic) intended for hauling, as per RFP55.</t>
  </si>
  <si>
    <t>Funded by SPJ thru Angel</t>
  </si>
  <si>
    <t>2026-0533</t>
  </si>
  <si>
    <t>RFP58</t>
  </si>
  <si>
    <t>2026-0534</t>
  </si>
  <si>
    <t>RFP59</t>
  </si>
  <si>
    <t>Fuel and meal allowance including SOP during travel to CDO to backload of excess materials at NMMC project site as per RFP59, subject for liquidation.</t>
  </si>
  <si>
    <t>ASAP this day 03.11.2026</t>
  </si>
  <si>
    <t>2026-0535</t>
  </si>
  <si>
    <t>TRF2026-015</t>
  </si>
  <si>
    <t>Travel allowance to CDO and Marawi on March 12 - 13, 2026 with company driver for the submission of Surety Bond at NMMC and submit letter request at APMC as per TRF2026-015, subject for liquidation.</t>
  </si>
  <si>
    <t>2026-0536</t>
  </si>
  <si>
    <t>RFP60</t>
  </si>
  <si>
    <t>Payment for labor cost for plumbing works (repair of leak), as per RFP60.</t>
  </si>
  <si>
    <t>2026-0537</t>
  </si>
  <si>
    <t>CARF008</t>
  </si>
  <si>
    <t>John Rey Diez</t>
  </si>
  <si>
    <t>Salary advances subject for payroll deduction of  P2,000.00 per month.</t>
  </si>
  <si>
    <t>2026-0538</t>
  </si>
  <si>
    <t>Encashment from Sterling OMET intended for Mindanao list of request dated 03/10/2026 for OPEX and Logistics.</t>
  </si>
  <si>
    <t>0007536225</t>
  </si>
  <si>
    <t>2026-0539</t>
  </si>
  <si>
    <t>Water consumption for Croc Park for the month of FEBRUARY 2026 with account no. 13-371001-2 due date on March 11, 2026 as per billing#: 00000698199.</t>
  </si>
  <si>
    <t>2026-0540</t>
  </si>
  <si>
    <t>Jorge Naval</t>
  </si>
  <si>
    <t>13th Month Pay</t>
  </si>
  <si>
    <t>Payment for 13th month pay of Jorge Naval as separated BGC site worker for the year 2025.</t>
  </si>
  <si>
    <t>2026-0541</t>
  </si>
  <si>
    <t>FEB26-MAR10</t>
  </si>
  <si>
    <t>Payroll for Admin Tech Davao semi monthly for the period of Feb 26 to Mar 10, 2026.</t>
  </si>
  <si>
    <t>2026-0542</t>
  </si>
  <si>
    <t>MAR 1ST HALF</t>
  </si>
  <si>
    <t>50% Partial deposit intended for Household expenses for the month of MARCH 2026.</t>
  </si>
  <si>
    <t>2026-0543</t>
  </si>
  <si>
    <t>0619E</t>
  </si>
  <si>
    <t>Payment for withholding taxes on expanded tax (Form 0619E) due on March 13, 2026.</t>
  </si>
  <si>
    <t>Due date: Mar 13, 2026</t>
  </si>
  <si>
    <t>2026-0544</t>
  </si>
  <si>
    <t>MAR2026</t>
  </si>
  <si>
    <t>Rent - House</t>
  </si>
  <si>
    <t>Rental for Iwha staff house for the month of March 2026.</t>
  </si>
  <si>
    <t>Gcash Fund Transfer</t>
  </si>
  <si>
    <t>03.19.2026</t>
  </si>
  <si>
    <t>balance from BGC site payroll</t>
  </si>
  <si>
    <t>2026-0545</t>
  </si>
  <si>
    <t>Payroll for Admin Tech BGC semi monthly for the period of Feb 26 to Mar 10, 2026.</t>
  </si>
  <si>
    <t>2026-0546</t>
  </si>
  <si>
    <t>Payroll for Admin Tech Corange, Inc semi monthly for the period of Feb 26 to Mar 10, 2026.</t>
  </si>
  <si>
    <t>FUND c/o CORANGE</t>
  </si>
  <si>
    <t>2026-0547</t>
  </si>
  <si>
    <t>Payment for Mindanao site bi-monthly payroll for the period Feb 26 - Mar 10, 2026.</t>
  </si>
  <si>
    <t>2026-0548</t>
  </si>
  <si>
    <t>PGH</t>
  </si>
  <si>
    <t>Payment for BGC site bi-monthly payroll for the period Feb 26 - Mar 10, 2026.</t>
  </si>
  <si>
    <t>2026-0549</t>
  </si>
  <si>
    <t>Payment for Croc Park site bi-monthly payroll for the period Feb 26 - Mar 10, 2026.</t>
  </si>
  <si>
    <t>2026-0550</t>
  </si>
  <si>
    <t>4TH QTR &amp; JAN2026</t>
  </si>
  <si>
    <t>Payment of Professional fee as OMET external audit for OMET Sole intended for 4th quarter of 2025 &amp; for the month of Jan 2026 (5,600/month x 4 months).</t>
  </si>
  <si>
    <t>2026-0551</t>
  </si>
  <si>
    <t>Payment of Professional fee as OMET external audit for OMET Inc intended for 4th quarter of 2025 and for the month of January 2026 (5,600/month x 4 months).</t>
  </si>
  <si>
    <t>2026-0552</t>
  </si>
  <si>
    <t>RFP2026-045</t>
  </si>
  <si>
    <t>Payment for pathwalk as built plans complete set A3 intended for SPMC Pathwalk project as per RFP2026-045, subject for liquidation.</t>
  </si>
  <si>
    <t>2026-0553</t>
  </si>
  <si>
    <t>CARF009</t>
  </si>
  <si>
    <t>Alfredo Golisao</t>
  </si>
  <si>
    <t>Salary advances subject for payroll deduction of  P500.00 per payroll.</t>
  </si>
  <si>
    <t>2026-0554</t>
  </si>
  <si>
    <t>PO6316</t>
  </si>
  <si>
    <t>PR4762</t>
  </si>
  <si>
    <t>Payment for gooseneck faucet intended for MKTI - gooseneck faucet replacement for Head Doctor office, as per PO6316.</t>
  </si>
  <si>
    <t>2026-0555</t>
  </si>
  <si>
    <t>PO6317</t>
  </si>
  <si>
    <t>PR4764</t>
  </si>
  <si>
    <t>Payment for cement (10 bags) intended for MKTI - material needs for catch basin and connecting ramp, as per PO6317.</t>
  </si>
  <si>
    <t>2026-0556</t>
  </si>
  <si>
    <t>PO6318</t>
  </si>
  <si>
    <t>PR4757</t>
  </si>
  <si>
    <t>Payment for frosted film sticker 90cm x 100cm intended for MKTI - frosted film sticker for glass panel on 3rd floor dirty utility room, as per PO6318.</t>
  </si>
  <si>
    <t>2026-0557</t>
  </si>
  <si>
    <t>PO6319</t>
  </si>
  <si>
    <t>PR5766</t>
  </si>
  <si>
    <t>Payment for semi gloss latex paint white, nonsag epoxy and vulcaseal intended for MKTI - materials for enhancement of connecting ramp, as per PO6319.</t>
  </si>
  <si>
    <t>04.01.2026</t>
  </si>
  <si>
    <t>from 230K Encashment 04.01.2026 DBP</t>
  </si>
  <si>
    <t>2026-0558</t>
  </si>
  <si>
    <t>PO6320</t>
  </si>
  <si>
    <t>PR4766</t>
  </si>
  <si>
    <t>Payment for 4" concrete hollow blocks intended for MKTI - materials for enhancement of connecting ramp, as per PO6320.</t>
  </si>
  <si>
    <t>2026-0559</t>
  </si>
  <si>
    <t>PO6322</t>
  </si>
  <si>
    <t>PR4760</t>
  </si>
  <si>
    <t>Payment for various acrylic sealant intended for MKTI - sealant for remaining window gaps, as per PO6322.</t>
  </si>
  <si>
    <t>2026-0560</t>
  </si>
  <si>
    <t>PO6323</t>
  </si>
  <si>
    <t>PR4756</t>
  </si>
  <si>
    <t>Payment for 4" floor drain intended for MKTI - additional floor drains for ground floor storage room and dialyzer room, as per PO6323.</t>
  </si>
  <si>
    <t>2026-0561</t>
  </si>
  <si>
    <t>PO6324</t>
  </si>
  <si>
    <t>PR4768</t>
  </si>
  <si>
    <t>Payment for 3000 PSI @ 28 days intended for concrete pouring, as per PO6324.</t>
  </si>
  <si>
    <t>ASK ANGEL FOR VERIFICATION</t>
  </si>
  <si>
    <t>2026-0562</t>
  </si>
  <si>
    <t>PO6321</t>
  </si>
  <si>
    <t>PR4767</t>
  </si>
  <si>
    <t>Payment for caution tape intended for layout of footing, as per PO6321.</t>
  </si>
  <si>
    <t>2026-0563</t>
  </si>
  <si>
    <t>TRF2026-016</t>
  </si>
  <si>
    <t>Diana Marie Adeja</t>
  </si>
  <si>
    <t>Travel allowance to Oroquieta City on March 15 - 17, 2026 (2 days) with Jibrielle Gayak and company driver intended for procurement of hospital beds at Asenso Misamis Occidental Medical Center (AMOMC) as per TRF2026-016, subject for liquidation.</t>
  </si>
  <si>
    <t>Funded by SPJ</t>
  </si>
  <si>
    <t>2026-0564</t>
  </si>
  <si>
    <t>TRF2026-017</t>
  </si>
  <si>
    <t>Travel allowance to Oroquieta City on March 15 - 17, 2026 (2 days) with Diana and company driver intended for procurement of hospital beds at Asenso Misamis Occidental Medical Center (AMOMC) as per TRF2026-017, subject for liquidation.</t>
  </si>
  <si>
    <t>Direct to SPJ</t>
  </si>
  <si>
    <t>2026-0565</t>
  </si>
  <si>
    <t>JIB-REPLE26-006</t>
  </si>
  <si>
    <t>Transportation and Travel Allowance - Project</t>
  </si>
  <si>
    <t>Various expenses related to marketing cost held from PCF establishment subj for 6th replenishment for 2026 ref. CV2025-2162 and CV2025-2558.</t>
  </si>
  <si>
    <t>Transportation and Travel Allowance - Admin</t>
  </si>
  <si>
    <t>Airfare - Admin</t>
  </si>
  <si>
    <t>2026-0566</t>
  </si>
  <si>
    <t>TRF2026-018</t>
  </si>
  <si>
    <t>Travel allowance for company driver to Oroquieta City on March 15 - 17, 2026 (2 days) with Jib and Diana intended for procurement of hospital beds at Asenso Misamis Occidental Medical Center (AMOMC) as per TRF2026-018, subject for liquidation.</t>
  </si>
  <si>
    <t>2026-0567</t>
  </si>
  <si>
    <t>Advances to Subcontractor</t>
  </si>
  <si>
    <t>Cash advance for PU foam installation (MF) with contract number 202512-06.</t>
  </si>
  <si>
    <t>2026-0568</t>
  </si>
  <si>
    <t>PO6325</t>
  </si>
  <si>
    <t>PR4772</t>
  </si>
  <si>
    <t>Payment for R410A Freon intended for MKTI - freon request for 2nd and 3rd floor areas, as per PO6325.</t>
  </si>
  <si>
    <t>2026-0569</t>
  </si>
  <si>
    <t>RFP61</t>
  </si>
  <si>
    <t>Payment for fuel (diesel) intended for Sumitomo Exca as per RFP61, subject for liquidation.</t>
  </si>
  <si>
    <t>Payment c/o Angel</t>
  </si>
  <si>
    <t>03.13.2026</t>
  </si>
  <si>
    <t>2026-0570</t>
  </si>
  <si>
    <t>PO6326</t>
  </si>
  <si>
    <t>PR4771</t>
  </si>
  <si>
    <t>Payment for coarse sand intended for OMET Croc Park aggregates, as per PO6326.</t>
  </si>
  <si>
    <t>2026-0571</t>
  </si>
  <si>
    <t>PO6327</t>
  </si>
  <si>
    <t>PR4770</t>
  </si>
  <si>
    <t>Payment for safety gloves rubber cotton intended for OMET Croc Park PPE, as per PO6327.</t>
  </si>
  <si>
    <t>2026-0572</t>
  </si>
  <si>
    <t>PO6330</t>
  </si>
  <si>
    <t>PR4769</t>
  </si>
  <si>
    <t>Payment for ordinary plywood 3/4" and marine plywood 3/4" intended for OMET Croc Park additional formworks and scaffolding, as per PO6330.</t>
  </si>
  <si>
    <t>Cash Invoice No. 0000000000004046</t>
  </si>
  <si>
    <t>REVISE AMOUNT</t>
  </si>
  <si>
    <t>2026-0573</t>
  </si>
  <si>
    <t>PO6329</t>
  </si>
  <si>
    <t>Payment for fixed clamp intended for OMET Croc Park additional formworks and scaffolding, as per PO6329.</t>
  </si>
  <si>
    <t>2026-0574</t>
  </si>
  <si>
    <t>Various expenses incurred during travel to Kidapawan City last Mar 6, 2026 with RCJ and company driver to attend meeting with BIR Chief of Collection, subject for reimbursement to AGB.</t>
  </si>
  <si>
    <t>2026-0575</t>
  </si>
  <si>
    <t>RFP2026-046</t>
  </si>
  <si>
    <t>The Premier Life and General Assurance Corporation</t>
  </si>
  <si>
    <t>Payment for surety - retention money bond intended for NMMC OR NHB project, as per RFP2026-046.</t>
  </si>
  <si>
    <t>DUE ON 04/17/2026</t>
  </si>
  <si>
    <t>0000321379</t>
  </si>
  <si>
    <t>04.17.2026</t>
  </si>
  <si>
    <t>ChinaBank Monte</t>
  </si>
  <si>
    <t>from Chinabank Monteverde OMET fund</t>
  </si>
  <si>
    <t>2026-0576</t>
  </si>
  <si>
    <t>Travel allowance to CDO on Mar 18, 2026 using company vehicle (Loaf bread MAU A1900) with driver, Jose Neil Gavillaga to submit receipts and original retention bond as per TRF2026-018, subject for liquidation.</t>
  </si>
  <si>
    <t>Fund from PCF</t>
  </si>
  <si>
    <t>03.18.2026</t>
  </si>
  <si>
    <t>PCF 2nd reple</t>
  </si>
  <si>
    <t>2026-0577</t>
  </si>
  <si>
    <t>PO6331</t>
  </si>
  <si>
    <t>PR4775</t>
  </si>
  <si>
    <t>Payment for concrete 3500 PSI and pumpcrete intended for OMET Croc Park ready mix concrete 3500 psi (footing), as per PO6331.</t>
  </si>
  <si>
    <t>2026-0578</t>
  </si>
  <si>
    <t>TRF2026-019</t>
  </si>
  <si>
    <t>CRMC Canopy</t>
  </si>
  <si>
    <t>Travel allowance to Cotabato City on March 18 - 19, 2026 with Rudy Noceja, Reynald de Juan, Michael Cubian, 2 helpers, Clifford Jhon Arriesgado and company driver Jun to repair of damages, processing for collections/billing and submission of permits as per TRF2026-019, subject for liquidation.</t>
  </si>
  <si>
    <t>2026-0579</t>
  </si>
  <si>
    <t>RFP2026-047</t>
  </si>
  <si>
    <t>Payment for blueprinting 7 sets  for architectural plans 15 pages x 7 sets intended for SPMC MKTI project as per RFP2026-047, subject for liquidation.</t>
  </si>
  <si>
    <t>Cash deposit to Nellie c/o Jazz</t>
  </si>
  <si>
    <t>05.05.2026</t>
  </si>
  <si>
    <t>2026-0580</t>
  </si>
  <si>
    <t>Fund transfer from BDO BGC (with check no. 0000028358) to PNB BGC intended for BGC transactions.</t>
  </si>
  <si>
    <t>0000028358</t>
  </si>
  <si>
    <t>2026-0581</t>
  </si>
  <si>
    <t>Check deposit from Sterling OMET to PNB SPJ, as per instruction.</t>
  </si>
  <si>
    <t>0007536227</t>
  </si>
  <si>
    <t>2026-0582</t>
  </si>
  <si>
    <t>0007536229</t>
  </si>
  <si>
    <t>2026-0583</t>
  </si>
  <si>
    <t>Encashment from Sterling OMET intended for Admin Tech semi monthly payroll (Feb 10 - Mar 10, 2026), site, logistics and residence payroll and Household for the 1st half of March.</t>
  </si>
  <si>
    <t>0007536228</t>
  </si>
  <si>
    <t>2026-0584</t>
  </si>
  <si>
    <t>Encashment from BDO BGC intended for BGC Admin Tech semi monthly payroll (Feb 26 - Mar 10, 2026) and BGC site payroll.</t>
  </si>
  <si>
    <t>0000028356</t>
  </si>
  <si>
    <t>2026-0585</t>
  </si>
  <si>
    <t>Encashment from Sterling OMET intended for legal fees.</t>
  </si>
  <si>
    <t>0007536230</t>
  </si>
  <si>
    <t>2026-0586</t>
  </si>
  <si>
    <t>0007536231</t>
  </si>
  <si>
    <t>2026-0587</t>
  </si>
  <si>
    <t>Fund transfer from LBP OMET to Sterling OMET.</t>
  </si>
  <si>
    <t>Manager's check</t>
  </si>
  <si>
    <t>0000000567</t>
  </si>
  <si>
    <t>from LBP OMET fund</t>
  </si>
  <si>
    <t>Sterling OMET account: 582/1/003710/96 (PHP)</t>
  </si>
  <si>
    <t>2026-0588</t>
  </si>
  <si>
    <t>TRF2026-020</t>
  </si>
  <si>
    <t>NMMC</t>
  </si>
  <si>
    <t>Travel allowance to CDO &amp; Marawi City on March 23 - 24, 2026 with Jazzel Mojado and company driver to pick up collection @ NMMC and follow up advance payment at APMC as per TRF2026-020, subject for liquidation.</t>
  </si>
  <si>
    <t>Cash payment c/o Jhelde</t>
  </si>
  <si>
    <t>2026-0589</t>
  </si>
  <si>
    <t>MAR01-15</t>
  </si>
  <si>
    <t>Security services rendered by MINSAS security guard covering the period Mar 01 - 15, 2026 at OMET Croc Park site.</t>
  </si>
  <si>
    <t>2026-0590</t>
  </si>
  <si>
    <t>Security services rendered by MINSAS security guard covering the period Mar 01 - 15, 2026 at Admin-Jluna.</t>
  </si>
  <si>
    <t>2026-0591</t>
  </si>
  <si>
    <t>RFP63</t>
  </si>
  <si>
    <t>Payment for GI end cap 1/2" intended for plumbing accessories, as per RFP63.</t>
  </si>
  <si>
    <t>BORROWED FUND FROM 1.425M</t>
  </si>
  <si>
    <t>2026-0592</t>
  </si>
  <si>
    <t>PO6335</t>
  </si>
  <si>
    <t>PR4729</t>
  </si>
  <si>
    <t>Payment for #8 LED pinlight daylight 18Watts and #2 LED pinlight daylight 18Watts intended for MKTI LED pinlights replacement, as per PO6335.</t>
  </si>
  <si>
    <t>BORROWED FUND FROM LOGISTICS FUND</t>
  </si>
  <si>
    <t>2026-0593</t>
  </si>
  <si>
    <t>PO6338</t>
  </si>
  <si>
    <t>PR4783</t>
  </si>
  <si>
    <t>Payment for round gravel YY 1 load 10 wheelers intended for building floor slab Villa Josefina swimming pool, as per PO6338.</t>
  </si>
  <si>
    <t>2026-0594</t>
  </si>
  <si>
    <t>PO6337</t>
  </si>
  <si>
    <t>Payment for cement intended for building floor slab Villa Josefina swimming pool, as per PO6337.</t>
  </si>
  <si>
    <t>2026-0595</t>
  </si>
  <si>
    <t>PO6336</t>
  </si>
  <si>
    <t>Payment for #16 tie wire intended for building floor slab Villa Josefina swimming pool, as per PO6336.</t>
  </si>
  <si>
    <t>2026-0596</t>
  </si>
  <si>
    <t>RFP62</t>
  </si>
  <si>
    <t>Fuel intended for OMET vehicles, trucks and genset for week Mar 23 - 29, 2026 week 04 as per RFP62, subject for liquidation.</t>
  </si>
  <si>
    <t>2026-0597</t>
  </si>
  <si>
    <t>RFP2026-048</t>
  </si>
  <si>
    <t>Pouring allowance intended for OMET Croc Park as per RFP2026-048, subject for liquidation.</t>
  </si>
  <si>
    <t>2026-0598</t>
  </si>
  <si>
    <t>RFP2026-049</t>
  </si>
  <si>
    <t>NLR Water Refilling Station</t>
  </si>
  <si>
    <t>Payment for drinking water supply of D6 and D10 for the period Nov 03, 2025 to Mar 06, 2026 as per RFP2026-049.</t>
  </si>
  <si>
    <t>04.23.2026</t>
  </si>
  <si>
    <t>from 174K Encashment CV2026-0800 04.22.2026</t>
  </si>
  <si>
    <t>CI No. 0000009 &amp; CR No. 0000010 dated 04/23/2026</t>
  </si>
  <si>
    <t>2026-0599</t>
  </si>
  <si>
    <t>FEB11-MAR12</t>
  </si>
  <si>
    <t>Power consumption for the period of Feb 11 - Mar 12, 2026 of D10 office with account number 8215822313-9.</t>
  </si>
  <si>
    <t>2026-0600</t>
  </si>
  <si>
    <t>Power consumption for the period of Feb 11 - Mar 12, 2026 of Door 06 Corange office with account number 4790525717-7.</t>
  </si>
  <si>
    <t>2026-0601</t>
  </si>
  <si>
    <t>MANDATORIES</t>
  </si>
  <si>
    <t>SSS Contribution</t>
  </si>
  <si>
    <t>SSS contribution for OMET employees for the month of JANUARY 2026.</t>
  </si>
  <si>
    <t>2026-0602</t>
  </si>
  <si>
    <t>HDMF Contribution</t>
  </si>
  <si>
    <t>HDMF contribution for OMET employees for the month of JANUARY 2026.</t>
  </si>
  <si>
    <t>2026-0603</t>
  </si>
  <si>
    <t>PHIC Contribution</t>
  </si>
  <si>
    <t>PHIC contribution for OMET employees for the month of JANUARY 2026.</t>
  </si>
  <si>
    <t>2026-0604</t>
  </si>
  <si>
    <t>SSS contribution for OMET employees for the month of FEBRUARY 2026.</t>
  </si>
  <si>
    <t>2026-0605</t>
  </si>
  <si>
    <t>HDMF contribution for OMET employees for the month of FEBRUARY 2026.</t>
  </si>
  <si>
    <t>2026-0606</t>
  </si>
  <si>
    <t>PHIC contribution for OMET employees for the month of FEBRUARY 2026.</t>
  </si>
  <si>
    <t>2026-0607</t>
  </si>
  <si>
    <t>Returned fund from Lindon Martin intended for excess fund from BGC site payroll ref. CV2026-0548 dated 03/12/2026.</t>
  </si>
  <si>
    <t>2026-0608</t>
  </si>
  <si>
    <t>RETENTION</t>
  </si>
  <si>
    <t>Cash In Bank - DBP OMET</t>
  </si>
  <si>
    <t>To record for refund of 10% retention fee for  the Repair and Upgrading of Operating Room in the New Hospital Building  - Contiguous with contract amount of 29,753,500.00 (DBP TF).</t>
  </si>
  <si>
    <t>Check deposit to DBP OMET c/o Jazz</t>
  </si>
  <si>
    <t>0094354616</t>
  </si>
  <si>
    <t>DBP</t>
  </si>
  <si>
    <t>2026-0609</t>
  </si>
  <si>
    <t>To record for refund of 10% retention fee for  the Repair and Upgrading of Operating Room in the New Hospital Building  - Contiguous with contract amount of 29,753,500.00 (LBP PHIC Income).</t>
  </si>
  <si>
    <t>Check deposit to LBP OMET c/o Jazz</t>
  </si>
  <si>
    <t>0001742517</t>
  </si>
  <si>
    <t>LBP PHIC</t>
  </si>
  <si>
    <t>2026-0610</t>
  </si>
  <si>
    <t>REPLE003</t>
  </si>
  <si>
    <t>Various expenses held from PCF establishment subject for 3rd replenishment for 2026 ref. CV2026-0118.</t>
  </si>
  <si>
    <t>2026-0611</t>
  </si>
  <si>
    <t>RFP2026-050</t>
  </si>
  <si>
    <t>Operating expense fund for immediate needs, as per RFP2026-050.</t>
  </si>
  <si>
    <t>2026-0612</t>
  </si>
  <si>
    <t>Asisi Systems Corp</t>
  </si>
  <si>
    <t>Payment for discrepancy due to 1% withholding tax deducted at 30% DP ref. CV2025-1012 or mobilization.</t>
  </si>
  <si>
    <t>Check payment to Asisi</t>
  </si>
  <si>
    <t>0007536252</t>
  </si>
  <si>
    <t>04.25.2026</t>
  </si>
  <si>
    <t>Collection receipt no. 000189 dated 04.23.2026</t>
  </si>
  <si>
    <t>2026-0613</t>
  </si>
  <si>
    <t>Cash deposit to PNB SPJ payroll account, as per instruction.</t>
  </si>
  <si>
    <t>03.24.2026</t>
  </si>
  <si>
    <t>2026-0614</t>
  </si>
  <si>
    <t>Check deposit to PNB SPJ payroll account, as per instruction.</t>
  </si>
  <si>
    <t>Check deposit c/o Mae</t>
  </si>
  <si>
    <t>0007536233</t>
  </si>
  <si>
    <t>2026-0615</t>
  </si>
  <si>
    <t>Fund transfer (via check deposit) from DBP OMET (NMMC Nego retention) to Sterling OMET, as per instruction.</t>
  </si>
  <si>
    <t>0095319621</t>
  </si>
  <si>
    <t>from DBP OMET fund from NMMC Nego retention</t>
  </si>
  <si>
    <t>2026-0616</t>
  </si>
  <si>
    <t>Mark Ryan Juanitas AND Sheila Patrice Juanitas</t>
  </si>
  <si>
    <t>Fund transfer (via check deposit) from DBP OMET (NMMC Nego retention) to PNB Joint MRJ AND SPJ account, as per instruction.</t>
  </si>
  <si>
    <t>0095319622</t>
  </si>
  <si>
    <t>2026-0617</t>
  </si>
  <si>
    <t>Fund transfer (via manager's check) from LBP OMET (NMMC Nego retention) to Sterling OMET, as per instruction.</t>
  </si>
  <si>
    <t>Manager's Check</t>
  </si>
  <si>
    <t>2026-0618</t>
  </si>
  <si>
    <t>RENT</t>
  </si>
  <si>
    <t>D10 OFFICE</t>
  </si>
  <si>
    <t>Ebro Pelayo Realty Development Corporation</t>
  </si>
  <si>
    <t>Rent - Office Building/Space</t>
  </si>
  <si>
    <t>Payment for office rental of door 10 office for the month of April 2026.</t>
  </si>
  <si>
    <t>PNB Checking OMET</t>
  </si>
  <si>
    <t>WHT</t>
  </si>
  <si>
    <t>2026-0619</t>
  </si>
  <si>
    <t>Payment for office rental of door 10 office for the month of May 2026.</t>
  </si>
  <si>
    <t>Funded 05/08/2026</t>
  </si>
  <si>
    <t>05.08.2026</t>
  </si>
  <si>
    <t>SI# 0136 05/11/2026</t>
  </si>
  <si>
    <t>2026-0620</t>
  </si>
  <si>
    <t>Payment for office rental of door 10 office for the month of June 2026.</t>
  </si>
  <si>
    <t>06.08.2026</t>
  </si>
  <si>
    <t>2026-0621</t>
  </si>
  <si>
    <t>Payment for office rental of door 10 office for the month of July 2026.</t>
  </si>
  <si>
    <t>07.08.2026</t>
  </si>
  <si>
    <t>2026-0622</t>
  </si>
  <si>
    <t>Payment for office rental of door 10 office for the month of August 2026.</t>
  </si>
  <si>
    <t>08.08.2026</t>
  </si>
  <si>
    <t>2026-0623</t>
  </si>
  <si>
    <t>Payment for office rental of door 10 office for the month of September 2026.</t>
  </si>
  <si>
    <t>09.08.2026</t>
  </si>
  <si>
    <t>2026-0624</t>
  </si>
  <si>
    <t>Payment for office rental of door 10 office for the month of October 2026.</t>
  </si>
  <si>
    <t>10.08.2026</t>
  </si>
  <si>
    <t>2026-0625</t>
  </si>
  <si>
    <t>Payment for office rental of door 10 office for the month of November 2026.</t>
  </si>
  <si>
    <t>11.08.2026</t>
  </si>
  <si>
    <t>2026-0626</t>
  </si>
  <si>
    <t>Payment for office rental of door 10 office for the month of December 2026.</t>
  </si>
  <si>
    <t>12.08.2026</t>
  </si>
  <si>
    <t>2026-0627</t>
  </si>
  <si>
    <t>Payment for office rental of door 10 office for the month of January 2027.</t>
  </si>
  <si>
    <t>01.08.2027</t>
  </si>
  <si>
    <t>2026-0628</t>
  </si>
  <si>
    <t>Payment for office rental of door 10 office for the month of February 2027.</t>
  </si>
  <si>
    <t>02.08.2027</t>
  </si>
  <si>
    <t>2026-0629</t>
  </si>
  <si>
    <t>Payment for office rental of door 10 office for the month of March 2027.</t>
  </si>
  <si>
    <t>03.08.2027</t>
  </si>
  <si>
    <t>2026-0630</t>
  </si>
  <si>
    <t>Payment for PNB Corporate loan principal due of 3,000,000.00 and interest of 728,000.00 for the period of 02/28/2026 to 03/28/2026 as per SI PN# Original loan old PN# 800012521070.</t>
  </si>
  <si>
    <t>Cash payment via Bills Payment c/o Jazz</t>
  </si>
  <si>
    <t>2026-0631</t>
  </si>
  <si>
    <t>Payment for monthly loan interest for the month of March 29, 2026.</t>
  </si>
  <si>
    <t>2026-0632</t>
  </si>
  <si>
    <t>Business Taxes</t>
  </si>
  <si>
    <t>Payment for 2023 Basic Income Tax (No penalties and surcharge yet) - Receipted.</t>
  </si>
  <si>
    <t>2026-0633</t>
  </si>
  <si>
    <t>Payment for 1st and 2nd installment payment for LOA 2022 for the period of Feb 16 and Mar 16, 2026.</t>
  </si>
  <si>
    <t>2026-0634</t>
  </si>
  <si>
    <t>Payment for remaining ACJ LOA 2022 - Non receipted.</t>
  </si>
  <si>
    <t>2026-0635</t>
  </si>
  <si>
    <t>RFP2026-051</t>
  </si>
  <si>
    <t>Payment for 4x8 ft plain sheets intended for flashing installation as per RFP2026-051, subject for liquidation.</t>
  </si>
  <si>
    <t>2026-0636</t>
  </si>
  <si>
    <t>PO6344</t>
  </si>
  <si>
    <t>PR4779</t>
  </si>
  <si>
    <t>Payment for epoxide glue intended for CRMC Canopy skylight leak on joint for retouching, as per PO6344.</t>
  </si>
  <si>
    <t>2026-0637</t>
  </si>
  <si>
    <t>PO6345</t>
  </si>
  <si>
    <t>PR4780</t>
  </si>
  <si>
    <t>Payment for roof sealant intended for CRMC Canopy installation of flashing gutter, as per PO6345.</t>
  </si>
  <si>
    <t>2026-0638</t>
  </si>
  <si>
    <t>PO6343</t>
  </si>
  <si>
    <t>Davao Bolt Center Corporation</t>
  </si>
  <si>
    <t>Payment for self drilling tek screws with neoprene / rubber washer intended for CRMC Canopy installation of flashing gutter, as per PO6343.</t>
  </si>
  <si>
    <t>2026-0639</t>
  </si>
  <si>
    <t>PO6352</t>
  </si>
  <si>
    <t>PR4792</t>
  </si>
  <si>
    <t>Payment for flange nut (circular) 12mm and GI pipe 1 1/2" x 6m x 2.00mm thk - S40 intended for OMET Croc Park additional formworks and scaffolding, as per PO6352.</t>
  </si>
  <si>
    <t>03.27.2026</t>
  </si>
  <si>
    <t>2026-0640</t>
  </si>
  <si>
    <t>PO6353</t>
  </si>
  <si>
    <t>Payment for black screw 1 1/2" and marine plywood 3/4" intended for OMET Croc Park additional formworks and scaffolding, as per PO6353.</t>
  </si>
  <si>
    <t>2026-0641</t>
  </si>
  <si>
    <t>PO6347</t>
  </si>
  <si>
    <t>PR4788</t>
  </si>
  <si>
    <t>Payment for nails 2" and concrete nails intended for OMET Croc Park miscellaneous, as per PO6347.</t>
  </si>
  <si>
    <t>2026-0642</t>
  </si>
  <si>
    <t>RFP64</t>
  </si>
  <si>
    <t>Fuel intended for OMET vehicles, trucks and genset for week Mar 30 - Apr 05, 2026 week 05 as per RFP64, subject for liquidation.</t>
  </si>
  <si>
    <t>2026-0643</t>
  </si>
  <si>
    <t>RFP2026-052</t>
  </si>
  <si>
    <t>Cash In Bank - SecBank OMET</t>
  </si>
  <si>
    <t>Replenishment of SECBANK maintaining balance due to return of post-dated checks, as per RFP2026-052.</t>
  </si>
  <si>
    <t>2026-0644</t>
  </si>
  <si>
    <t>RFP2026-053</t>
  </si>
  <si>
    <t>Payment for surety - retention money bond for the project: Design and Build of interconnecting elevated covered walk-way for heart ins, orthopedic Ins., and children institute with BID No. 2021-10-09-083, BAC Reso No. 20211173, as per RFP2026-053.</t>
  </si>
  <si>
    <t>2026-0645</t>
  </si>
  <si>
    <t>CARF010</t>
  </si>
  <si>
    <t>2026-0646</t>
  </si>
  <si>
    <t>RFP2026-054</t>
  </si>
  <si>
    <t>Pouring allowance intended for OMET Croc Park as per RFP2026-054, subject for liquidation.</t>
  </si>
  <si>
    <t>2026-0647</t>
  </si>
  <si>
    <t>RFP2026-055</t>
  </si>
  <si>
    <t>IT Services</t>
  </si>
  <si>
    <t>Payment for 51.1 hrs IT Services intended for turnover and development of internal IT System, as per RFP2026-055.</t>
  </si>
  <si>
    <t>2026-0648</t>
  </si>
  <si>
    <t>PO6348</t>
  </si>
  <si>
    <t>PR4785</t>
  </si>
  <si>
    <t>Payment for freon R-32 intended for MKTI freon request for 3rd floor, mezzanine and 2nd floor ACUs, as per PO6348.</t>
  </si>
  <si>
    <t>2026-0649</t>
  </si>
  <si>
    <t>PO6349</t>
  </si>
  <si>
    <t>PR4782</t>
  </si>
  <si>
    <t>Payment for door knob keyless (lever type) intended for MKTI door knob keyless, as per PO6349.</t>
  </si>
  <si>
    <t>2026-0650</t>
  </si>
  <si>
    <t>PO6346</t>
  </si>
  <si>
    <t>PR4790</t>
  </si>
  <si>
    <t>Payment for #14 wires intended for MKTI wire material for roof deck water tanks automatic valves - additional wires, as per PO6346.</t>
  </si>
  <si>
    <t>2026-0651</t>
  </si>
  <si>
    <t>MAR11-25</t>
  </si>
  <si>
    <t>Payroll for OMET Mindanao Admin Tech semi monthly employees for the period Mar 11 - 25, 2026.</t>
  </si>
  <si>
    <t>2026-0652</t>
  </si>
  <si>
    <t>Payroll for OMET BGC Admin Tech semi monthly employees for the period Mar 11 - 25, 2026.</t>
  </si>
  <si>
    <t>2026-0653</t>
  </si>
  <si>
    <t>Ivy Sumalinog</t>
  </si>
  <si>
    <t>Payment for Mindanao site bi-monthly payroll for the period Mar 11- 25, 2026.</t>
  </si>
  <si>
    <t>2026-0654</t>
  </si>
  <si>
    <t>Payment for Croc Park site bi-monthly payroll for the period Mar 11 - 25, 2026.</t>
  </si>
  <si>
    <t>2026-0655</t>
  </si>
  <si>
    <t>Payment for BGC site bi-monthly payroll for the period Mar 11 - 25, 2026.</t>
  </si>
  <si>
    <t>2026-0656</t>
  </si>
  <si>
    <t>MAR 2ND HALF</t>
  </si>
  <si>
    <t>50% Full payment intended for Household expenses for the month of MARCH 2026.</t>
  </si>
  <si>
    <t>2026-0657</t>
  </si>
  <si>
    <t>Professional fee of Mr. Domilo as Business Development - Contracts Manager for the month of March 2026.</t>
  </si>
  <si>
    <t>2026-0658</t>
  </si>
  <si>
    <t>Professional fee of Dr. Htun as Senior Scientific Advisor for OLS Biotechnologies Corp. for the month of March 2026.</t>
  </si>
  <si>
    <t>2026-0659</t>
  </si>
  <si>
    <t>Dr. Sai Leng</t>
  </si>
  <si>
    <t>Professional fee of Dr. Leng as Senior Scientific Advisor for OLS Biotechnologies Corp. for the month of  March 2026.</t>
  </si>
  <si>
    <t>2026-0660</t>
  </si>
  <si>
    <t>1st QTR</t>
  </si>
  <si>
    <t>Ma. Monalet Vergara</t>
  </si>
  <si>
    <t>Professional fee of Dr. Let Vergara as OMET Physician for the month of January - March 2026.</t>
  </si>
  <si>
    <t>2026-0661</t>
  </si>
  <si>
    <t>Water consumption for Croc Park for the month of March 2026 with account no. 13-371001-2 due date on April 10, 2026 as per billing#: 00000973664.</t>
  </si>
  <si>
    <t>2026-0662</t>
  </si>
  <si>
    <t>JAN23-MAR23</t>
  </si>
  <si>
    <t>Water consumption of Capili under MRJ for the month of Jan 23 - Mar 23, 2026 with account number 18-312818-5 due date on April 06, 2026 as per billing #: 000010444050.</t>
  </si>
  <si>
    <t>2026-0663</t>
  </si>
  <si>
    <t>Cash deposit to BPI Rivera OMET intended for autodebit of amortization of auto loans (Altis, Mazda, Traviz and Lexus) and personal loan.</t>
  </si>
  <si>
    <t>2026-0664</t>
  </si>
  <si>
    <t>Cash In Bank - BPI Ateneo/Azuela</t>
  </si>
  <si>
    <t>Cash deposit to BPI Ateneo/Azuela OMET account to fund amortization of BPI loan principal and interest for the month of March.</t>
  </si>
  <si>
    <t>2026-0665</t>
  </si>
  <si>
    <t>Encashment from Sterling OMET intended for PNB Corporate Loan monthly amortization (principal and interest) and BPI auto loans and personal loan.</t>
  </si>
  <si>
    <t>0007536236</t>
  </si>
  <si>
    <t>2026-0666</t>
  </si>
  <si>
    <t>Encashment from Sterling OMET intended for Croc Park site payroll for the period of Mar 11-25, 2026.</t>
  </si>
  <si>
    <t>0007536237</t>
  </si>
  <si>
    <t>2026-0667</t>
  </si>
  <si>
    <t>Encashment from PNB MRJ and SPJ joint account intended for PNB Corporate Loan amortization (principal and interest).</t>
  </si>
  <si>
    <t>from PNB MRJ AND SPJ joint account</t>
  </si>
  <si>
    <t>2026-0668</t>
  </si>
  <si>
    <t>Arjay C. Tangcoy Customs Brokerage Services</t>
  </si>
  <si>
    <t>Custom Duties</t>
  </si>
  <si>
    <t>Payment for all in processing including duties, taxes and representation to Customs for the shipment of steel cabinet for hospital use.</t>
  </si>
  <si>
    <t>2026-0669</t>
  </si>
  <si>
    <t>Payment for all in processing - trucking fee for the shipment of steel cabinet for hospital use.</t>
  </si>
  <si>
    <t>2026-0670</t>
  </si>
  <si>
    <t>Water consumption for SPMC due date on April 20, 2026 with account no. 21-358583-7, as per billing #: 00001095318.</t>
  </si>
  <si>
    <t>FEB04-APR20</t>
  </si>
  <si>
    <t>2026-0671</t>
  </si>
  <si>
    <t>FEB20-MAR21</t>
  </si>
  <si>
    <t>Light and power consumption for Bayabas for the period of Feb 20 - Mar 21, 2026, with account number 9364721111-4, as per billing invoice 1010675577.</t>
  </si>
  <si>
    <t>2026-0672</t>
  </si>
  <si>
    <t>National Labor Relations Commission Eighth Division</t>
  </si>
  <si>
    <t>Separation Pay</t>
  </si>
  <si>
    <t>Payment for separation pay of the following terminated employees: Joseph M. Alegado, Arthur Flang, Anselmo Galgo, Julie Hermosa, Alfredo Lucin, Ernel Madanlo and Freden Mandahay, as per NLRC RAB Case No. - RABXI 01-00037-25.</t>
  </si>
  <si>
    <t>2026-0673</t>
  </si>
  <si>
    <t>RFP2026-056</t>
  </si>
  <si>
    <t>Security Deposit</t>
  </si>
  <si>
    <t>Payment for Container deposit (refundable), as per RFP2026-056.</t>
  </si>
  <si>
    <t>2026-0674</t>
  </si>
  <si>
    <t>RFP2026-057</t>
  </si>
  <si>
    <t>Payment to Ma'am Marlyn as Bookkeeper for all in processing including BIR processing fee, receipts and notarial intended for OLS Biotechnologies Corp., as per RFP2026-057.</t>
  </si>
  <si>
    <t>2026-0675</t>
  </si>
  <si>
    <t>PO6361</t>
  </si>
  <si>
    <t>PR4797</t>
  </si>
  <si>
    <t>Payment for solvent cement 400CC intended for building floor slab - swimming pool, as per PO6361.</t>
  </si>
  <si>
    <t>2026-0676</t>
  </si>
  <si>
    <t>REIM-RCJ26-006</t>
  </si>
  <si>
    <t>Various expenses of RCJ, subject for reimbursement, as per REIM26-006.</t>
  </si>
  <si>
    <t>2026-0677</t>
  </si>
  <si>
    <t>RFP2026-058</t>
  </si>
  <si>
    <t>Payment for surety - warranty bond for the project: Design and construction of 7-storey building of SPMC Pahulayan with roofdeck, contract ID: 21L0-0136.</t>
  </si>
  <si>
    <t>2026-0678</t>
  </si>
  <si>
    <t>RFP2026-059</t>
  </si>
  <si>
    <t>Payment for surety - warranty bond for the project: Design and construction of multi storey parking with road network at Camp Sgt., Quintin M. Merecido, Buhangin, contract ID: 21L0-0139.</t>
  </si>
  <si>
    <t>2026-0679</t>
  </si>
  <si>
    <t>RFP2026-060</t>
  </si>
  <si>
    <t>Payment for surety - warranty bond for the construction/completion of multipurpose building mindanao kidney transplant @ SPMC, Davao City with contract ID: 21L0-0056.</t>
  </si>
  <si>
    <t>2026-0680</t>
  </si>
  <si>
    <t>Payroll for caretaker of Bukidnon property for the month of March 2026.</t>
  </si>
  <si>
    <t>04.10.2026</t>
  </si>
  <si>
    <t>2026-0681</t>
  </si>
  <si>
    <t>Atty. Jeronimo B. Cumigad</t>
  </si>
  <si>
    <t>Payment for Professional fee of Atty. Cumigad (Appearance fee for hearings in Davao City last Feb 09 and Mar 30, 2026 including meals and transportation).</t>
  </si>
  <si>
    <t>2026-0682</t>
  </si>
  <si>
    <t>FEB21-MAR22</t>
  </si>
  <si>
    <t>Light and power consumption for Capili under the name of MRJ for the period of Feb 21 - Mar 22, 2026, with account number 0825792227-1, as per billing invoice 1010698616.</t>
  </si>
  <si>
    <t>2026-0683</t>
  </si>
  <si>
    <t>Prozone Xpress Logistics Inc.</t>
  </si>
  <si>
    <t>Payment to broker including terminal handling fee, import release fee, container cleaning fee, peak season charge, container imbalance charge and go fast aisl (with Php 10,000.00 container deposit) intended for importation of materials from Ningbo Zhonggrui Import &amp; Export Co., LTD with BL No. 142503812903UWS.</t>
  </si>
  <si>
    <t>2026-0684</t>
  </si>
  <si>
    <t>Encashment from BDO BGC OMET intended for various BGC request.</t>
  </si>
  <si>
    <t>2026-0685</t>
  </si>
  <si>
    <t>2026-0686</t>
  </si>
  <si>
    <t xml:space="preserve">Cash deposit to ChinaBank Monte OMET intended for customs </t>
  </si>
  <si>
    <t>2026-0687</t>
  </si>
  <si>
    <t>2026-0688</t>
  </si>
  <si>
    <t>2026-0689</t>
  </si>
  <si>
    <t>2026-0690</t>
  </si>
  <si>
    <t>2026-0691</t>
  </si>
  <si>
    <t>2026-0692</t>
  </si>
  <si>
    <t>TRF2026-021</t>
  </si>
  <si>
    <t>Travel allowance to CDO &amp; Marawi City on April 06 - 07, 2026 with company driver to pick up collection @ NMMC and APMC as per TRF2026-021, subject for liquidation.</t>
  </si>
  <si>
    <t>2026-0693</t>
  </si>
  <si>
    <t>JAN23-MAR25</t>
  </si>
  <si>
    <t>Water consumption for Villa Josefina Under MRJ for the period of Feb 23 - Mar 25, 2026, as per billing no. 00001049356.</t>
  </si>
  <si>
    <t>2026-0694</t>
  </si>
  <si>
    <t>RFP67</t>
  </si>
  <si>
    <t>Fuel intended for OMET vehicles, trucks and genset for week Apr 06 - 12, 2026 week 05 as per RFP67, subject for liquidation.</t>
  </si>
  <si>
    <t>2026-0695</t>
  </si>
  <si>
    <t>RFP68</t>
  </si>
  <si>
    <t>Payment for break hydroback intended for parts of CAF 8729 as per RFP68, subject for liquidation.</t>
  </si>
  <si>
    <t>2026-0696</t>
  </si>
  <si>
    <t>TRF2026-022</t>
  </si>
  <si>
    <t>Travel allowance to Subic any day of the week with Andy and 6 workers to unload and load furnitures for MKTI PH4 project as per TRF2026-022, subject for liquidation.</t>
  </si>
  <si>
    <t>2026-0697</t>
  </si>
  <si>
    <t>RFP65</t>
  </si>
  <si>
    <t>Payment for Wingvan rental (atleast 70% DP) from Subic to Davao intended for pick up of MOT cabinet  as per RFP65, subject for liquidation.</t>
  </si>
  <si>
    <t>Cash Deposit</t>
  </si>
  <si>
    <t>04.08.2026 &amp; 04.13.2026</t>
  </si>
  <si>
    <t>70% Cash deposit to Lozada &amp; 30% Cash deposit to Carlou</t>
  </si>
  <si>
    <t>2026-0698</t>
  </si>
  <si>
    <t>RFP66</t>
  </si>
  <si>
    <t>Payment for trucking rental (from Subic Port to Yard) intended for pick up of MOT cabinet as per RFP66, subject for liquidation.</t>
  </si>
  <si>
    <t>2026-0699</t>
  </si>
  <si>
    <t>2026-0700</t>
  </si>
  <si>
    <t>2026-0701</t>
  </si>
  <si>
    <t>2026-0702</t>
  </si>
  <si>
    <t>2026-0703</t>
  </si>
  <si>
    <t>2026-0704</t>
  </si>
  <si>
    <t>2026-0705</t>
  </si>
  <si>
    <t>Cash deposit to Chinabank Monte OMET intended for Custom (furnitures under MKTI PH project)</t>
  </si>
  <si>
    <t>2026-0706</t>
  </si>
  <si>
    <t>2026-0707</t>
  </si>
  <si>
    <t>2026-0708</t>
  </si>
  <si>
    <t>FINAL PAY</t>
  </si>
  <si>
    <t>Cyra Mae Mullet</t>
  </si>
  <si>
    <t>Final pay of Cyra Mae Mullet as Accounting &amp; Admin Staff at BGC Office for the year 2026.</t>
  </si>
  <si>
    <t>2026-0709</t>
  </si>
  <si>
    <t>RFP2026-061</t>
  </si>
  <si>
    <t>Office consumption for Jluna office and Corange office for the month of APRIL 2026 as per RFP2026-061, subject for liquidation.</t>
  </si>
  <si>
    <t>04.22.2026</t>
  </si>
  <si>
    <t>2026-0710</t>
  </si>
  <si>
    <t>PO6362</t>
  </si>
  <si>
    <t>PR4799</t>
  </si>
  <si>
    <t>Parts and Materials Xchange Corp.</t>
  </si>
  <si>
    <t>Payment for PO6362, copper tube 5/8 and copper tube 3/8 intended for MKTI - copper tube request for Mezzanine outdoor units.</t>
  </si>
  <si>
    <t>Revised PO dated 04/14 due to change of supplier from True Aire</t>
  </si>
  <si>
    <t>2026-0711</t>
  </si>
  <si>
    <t>PO6366</t>
  </si>
  <si>
    <t>PR4801</t>
  </si>
  <si>
    <t>Payment for PO6366, curved profile vinyl baseboard intended for MKTI - baseboard reinstallation on 4F room 406.</t>
  </si>
  <si>
    <t>04.28.2026</t>
  </si>
  <si>
    <t>borrowed fund from Logistics</t>
  </si>
  <si>
    <t>2026-0712</t>
  </si>
  <si>
    <t>PO6367</t>
  </si>
  <si>
    <t>Payment for PO6367, rugby intended for MKTI - baseboard reinstallation on 4F room 406.</t>
  </si>
  <si>
    <t>Cash payment c/o Purchasing</t>
  </si>
  <si>
    <t>2026-0713</t>
  </si>
  <si>
    <t>PO6368</t>
  </si>
  <si>
    <t>PR4800</t>
  </si>
  <si>
    <t>Payment for PO6368, skim coat intended for MKTI - skim coat for 3F hemodialysis area entryways.</t>
  </si>
  <si>
    <t>2026-0714</t>
  </si>
  <si>
    <t>FEB16-MAR15</t>
  </si>
  <si>
    <t>Internet line subscription of D10 and D6 office for the period Feb 16 - Mar 15, 2026  with account number 927404116.</t>
  </si>
  <si>
    <t>Gcash Bills Payment</t>
  </si>
  <si>
    <t>2026-0715</t>
  </si>
  <si>
    <t>Internet line subscription of Villa Josefina for the period Feb 16 - Mar 15, 2026  with account number 929950485.</t>
  </si>
  <si>
    <t>2026-0716</t>
  </si>
  <si>
    <t>FEB18-MAR17</t>
  </si>
  <si>
    <t>Payment for IWHA and Door 6 office internet bill for the period of Feb 18 - Mar 17, 2026, as per billing invoice no. 0671183639.</t>
  </si>
  <si>
    <t>PNB Bills Payment</t>
  </si>
  <si>
    <t>2026-0717</t>
  </si>
  <si>
    <t>Payment for storage (Php 21,727.00) and demurrage (Php 45,735.00) until April 9 intended for the shipment of steel cabinet.</t>
  </si>
  <si>
    <t>Fund from RCJ</t>
  </si>
  <si>
    <t>RCJ</t>
  </si>
  <si>
    <t>from RCJ 200K</t>
  </si>
  <si>
    <t>2026-0718</t>
  </si>
  <si>
    <t>JIB-REPLE26-007</t>
  </si>
  <si>
    <t>Various expenses related to marketing cost held from PCF establishment subj for 7th replenishment for 2026 ref. CV2025-2162 and CV2025-2558.</t>
  </si>
  <si>
    <t>2026-0719</t>
  </si>
  <si>
    <t>2026-0720</t>
  </si>
  <si>
    <t>2026-0721</t>
  </si>
  <si>
    <t>2026-0722</t>
  </si>
  <si>
    <t>Reimbursement</t>
  </si>
  <si>
    <t>2026-0723</t>
  </si>
  <si>
    <t>2026-0724</t>
  </si>
  <si>
    <t>2026-0725</t>
  </si>
  <si>
    <t>2026-0726</t>
  </si>
  <si>
    <t>2026-0727</t>
  </si>
  <si>
    <t>2026-0728</t>
  </si>
  <si>
    <t>PO6369</t>
  </si>
  <si>
    <t>PR4791</t>
  </si>
  <si>
    <t>Payment for PO6369, blower blade  (right) intended for MKTI - Daikin blower replacement for faulty concealed ACU FDMRN140AXVL9.</t>
  </si>
  <si>
    <t>2026-0729</t>
  </si>
  <si>
    <t>PO6342</t>
  </si>
  <si>
    <t>PR4789</t>
  </si>
  <si>
    <t>Tenny Enterprise Inc</t>
  </si>
  <si>
    <t>Payment for PO6342, 1x1 angle bar 2.0mm thickness intended for MKTI - angle bars for sealing window gaps.</t>
  </si>
  <si>
    <t>2026-0730</t>
  </si>
  <si>
    <t>2026-0731</t>
  </si>
  <si>
    <t>2026-0732</t>
  </si>
  <si>
    <t>2026-0733</t>
  </si>
  <si>
    <t>2026-0734</t>
  </si>
  <si>
    <t>Cash to RCJ intended for various management expenses, as per SPJ instruction.</t>
  </si>
  <si>
    <t>2026-0735</t>
  </si>
  <si>
    <t>5587-6910-0141-0576</t>
  </si>
  <si>
    <t>BPI Corporate Card</t>
  </si>
  <si>
    <t>Payment for various charges of Elaine Barba's BPI Corporate card with card no. 5587 6910 0141 0576.</t>
  </si>
  <si>
    <t>2026-0736</t>
  </si>
  <si>
    <t>PO6373</t>
  </si>
  <si>
    <t>PR4804</t>
  </si>
  <si>
    <t>Payment for PO6373, #4 PVC pipes series 1000 and acrytex primer intended for MKTI PVC pipes for blood dirty sink.</t>
  </si>
  <si>
    <t>2026-0737</t>
  </si>
  <si>
    <t>PO6372</t>
  </si>
  <si>
    <t>PR4805</t>
  </si>
  <si>
    <t>Payment for PO6372, 17W LED bulb daylight recessed and 3.5mm2 wire intended for MKTI additional lighting for GF Dialysis area.</t>
  </si>
  <si>
    <t>2026-0738</t>
  </si>
  <si>
    <t>PO6371</t>
  </si>
  <si>
    <t>PR4806</t>
  </si>
  <si>
    <t>Payment for PO6371, 14mm THHN wire black intended for MKTI wiring for power pump room.</t>
  </si>
  <si>
    <t>2026-0739</t>
  </si>
  <si>
    <t>RFP71</t>
  </si>
  <si>
    <t>Rodulfo Noceja</t>
  </si>
  <si>
    <t>Payment for rubber motor and motor steel holder clam (left and right) intended for replacement for faulty concealed ACU as per RFP71, subject for liquidation.</t>
  </si>
  <si>
    <t>2026-0740</t>
  </si>
  <si>
    <t>RFP70</t>
  </si>
  <si>
    <t>Additional payment for Wingvan rental due to oil price increase from Subic to Davao intended for pick up of MOT cabinet  as per RFP70, subject for liquidation.</t>
  </si>
  <si>
    <t>04.13.2026</t>
  </si>
  <si>
    <t>Cash deposit to Carlou</t>
  </si>
  <si>
    <t>2026-0741</t>
  </si>
  <si>
    <t>RFP69</t>
  </si>
  <si>
    <t>Fuel intended for OMET vehicles, trucks and genset for week Apr 13 - 19, 2026 week 02 as per RFP69, subject for liquidation.</t>
  </si>
  <si>
    <t>2026-0742</t>
  </si>
  <si>
    <t>RFP2026-062</t>
  </si>
  <si>
    <t>Payment for drinking water supply of D6 and D10 for the period March 13, 23 &amp; 27, 2026 (11 bottles) as per RFP2026-062.</t>
  </si>
  <si>
    <t>2026-0743</t>
  </si>
  <si>
    <t>RFP2026-063</t>
  </si>
  <si>
    <t>Surety - Warranty Bond</t>
  </si>
  <si>
    <t>Payment for surety - warranty bond (30%) for the construction of Multi-Speciality Hospital annex building, Camp Quintin M. Merecido, Buhangin, Davao City with contract ID No. 22LB-0401 (Contract Amount: Php 48,820,000.00 / 49,000,000.00), as per RFP2026-063.</t>
  </si>
  <si>
    <t>2026-0744</t>
  </si>
  <si>
    <t>PO6379</t>
  </si>
  <si>
    <t>PR4786</t>
  </si>
  <si>
    <t>Payment for PO6379, universal TV bracket for wall mount for CCTV monitor intended for 60x60 LED light panel for server room and TV bracket for wall mount in CCTV room.</t>
  </si>
  <si>
    <t>ON: 1093562538644954</t>
  </si>
  <si>
    <t>2026-0745</t>
  </si>
  <si>
    <t>PO6381</t>
  </si>
  <si>
    <t>PR4787</t>
  </si>
  <si>
    <t>Payment for PO6381, rechargeable battery SRB 12V 9ah battery intended for UPS replacement and battery replacement for UPS-ALVO OR.</t>
  </si>
  <si>
    <t>2026-0746</t>
  </si>
  <si>
    <t>PO6382</t>
  </si>
  <si>
    <t>Payment for PO6382, various THHN stranded cable intended for UPS replacement and battery replacement for UPS-ALVO OR.</t>
  </si>
  <si>
    <t>2026-0747</t>
  </si>
  <si>
    <t>PO6380</t>
  </si>
  <si>
    <t>Dfestore.Com</t>
  </si>
  <si>
    <t>Payment for PO6380, 650 VA UPS intended for UPS replacement and battery replacement for UPS-ALVO OR.</t>
  </si>
  <si>
    <t>2026-0748</t>
  </si>
  <si>
    <t>PO6383</t>
  </si>
  <si>
    <t>Ecoshift Corporation</t>
  </si>
  <si>
    <t>Payment for PO6383, 60x60 LED light panel intended for 60x60 LED light panel for server room and TV bracket for wall mount in CCTV room.</t>
  </si>
  <si>
    <t>2026-0749</t>
  </si>
  <si>
    <t>PO6384</t>
  </si>
  <si>
    <t>PR4808</t>
  </si>
  <si>
    <t>Payment for PO6384, 3000 PSI premix concrete intended for building floor slab - material request 025.</t>
  </si>
  <si>
    <t>2026-0750</t>
  </si>
  <si>
    <t>TRF2026-023</t>
  </si>
  <si>
    <t>Travel allowance to Oroquieta City on April 15 - 17, 2026 with Jibrielle Gayak and company driver for product presentation at Asenso Misamis Occidental Medical Center as per TRF2026-023, subject for liquidation.</t>
  </si>
  <si>
    <t>04.14.2026</t>
  </si>
  <si>
    <t>from CLJ</t>
  </si>
  <si>
    <t>2026-0751</t>
  </si>
  <si>
    <t>TRF2026-024</t>
  </si>
  <si>
    <t>Travel allowance to Oroquieta City on April 15 - 17, 2026 with Diana Adeja and company driver for product presentation at Asenso Misamis Occidental Medical Center as per TRF2026-024, subject for liquidation.</t>
  </si>
  <si>
    <t>2026-0752</t>
  </si>
  <si>
    <t>MAR26-APR10</t>
  </si>
  <si>
    <t>Payment for Croc Park site bi-monthly payroll for the period Mar 26 - Apr 10, 2026.</t>
  </si>
  <si>
    <t>2026-0753</t>
  </si>
  <si>
    <t>Payment for BGC site bi-monthly payroll for the period Mar 26 - Apr 10, 2026.</t>
  </si>
  <si>
    <t>2026-0754</t>
  </si>
  <si>
    <t>Payroll for OMET Mindanao Admin Tech semi monthly employees for the period Mar 26 - Apr 10, 2026.</t>
  </si>
  <si>
    <t>SSS Contribution - EE Share</t>
  </si>
  <si>
    <t>PHIC Contribution - EE Share</t>
  </si>
  <si>
    <t>HDMF Contribution - EE Share</t>
  </si>
  <si>
    <t>2026-0755</t>
  </si>
  <si>
    <t>Payroll for OMET BGC Admin Tech semi monthly employees for the period Mar 26 - Apr 10, 2026.</t>
  </si>
  <si>
    <t>2026-0756</t>
  </si>
  <si>
    <t>RFP2026-064</t>
  </si>
  <si>
    <t>Payment for blueprinting sets intended for Engineering Plans as per RFP2026-064, subject for liquidation.</t>
  </si>
  <si>
    <t>2026-0757</t>
  </si>
  <si>
    <t>To record refund of 10% Retention Fee for the Repair and Upgrading of Operating Room in New Hospital Building - Original Contract with contract amount of Php 38,476,533.69 (LBP PHIC Income).</t>
  </si>
  <si>
    <t>Check deposit to Sterling OMET c/o Jazz</t>
  </si>
  <si>
    <t>0001742554</t>
  </si>
  <si>
    <t>04.07.2026</t>
  </si>
  <si>
    <t>2026-0758</t>
  </si>
  <si>
    <t>APR 1ST HALF</t>
  </si>
  <si>
    <t>50% Partial deposit intended for Household expenses for the month of APRIL 2026.</t>
  </si>
  <si>
    <t>2026-0759</t>
  </si>
  <si>
    <t>APR2026</t>
  </si>
  <si>
    <t>Rental for Iwha staff house for the month of APRIL 2026.</t>
  </si>
  <si>
    <t>2026-0760</t>
  </si>
  <si>
    <t>Direct Labor - Internal</t>
  </si>
  <si>
    <t>Payment for Mindanao site bi-monthly payroll for the period Mar 26 - Apr 10, 2026.</t>
  </si>
  <si>
    <t>2026-0761</t>
  </si>
  <si>
    <t>TRF2026-025</t>
  </si>
  <si>
    <t>CRMC ISO II</t>
  </si>
  <si>
    <t>Travel allowance to Cotabato City on April 15 - 16, 2026 with Rudy Noceja, Reynald de Juan, Daniel Austria and company driver, Jojo intended for sealing door gaps (CRMC ISO II) and evaluation of windows installation (CRMC Windows) as per TRF2026-025, subject for liquidation.</t>
  </si>
  <si>
    <t>CRMC Windows</t>
  </si>
  <si>
    <t>2026-0762</t>
  </si>
  <si>
    <t>RFP72</t>
  </si>
  <si>
    <t>Payment for RFP72, Ordinary plywood 9mm and ordinary door knob with key intended for materials for bunkhouse.</t>
  </si>
  <si>
    <t>2026-0763</t>
  </si>
  <si>
    <t>TRF2026-026</t>
  </si>
  <si>
    <t>Jibvil Villegas</t>
  </si>
  <si>
    <t>Travel allowance to Marawi City on April 15 - 19, 2026 with driver and site workers intended for warehouse/bill board installation as per TRF2026-026, subject for liquidation.</t>
  </si>
  <si>
    <t>Fund Transfer to Carlou Bon Selorio</t>
  </si>
  <si>
    <t>2026-0764</t>
  </si>
  <si>
    <t>RFP2026-065</t>
  </si>
  <si>
    <t>Payment  for bidding documents intended for Asenso Misamis Occidental Medical Center as per RFP2026-065, subject for liquidation.</t>
  </si>
  <si>
    <r>
      <rPr>
        <b/>
        <sz val="9"/>
        <color rgb="FFFF0000"/>
        <rFont val="Aptos Display"/>
        <family val="2"/>
        <scheme val="major"/>
      </rPr>
      <t>UNLIQUIDATED</t>
    </r>
    <r>
      <rPr>
        <sz val="9"/>
        <color rgb="FF000000"/>
        <rFont val="Aptos Display"/>
        <family val="2"/>
        <scheme val="major"/>
      </rPr>
      <t xml:space="preserve"> c/o Diana Marie Adeja</t>
    </r>
  </si>
  <si>
    <t>2026-0765</t>
  </si>
  <si>
    <t>TRF2026-027</t>
  </si>
  <si>
    <t>Travel allowance to Cagayan de Oro City on April 21 - 23, 2026 intended for pulling out of materials from NMMC project site as per TRF2026-027, subject for liquidation.</t>
  </si>
  <si>
    <t>Cash deposit to Luis c/o Jazz</t>
  </si>
  <si>
    <t>04.30.2026</t>
  </si>
  <si>
    <t>2026-0766</t>
  </si>
  <si>
    <t>PO6386</t>
  </si>
  <si>
    <t>PR4796</t>
  </si>
  <si>
    <t>Payment for PO6386, concrete 3500 PSI intended for OMET Croc Park  ready mix concrete 3500 PSI (Pedestal).</t>
  </si>
  <si>
    <t>2026-0767</t>
  </si>
  <si>
    <t>PO6385</t>
  </si>
  <si>
    <t>PR4809</t>
  </si>
  <si>
    <t>Mapei Philippines Inc.</t>
  </si>
  <si>
    <t>Payment for PO6385, tile adhesive (MAPEI) for  glass mosaic tiles and tile grout - epoxy blacck (Laticrete) intended for building floor slab - material request 026.</t>
  </si>
  <si>
    <t>2026-0768</t>
  </si>
  <si>
    <t>Encashment from STERLING OMET intended for Croc Park and Villa Josefina requests.</t>
  </si>
  <si>
    <t>0007536249</t>
  </si>
  <si>
    <t>04.15.2026</t>
  </si>
  <si>
    <t>Sterling</t>
  </si>
  <si>
    <t>2026-0769</t>
  </si>
  <si>
    <t>An Keah Gongob</t>
  </si>
  <si>
    <t>SSS Maternity benefit claim during her pregnancy credited from OMET account.</t>
  </si>
  <si>
    <t>Check payment to An</t>
  </si>
  <si>
    <t>0095319801</t>
  </si>
  <si>
    <t>04.16.2026</t>
  </si>
  <si>
    <t>from DBP OMET</t>
  </si>
  <si>
    <t>2026-0770</t>
  </si>
  <si>
    <t>LUIS26-002</t>
  </si>
  <si>
    <t>Payment to FS Singapore for Cisco SFP+ module intended for SFP+ module for NMMC auxiliary system as per order No. FS260415140648, subject for reimbursement to Luis.</t>
  </si>
  <si>
    <t>2026-0771</t>
  </si>
  <si>
    <t>RFP2026-066</t>
  </si>
  <si>
    <t>Payment for ante date of contract for APMC project as per RFP2026-066, subject for liquidation.</t>
  </si>
  <si>
    <t>Printing and Documentation</t>
  </si>
  <si>
    <t>2026-0772</t>
  </si>
  <si>
    <t>RFP73</t>
  </si>
  <si>
    <t>Fuel intended for OMET vehicles, trucks and genset for week Apr 20 - 26, 2026 week 03 as per RFP73, subject for liquidation.</t>
  </si>
  <si>
    <t>2026-0773</t>
  </si>
  <si>
    <t>JRSB-REPLE26-002</t>
  </si>
  <si>
    <t>Various expenses held from PCF establishment subj for 2nd replenishment for 2026 ref. CV2026-0168.</t>
  </si>
  <si>
    <t>2026-0774</t>
  </si>
  <si>
    <t>2026-0775</t>
  </si>
  <si>
    <t>2026-0776</t>
  </si>
  <si>
    <t>2026-0777</t>
  </si>
  <si>
    <t>2026-0778</t>
  </si>
  <si>
    <t>2026-0779</t>
  </si>
  <si>
    <t>2026-0780</t>
  </si>
  <si>
    <t>2026-0781</t>
  </si>
  <si>
    <t>2026-0782</t>
  </si>
  <si>
    <t>2026-0783</t>
  </si>
  <si>
    <t>RFP76</t>
  </si>
  <si>
    <t>Payment for fuel (diesel) intended for Sumitomo Exca as per RFP76, subject for liquidation.</t>
  </si>
  <si>
    <t>2026-0784</t>
  </si>
  <si>
    <t>RFP75</t>
  </si>
  <si>
    <t>Payment for hauling of 10 wheelers (20-22 cubic) as per RFP75.</t>
  </si>
  <si>
    <t>2026-0785</t>
  </si>
  <si>
    <t>PO6392</t>
  </si>
  <si>
    <t>Payment for PO6392, Concrete 3500 PSI with underload charge intended for OMET Croc Park ready mix concrete 3500 PSI (Pedestal).</t>
  </si>
  <si>
    <t>2026-0786</t>
  </si>
  <si>
    <t>RFP74</t>
  </si>
  <si>
    <t>RD Logistics Services</t>
  </si>
  <si>
    <t>Payment for sea freight shipment fee of tile grout and tile adhesive intended for Villa Josefina swimming pool, as per RFP74.</t>
  </si>
  <si>
    <t>04.20.2026</t>
  </si>
  <si>
    <t>Provisional Receipt No. 0451 dated 04.21.2026</t>
  </si>
  <si>
    <t>2026-0787</t>
  </si>
  <si>
    <t>Payment for PNB Corporate loan principal due of 3,100,000.00 and interest of 782,750.00 for the period of 03/28/2026 to 04/28/2026 as per SI PN# Original loan old PN# 800012521070.</t>
  </si>
  <si>
    <t>2026-0788</t>
  </si>
  <si>
    <t>Payment for monthly loan interest for the month of April 29, 2026.</t>
  </si>
  <si>
    <t>BPI Rivera</t>
  </si>
  <si>
    <t>2026-0789</t>
  </si>
  <si>
    <t>MAR12-APR12</t>
  </si>
  <si>
    <t>Power consumption for the period of Mar 12 - Apr 12, 2026 of D10 office with account number 8215822313-9, as per billing invoice no. 1011034514.</t>
  </si>
  <si>
    <t>2026-0790</t>
  </si>
  <si>
    <t>Power consumption for the period of Mar 12 - Apr 12, 2026 of Door 06 Corange office with account number 4790525717-7, as per billing invoice no. 1011031873.</t>
  </si>
  <si>
    <t>2026-0791</t>
  </si>
  <si>
    <t>MAR16-31</t>
  </si>
  <si>
    <t>Security services rendered by MINSAS security guard covering the period Mar 16 - 31, 2026 at OMET Croc Park site.</t>
  </si>
  <si>
    <t>Billing Invoice No. 1836 dated 05.05.2026</t>
  </si>
  <si>
    <t>2026-0792</t>
  </si>
  <si>
    <t>Security services rendered by MINSAS security guard covering the period Mar 16 - 31, 2026 at Admin-Jluna.</t>
  </si>
  <si>
    <t>2026-0793</t>
  </si>
  <si>
    <t>APR1-15</t>
  </si>
  <si>
    <t>Security services rendered by MINSAS security guard covering the period Apr 01 - 15, 2026 at OMET Croc Park site.</t>
  </si>
  <si>
    <t>Fund from SPJ</t>
  </si>
  <si>
    <t>2026-0794</t>
  </si>
  <si>
    <t>Security services rendered by MINSAS security guard covering the period Apr 01 - 15, 2026 at Admin-Jluna.</t>
  </si>
  <si>
    <t>2026-0795</t>
  </si>
  <si>
    <t>PO6377</t>
  </si>
  <si>
    <t>Payment for PO6377, 3000 PSI premix concrete intended for building floor slab - material request 025.</t>
  </si>
  <si>
    <t>Cash deposit dated 04.10.2026 c/o Jazz</t>
  </si>
  <si>
    <t>2026-0796</t>
  </si>
  <si>
    <t>PO6378</t>
  </si>
  <si>
    <t>Payment for PO6378, 10mm rebars grade 33 and tie wire #16 intended for building floor slab - material request 025.</t>
  </si>
  <si>
    <t>2026-0797</t>
  </si>
  <si>
    <t>02-291619-1</t>
  </si>
  <si>
    <t>Water consumption for D10 office for the period of Feb - Apr, 2026 with account number 02-291619-1.</t>
  </si>
  <si>
    <t>Reconnection Fee</t>
  </si>
  <si>
    <t>2026-0798</t>
  </si>
  <si>
    <t>Water consumption for D6 Corange Inc office for the period of Feb 03 - Apr 03, 2026. Account No. 02-307370-5</t>
  </si>
  <si>
    <t>2026-0799</t>
  </si>
  <si>
    <t>2026-0800</t>
  </si>
  <si>
    <t>Encashment from Sterling OMET intended for various OMET operating expenses.</t>
  </si>
  <si>
    <t>0007536254</t>
  </si>
  <si>
    <t>2026-0801</t>
  </si>
  <si>
    <t>Encashment from Sterling Corange intended for Door 6 office rental dated April 17, 2026.</t>
  </si>
  <si>
    <t>0006583422</t>
  </si>
  <si>
    <t>2026-0802</t>
  </si>
  <si>
    <t>Cash deposit to Secbank OMET to replenish maintaining balance due to return of post-dated checks, as per AGB instruction.</t>
  </si>
  <si>
    <t>from 174K Encashment CV2026-0800 04.22.2026 under EBRO D10 office rental fund</t>
  </si>
  <si>
    <t>30,990 remaining cash from Ebro fund</t>
  </si>
  <si>
    <t>2026-0803</t>
  </si>
  <si>
    <t>PO6395</t>
  </si>
  <si>
    <t>PR4820</t>
  </si>
  <si>
    <t>Payment for PO6395, Gravel 3/4" intended for OMET Croc Park aggregates.</t>
  </si>
  <si>
    <t>CSI# 126 04/23/2026</t>
  </si>
  <si>
    <t>2026-0804</t>
  </si>
  <si>
    <t>PO6394</t>
  </si>
  <si>
    <t>PR4824</t>
  </si>
  <si>
    <t>Payment for PO6394, Map gas and welding rod silver intended for MKTI Map Gas and welding rods for mezzanine ACU outdoor unit relocation to second floor.</t>
  </si>
  <si>
    <t>2026-0805</t>
  </si>
  <si>
    <t>SSS contribution for Angel May Dionela for the months of Aug - Dec 2023, Jan - Aug 2024, Feb - Mar &amp; August 2025 and Jan - Mar 2026.</t>
  </si>
  <si>
    <t>Payment via EGOV account 407870004101</t>
  </si>
  <si>
    <t>2026-0806</t>
  </si>
  <si>
    <t>Various expenses incurred during travel to BIR Kidapawan last 03/17/2026 and 04/21/2026, subject for reimbursement to AGB.</t>
  </si>
  <si>
    <t>2026-0807</t>
  </si>
  <si>
    <t>BUS. PERMIT</t>
  </si>
  <si>
    <t>2nd QTR</t>
  </si>
  <si>
    <t>City Treasurer's Office</t>
  </si>
  <si>
    <t>2026-0808</t>
  </si>
  <si>
    <t>2026-0809</t>
  </si>
  <si>
    <t>Monthly tuition fee of Altheya for the 2nd semester of B.S in Nursing for 3rd year level.</t>
  </si>
  <si>
    <t>2026-0810</t>
  </si>
  <si>
    <t>Cash In Bank - BPI Rivera OMET</t>
  </si>
  <si>
    <t>Fund transfer (via check deposit) from Sterling OMET to BPI Rivera OMET intended for autoloans.</t>
  </si>
  <si>
    <t>0007536257</t>
  </si>
  <si>
    <t>2026-0811</t>
  </si>
  <si>
    <t>18 Degrees Air Cooling Solutions Inc.</t>
  </si>
  <si>
    <t>Partial payment to 18 Degrees Air Cooling Solutions, Inc. for various accounts payable from various projects.</t>
  </si>
  <si>
    <t>0007536255</t>
  </si>
  <si>
    <t>2026-0812</t>
  </si>
  <si>
    <t>PO6396</t>
  </si>
  <si>
    <t>PR4826</t>
  </si>
  <si>
    <t>Payment for PO6396, Stikwell, acretyx primer, nonsag epoxy, paint brush #4 and paint brush #3 intended for MKTI tile work materials for 4F restroom.</t>
  </si>
  <si>
    <t>2026-0813</t>
  </si>
  <si>
    <t>PO6397</t>
  </si>
  <si>
    <t>PR4825</t>
  </si>
  <si>
    <t>Payment for PO6397, 8mm wire for supply and 5.5mm wire for grounding intended for MKTI cistern tank additional electrical wire request.</t>
  </si>
  <si>
    <t>2026-0814</t>
  </si>
  <si>
    <t>PO6398</t>
  </si>
  <si>
    <t>PR4812</t>
  </si>
  <si>
    <t>Payment for PO6398, 5.5mm wire, 3.5mm wire (green) and electrical tape intended for MKTI electrical works for relocation of mezzanine outdoor units 04-13-26.</t>
  </si>
  <si>
    <t>2026-0815</t>
  </si>
  <si>
    <t>RFP79</t>
  </si>
  <si>
    <t>Payment for fuel (diesel) intended for Sumitomo Exca as per RFP79, subject for liquidation.</t>
  </si>
  <si>
    <t>2026-0816</t>
  </si>
  <si>
    <t>Province of Misamis Occidental</t>
  </si>
  <si>
    <t>Donation for the Province of Misamis Occidental.</t>
  </si>
  <si>
    <t>0007536258</t>
  </si>
  <si>
    <t>04.23.20260</t>
  </si>
  <si>
    <t>2026-0817</t>
  </si>
  <si>
    <t>Reynaldo Juanitas / Evangeline Yap</t>
  </si>
  <si>
    <t>Payment for various vouchers, PO's and receipts intended for various projects, subject for reimbursement to RCJ.</t>
  </si>
  <si>
    <t>2026-0818</t>
  </si>
  <si>
    <t>Venancio Buduan Jr / Evangeline Yap</t>
  </si>
  <si>
    <t xml:space="preserve">MKTI  </t>
  </si>
  <si>
    <t>Payment for CV2023-4149 for contract no. 202102-11, CV2025-1437 for contract no. 202409-11 and CV2025-1438 for contract no. 202409-12 of Venancio Buduan Jr, subject for reimbursement to RCJ.</t>
  </si>
  <si>
    <t>2026-0819</t>
  </si>
  <si>
    <t>RFP77</t>
  </si>
  <si>
    <t>Payment for hauling of 10 wheelers (20-22 cubic) as per RFP77.</t>
  </si>
  <si>
    <t>04.21.2026</t>
  </si>
  <si>
    <t>CSI# 124 04/21/2026</t>
  </si>
  <si>
    <t>2026-0820</t>
  </si>
  <si>
    <t>Payment for the 10% retention of labor for ducting works with contract no. 202503-04, as per RFP2026-067.</t>
  </si>
  <si>
    <t>2026-0821</t>
  </si>
  <si>
    <t>RFP80</t>
  </si>
  <si>
    <t>Fuel intended for OMET vehicles, trucks and genset for week Apr 27 - May 03, 2026 week 04 as per RFP80, subject for liquidation.</t>
  </si>
  <si>
    <t>2026-0822</t>
  </si>
  <si>
    <t>Payment for replace of spring, change oil and engine cleaning intended for repair and recon of Lawn Mower as per RFP76, subject for liquidation.</t>
  </si>
  <si>
    <t>2026-0823</t>
  </si>
  <si>
    <t>RFP2026-068</t>
  </si>
  <si>
    <t>Four Sister Building System, Inc.</t>
  </si>
  <si>
    <t>PARTIALLY PAID</t>
  </si>
  <si>
    <t>Downpayment or mobilization for the supply and installation of  glass works with contract amounting of Php 2,300,000.00, as per RFP2026-068.</t>
  </si>
  <si>
    <t>0007536270</t>
  </si>
  <si>
    <t>2026-0824</t>
  </si>
  <si>
    <t>TRF2026-028</t>
  </si>
  <si>
    <t>Ela Degamo</t>
  </si>
  <si>
    <t>Travel allowance of Ar. Ela to Cotabato City on April 29, 2026 for occular inspection for glass works with Four Sisters as per TRF2026-028, subject for liquidation.</t>
  </si>
  <si>
    <t>2026-0825</t>
  </si>
  <si>
    <t>RFP2026-069</t>
  </si>
  <si>
    <t>Payment for retention - surety bond for the period of Aug 20, 2025 to Aug 01, 2026 for the project: Design and Build of Canopy extension and lobby interior renovation with policy no. SU-G(42)-DV-25-0000006-00, as per RFP2026-069.</t>
  </si>
  <si>
    <t>2026-0826</t>
  </si>
  <si>
    <t>RFP2026-070</t>
  </si>
  <si>
    <t>Payment for retention - surety bond for the period of Aug 20, 2025 to Aug 01, 2026 for the project: Upgrading of Isolation facilities in D.O.H hospital Region XII - Cotabato Regional and Medical Center with policy no. SU-G(41)-DV-25-0000004-00, as per RFP2026-070.</t>
  </si>
  <si>
    <t>2026-0827</t>
  </si>
  <si>
    <t>RFP2026-071</t>
  </si>
  <si>
    <t>Payment for advance payment - surety bond for the period of June 11, 2024 to June 11, 2025 intended for the project: Design and Build for the Enhancement works of SPMC kidney institute with policy no. SU-G(40)-DV-24-0000023-00 (MKTI 2024-324: BAC-2024-1582), as per RFP2026-071.</t>
  </si>
  <si>
    <t>2026-0828</t>
  </si>
  <si>
    <t>MAR21-APR21</t>
  </si>
  <si>
    <t>Light and power consumption for Bayabas for the period of Mar 21 - Apr 21, 2026, with account number 9364721111-4, as per billing invoice 1011204181.</t>
  </si>
  <si>
    <t>2026-0829</t>
  </si>
  <si>
    <t>To record collection from BGC project.</t>
  </si>
  <si>
    <t>2026-0830</t>
  </si>
  <si>
    <t>Fund transfer from LBP OMET (fom BGC collection) to BDO BGC.</t>
  </si>
  <si>
    <t>Check deposit to BDO BGC c/o Jazz</t>
  </si>
  <si>
    <t>0000000622</t>
  </si>
  <si>
    <t>from BGC  collection ref. CV2026-0829</t>
  </si>
  <si>
    <t>2026-0831</t>
  </si>
  <si>
    <t>APR11-25</t>
  </si>
  <si>
    <t>Payroll for OMET Mindanao Admin Tech semi monthly employees for the period Apr 11 - 25, 2026.</t>
  </si>
  <si>
    <t>Cash deposit to PNB Savings OMET c/o Jazz</t>
  </si>
  <si>
    <t>WHT - J.M. Frasco</t>
  </si>
  <si>
    <t>WHT - C.B. Selorio</t>
  </si>
  <si>
    <t>2026-0832</t>
  </si>
  <si>
    <t>Payment for Mindanao site bi-monthly payroll for the period Apr 11 - 25, 2026.</t>
  </si>
  <si>
    <t>Direct Labor - Internal - Electrician</t>
  </si>
  <si>
    <t>2026-0833</t>
  </si>
  <si>
    <t>Direct Labor - Internal - Croc Park - Civil Works</t>
  </si>
  <si>
    <t>Payment for Croc Park site bi-monthly payroll for the period Apr 11 - 25, 2026.</t>
  </si>
  <si>
    <t>2026-0834</t>
  </si>
  <si>
    <t>Direct Labor - Internal - PGH - Skilled Worker</t>
  </si>
  <si>
    <t>Payment for BGC site bi-monthly payroll for the period Apr 11 - 25, 2026.</t>
  </si>
  <si>
    <t>Cash deposit to Lindon Martin c/o Jazz</t>
  </si>
  <si>
    <t>Direct Labor - Internal - CMSMC - Operation ALVO Team</t>
  </si>
  <si>
    <t>Direct Labor - Internal - ESCO - Cordlife Deployed Workers</t>
  </si>
  <si>
    <t>2026-0835</t>
  </si>
  <si>
    <t>APRIL2026</t>
  </si>
  <si>
    <t xml:space="preserve"> Payroll for OMET executives employees for the month of April 2026.</t>
  </si>
  <si>
    <t>2026-0836</t>
  </si>
  <si>
    <t>APR 2ND HALF</t>
  </si>
  <si>
    <t>50% Full payment intended for Household expenses for the month of APRIL 2026.</t>
  </si>
  <si>
    <t>Cash deposit to SPJ c/o Jazz</t>
  </si>
  <si>
    <t>2026-0837</t>
  </si>
  <si>
    <t>Professional fee of Mr. Domilo as Business Development - Contracts Manager for the month of APRIL 2026.</t>
  </si>
  <si>
    <t>2026-0838</t>
  </si>
  <si>
    <t>Professional fee of Dr. Htun as Senior Scientific Advisor for OLS Biotechnologies Corp. for the month of APRIL 2026.</t>
  </si>
  <si>
    <t>2026-0839</t>
  </si>
  <si>
    <t>Professional fee of Dr. Leng as Senior Scientific Advisor for OLS Biotechnologies Corp. for the month of  APRIL 2026.</t>
  </si>
  <si>
    <t>2026-0840</t>
  </si>
  <si>
    <t>Payment of Professional fee as OMET external audit for OMET Sole intended  for the month of APRIL 2026 (5,600/month).</t>
  </si>
  <si>
    <t>2026-0841</t>
  </si>
  <si>
    <t>Payment of Professional fee as OMET external audit for OMET Inc intended for the month of APRIL 2026 (5,600/month).</t>
  </si>
  <si>
    <t>2026-0842</t>
  </si>
  <si>
    <t>Admin - EM Cuerpo/OMET JV</t>
  </si>
  <si>
    <t>Payment of Professional fee as OMET external audit for EM Cuerpo/OMET JV intended for the month of APRIL 2026.</t>
  </si>
  <si>
    <t>2026-0843</t>
  </si>
  <si>
    <t>Partial payment for Maam Marlyn as external auditor for ACJ/OMET JV for the month of APRIL 2026.</t>
  </si>
  <si>
    <t>2026-0844</t>
  </si>
  <si>
    <t>Partial payment for Maam Marlyn as external auditor for RR Encabo/OMET JV for the month of APRIL 2026.</t>
  </si>
  <si>
    <t>2026-0845</t>
  </si>
  <si>
    <t>Payment of Professional fee for the notarization for the month of APRIL 2026.</t>
  </si>
  <si>
    <t>2026-0846</t>
  </si>
  <si>
    <t>Payroll for caretaker of Bukidnon property for the month of APRIL 2026.</t>
  </si>
  <si>
    <t>Cash payment via Palawan expess c/o Jazz</t>
  </si>
  <si>
    <t>BHA-14-32848-ZAW</t>
  </si>
  <si>
    <t>2026-0847</t>
  </si>
  <si>
    <t>Payroll for OMET BGC Admin Tech semi monthly employees for the period April 11 - 25, 2026.</t>
  </si>
  <si>
    <t>Cash deposit to PNB Savings OMET &amp; to Ace</t>
  </si>
  <si>
    <t>WHT - F.A. Colisao</t>
  </si>
  <si>
    <t>WHT - L.M. Lacuesta</t>
  </si>
  <si>
    <t>WHT - M.A. Lozada</t>
  </si>
  <si>
    <t>WHT - L. Martin</t>
  </si>
  <si>
    <t>WHT - A.J. Montes</t>
  </si>
  <si>
    <t>WHT - K.H. Rustia</t>
  </si>
  <si>
    <t>WHT - M.F. Villafuerte</t>
  </si>
  <si>
    <t>2026-0848</t>
  </si>
  <si>
    <t>RFP82</t>
  </si>
  <si>
    <t>Toyota Davao City, Inc.</t>
  </si>
  <si>
    <t>Payment for preventive maintenance of Lexus as per repair order no. F51F155536, ref. RFP82.</t>
  </si>
  <si>
    <t>2026-0849</t>
  </si>
  <si>
    <t>Miscellaneous Expense</t>
  </si>
  <si>
    <t>Payment for Tetanus Toxoid (TVAC) and Terumo Syringe 3ml with needle intended for Glenn Viana who sustained puncture injuries on both feet after stepping on concrete nails (with incident report).</t>
  </si>
  <si>
    <t>Fund transfer c/o SPJ</t>
  </si>
  <si>
    <t>2026-0850</t>
  </si>
  <si>
    <t>RFP83</t>
  </si>
  <si>
    <t>Fuel intended for OMET vehicles, trucks and genset for week May 04 - 10, 2026 week 01 as per RFP83, subject for liquidation.</t>
  </si>
  <si>
    <t>2026-0851</t>
  </si>
  <si>
    <t>PO6401</t>
  </si>
  <si>
    <t>PR4831</t>
  </si>
  <si>
    <t>Payment for PO6401, 3000 PSI premix concrete 8 cubic intended for building floor slab.</t>
  </si>
  <si>
    <t>2026-0852</t>
  </si>
  <si>
    <t>RFP84</t>
  </si>
  <si>
    <t>Payment for fuel (diesel) intended for Komatsu Self Loading for waste disposal as per RFP84, subject for liquidation.</t>
  </si>
  <si>
    <t>2026-0853</t>
  </si>
  <si>
    <t>Check deposit to SPJ PNB payroll account, as per instruction.</t>
  </si>
  <si>
    <t>0007536262</t>
  </si>
  <si>
    <t>2026-0854</t>
  </si>
  <si>
    <t>Check deposit to MRJ OR SPJ Chinabank account, as per instruction.</t>
  </si>
  <si>
    <t>0007536261</t>
  </si>
  <si>
    <t>2026-0855</t>
  </si>
  <si>
    <t>Fund transfer to BPI Rivera OMET account from Sterling OMET (via cash deposit) intended for BPI loan amortization (ref. CV2026-0433) and monthly interest (ref. CV2026-0788).</t>
  </si>
  <si>
    <t>0007536263</t>
  </si>
  <si>
    <t>2026-0856</t>
  </si>
  <si>
    <t>Fund transfer to PNB BGC from BDO BGC intended for operating expenses.</t>
  </si>
  <si>
    <t>0000028374</t>
  </si>
  <si>
    <t>from BDO BGC fund</t>
  </si>
  <si>
    <t>2026-0857</t>
  </si>
  <si>
    <t>MAR22-APR22</t>
  </si>
  <si>
    <t>Light and power consumption for Capili under the name of MRJ for the period of Mar 22 - Apr 22, 2026, with account number 0825792227-1, as per billing invoice 1011237495.</t>
  </si>
  <si>
    <t>2026-0858</t>
  </si>
  <si>
    <t>3281024460-1</t>
  </si>
  <si>
    <t>Light and power consumption for Villa Josefina under the name of MRJ for the period May 20 - Jul20, 2025</t>
  </si>
  <si>
    <t>2026-0859</t>
  </si>
  <si>
    <t>Encashment from BDO BGC account intended for various request.</t>
  </si>
  <si>
    <t>0000028375</t>
  </si>
  <si>
    <t>2026-0860</t>
  </si>
  <si>
    <t>0000028376</t>
  </si>
  <si>
    <t>2026-0861</t>
  </si>
  <si>
    <t>Cash deposit to SPJ PNB payroll account from 215K Encashment ref CV2026-0860, as per instruction.</t>
  </si>
  <si>
    <t>from Encashment 215K CV2026-0860 04/30/2026</t>
  </si>
  <si>
    <t>2026-0862</t>
  </si>
  <si>
    <t>RFP81</t>
  </si>
  <si>
    <t>Payment for fuel (diesel) intended for Sumitomo Exca as per RFP81 dated 04/28/2026, subject for liquidation.</t>
  </si>
  <si>
    <t>CI# 201173 04/29/2026</t>
  </si>
  <si>
    <t>2026-0863</t>
  </si>
  <si>
    <t>Cash deposit to Lindon Martin c/o Mae</t>
  </si>
  <si>
    <t>2026-0864</t>
  </si>
  <si>
    <t>REIM-RCJ26-007</t>
  </si>
  <si>
    <t>Various expenses of RCJ, subject for reimbursement, as per REIM26-007.</t>
  </si>
  <si>
    <t>2026-0865</t>
  </si>
  <si>
    <t>SI11409</t>
  </si>
  <si>
    <t>FEB18-MAR18</t>
  </si>
  <si>
    <t>Ink all you can subscription for Cost and Accounting/Finance, Purchasing and Procurement for the period of Feb 18 - Mar 18, 2026, as per SI#11409.</t>
  </si>
  <si>
    <t>2026-0866</t>
  </si>
  <si>
    <t>SI11959</t>
  </si>
  <si>
    <t>MAR18-APR18</t>
  </si>
  <si>
    <t>Ink all you can subscription for Cost and Accounting/Finance, Purchasing and Procurement for the period of Mar 18 - Apr 18, 2026, as per SI#11959.</t>
  </si>
  <si>
    <t>2026-0867</t>
  </si>
  <si>
    <t>Fund transfer from BDO BGC account to PNB BGC account.</t>
  </si>
  <si>
    <t>0000028379</t>
  </si>
  <si>
    <t>05.04.2026</t>
  </si>
  <si>
    <t>2026-0868</t>
  </si>
  <si>
    <t>582-1-003751-22</t>
  </si>
  <si>
    <t>Cash In Bank - Sterling MRJ OR SPJ</t>
  </si>
  <si>
    <t>Check deposit to Sterling MRJ OR SPJ joint account, as per instruction.</t>
  </si>
  <si>
    <t>0002295751</t>
  </si>
  <si>
    <t>MTBC</t>
  </si>
  <si>
    <t>Personal transaction</t>
  </si>
  <si>
    <t>Cash In Bank - MBTC</t>
  </si>
  <si>
    <t>2026-0869</t>
  </si>
  <si>
    <t>Encashment from Sterling MRJ OR SPJ joint account, as per instruction.</t>
  </si>
  <si>
    <t>Sterling MRJ OR SPJ</t>
  </si>
  <si>
    <t>2026-0870</t>
  </si>
  <si>
    <t>Joseph Jamolin</t>
  </si>
  <si>
    <t>Final pay of Joseph Jamolin as Technician at BGC Office for the year 2026.</t>
  </si>
  <si>
    <t>Paid thru Gcash transfer c/o Jazz</t>
  </si>
  <si>
    <t>2026-0871</t>
  </si>
  <si>
    <t>Cash to SPJ from 740K encashment ref. CV2026-0869, as per instruction.</t>
  </si>
  <si>
    <t>Cash to SPJ</t>
  </si>
  <si>
    <t>Personal transaction - from 740K Encashment CV2026-0869</t>
  </si>
  <si>
    <t>2026-0872</t>
  </si>
  <si>
    <t>Cash In Bank - PNB SPJ</t>
  </si>
  <si>
    <t>Cash deposit to SPJ PNB payroll account from 740K encashment ref. CV2026-0869, as per instruction.</t>
  </si>
  <si>
    <t>2026-0873</t>
  </si>
  <si>
    <t>Encashment from Sterling MRJ OR SPJ joint account (PSP), borrowings of BGC.</t>
  </si>
  <si>
    <t>Encashment c/o Ace</t>
  </si>
  <si>
    <t>borrowings from Sterling MRJ OR SPJ (PSP)</t>
  </si>
  <si>
    <t>2026-0874</t>
  </si>
  <si>
    <t>1665-0000-3117</t>
  </si>
  <si>
    <t>Cash deposit to Chinabank OMET Monte intended for customs.</t>
  </si>
  <si>
    <t>Cash deposit c/o Ace</t>
  </si>
  <si>
    <t>from Encashment CV2026-0873</t>
  </si>
  <si>
    <t>2026-0875</t>
  </si>
  <si>
    <t>RFP2026-072</t>
  </si>
  <si>
    <t>Payment for online purchase of power supply intended for scrub sink as per RFP2026-072, subject for liquidation.</t>
  </si>
  <si>
    <t>from Encashment 32,300.00 CV2026-0891 05/07/2026</t>
  </si>
  <si>
    <t>2026-0876</t>
  </si>
  <si>
    <t>PO6406</t>
  </si>
  <si>
    <t>PR4827</t>
  </si>
  <si>
    <t>Payment for PO6406, Ordinary ply wood 4'x8' (3/4") intended for OMET Croc Park formworks.</t>
  </si>
  <si>
    <t>2026-0877</t>
  </si>
  <si>
    <t>PO6407</t>
  </si>
  <si>
    <t>Payment for PO6407, Welding rod 6011 (3.2mm), circular saw blade for wood 7" and welding gloves intended for OMET Croc Park formworks.</t>
  </si>
  <si>
    <t>2026-0878</t>
  </si>
  <si>
    <t>PO6408</t>
  </si>
  <si>
    <t>PR4836</t>
  </si>
  <si>
    <t>Payment for PO6408, GI tie wire #16 intended for OMET Croc Park GI tie wire.</t>
  </si>
  <si>
    <t>2026-0879</t>
  </si>
  <si>
    <t>PO6409</t>
  </si>
  <si>
    <t>PR4837</t>
  </si>
  <si>
    <t>Mindanao Ancora Industries Inc.</t>
  </si>
  <si>
    <t>Payment for PO6409, Reinforcing steel (deformed) 20mm - grade 60 (10.5m) intended for OMET Croc Park additional steel reinforcements for grade beams.</t>
  </si>
  <si>
    <t>2026-0880</t>
  </si>
  <si>
    <t>PO6412</t>
  </si>
  <si>
    <t>PR4843</t>
  </si>
  <si>
    <t>Payment for PO6412, Non-sag epoxy island paints intended for MKTI for retouching of leaked areas.</t>
  </si>
  <si>
    <t>from Encashment 32,300 CV2026-0891 dated 5.07.2026</t>
  </si>
  <si>
    <t>2026-0881</t>
  </si>
  <si>
    <t>PO6413</t>
  </si>
  <si>
    <t>Payment for PO6413, Primer, flat paint (white) and vulcaseal intended for MKTI for retouching of leaked areas.</t>
  </si>
  <si>
    <t>2026-0882</t>
  </si>
  <si>
    <t>PO6414</t>
  </si>
  <si>
    <t>PR4841</t>
  </si>
  <si>
    <t>Payment for PO6414, Caution tape 60mm x 18m intended for MKTI caution flooring stickers.</t>
  </si>
  <si>
    <t>2026-0883</t>
  </si>
  <si>
    <t>Water consumption for SPMC due date on May 20, 2026 with account no. 21-358583-7, as per billing invoice no. 00001371172.</t>
  </si>
  <si>
    <t>2026-0884</t>
  </si>
  <si>
    <t>Encashment from Sterling OMET intended for BGC request.</t>
  </si>
  <si>
    <t>0007536266</t>
  </si>
  <si>
    <t>2026-0885</t>
  </si>
  <si>
    <t>Encashment from Sterling OMET intended for partial payment for MINSAS and Baltazar's salary advances.</t>
  </si>
  <si>
    <t>0007536265</t>
  </si>
  <si>
    <t>2026-0886</t>
  </si>
  <si>
    <t>Cash In Bank - PNB SYJ</t>
  </si>
  <si>
    <t>Fund transfer from Sterling OMET to SYJ PNB payroll account intended for Croc Park funding.</t>
  </si>
  <si>
    <t>0007536267</t>
  </si>
  <si>
    <t>2026-0887</t>
  </si>
  <si>
    <t>Fund transfer from BDO BGC to Sterling OMET intended for CRMC Glass partial downpayment.</t>
  </si>
  <si>
    <t>0000028385</t>
  </si>
  <si>
    <t>2026-0888</t>
  </si>
  <si>
    <t>Fund transfer from BDO BGC to Sterling OMET , as per instruction.</t>
  </si>
  <si>
    <t>0000028383</t>
  </si>
  <si>
    <t>2026-0889</t>
  </si>
  <si>
    <t>Encashment from Sterling OMET intended for SYJ and RCJ reimbursement.</t>
  </si>
  <si>
    <t>0007536268</t>
  </si>
  <si>
    <t>2026-0890</t>
  </si>
  <si>
    <t>Cash to SYJ, as per instruction.</t>
  </si>
  <si>
    <t>from Encashment 50K CV2026-0889 05/06/2026</t>
  </si>
  <si>
    <t>2026-0891</t>
  </si>
  <si>
    <t>Encashment from Sterling OMET intended for SYJ and MKTI request.</t>
  </si>
  <si>
    <t>0007536269</t>
  </si>
  <si>
    <t>2026-0892</t>
  </si>
  <si>
    <t>Cash to SYJ c/o Jazz</t>
  </si>
  <si>
    <t>from Encashment 32,300.00 CV2026-0891 dated 05/07/2026</t>
  </si>
  <si>
    <t>2026-0893</t>
  </si>
  <si>
    <t>APR16-30</t>
  </si>
  <si>
    <t>Security services rendered by MINSAS security guard covering the period Apr 16 - 30, 2026 at Admin-Jluna.</t>
  </si>
  <si>
    <t>Input VAT -OH</t>
  </si>
  <si>
    <t>2026-0894</t>
  </si>
  <si>
    <t>Security services rendered by MINSAS security guard covering the period Apr 16 - 30, 2026 at OMET Croc Park site.</t>
  </si>
  <si>
    <t>2026-0895</t>
  </si>
  <si>
    <t>RFP2026-073</t>
  </si>
  <si>
    <t>Office consumption for Jluna office and Corange office for the month of MAY 2026 as per RFP2026-073, subject for liquidation.</t>
  </si>
  <si>
    <t>Cash payment c/o Josie Argawanon</t>
  </si>
  <si>
    <t>06.02.2026</t>
  </si>
  <si>
    <t>from Encashment 1.4M CV2026-1066 06/01/2026</t>
  </si>
  <si>
    <t>2026-0896</t>
  </si>
  <si>
    <t>RFP2026-074</t>
  </si>
  <si>
    <t>Engr. Joanne Mae Laniba</t>
  </si>
  <si>
    <t>Payment for Professional Electrical Engineer as built and occupancy fees as per RFP2026-074, subject for liquidation.</t>
  </si>
  <si>
    <t>2026-0897</t>
  </si>
  <si>
    <t>RFP2026-075</t>
  </si>
  <si>
    <t>Jan2x DLPC Inspector</t>
  </si>
  <si>
    <t>Payment for labor for connection and SOP to meter lineman and Inspector intended for Capili Warehouse Electricity damaged due to heavy rain. (DLPC Evaluation: Later found out that the connection is illegal and should be reported to DLPC Office for a TFC renewal or application for permanent).</t>
  </si>
  <si>
    <t>2026-0898</t>
  </si>
  <si>
    <t>PO6415</t>
  </si>
  <si>
    <t>PR4847</t>
  </si>
  <si>
    <t>Payment for PO6415, Flat Latex paint brown and flat latex paint off-white intended for MKTI additional paint for 4F ceiling retouching.</t>
  </si>
  <si>
    <t>2026-0899</t>
  </si>
  <si>
    <t>PO6417</t>
  </si>
  <si>
    <t>PR4848</t>
  </si>
  <si>
    <t>Payment for PO6417, Flat latex paint - raw sienna, flat latex paint - lump block and baby roller cotton intended for MKTI additional paints for retouching.</t>
  </si>
  <si>
    <t>2026-0900</t>
  </si>
  <si>
    <t xml:space="preserve">Payment for </t>
  </si>
  <si>
    <t>2026-0901</t>
  </si>
  <si>
    <t>Repair and Maitenance Expense</t>
  </si>
  <si>
    <t>Payment for 50% tenants share of materials (TF wire  #16, EMT Pipe #1/2 and other materials) intended for office door10 repair and maintenance.</t>
  </si>
  <si>
    <t>2026-0902</t>
  </si>
  <si>
    <t>202507-09</t>
  </si>
  <si>
    <t>Johnny Carcasona</t>
  </si>
  <si>
    <t>Payment for 2nd and final billing for stainless steel sinks and cabinets (supply and install) with contract number 202507-09, Sep 15 - 21, 2025 week 03.</t>
  </si>
  <si>
    <t>2026-0903</t>
  </si>
  <si>
    <t>Payment for retention earned from stainless steel sinks and cabinets (supply and install) with contract number 202507-09, May 04 - 10, 2026 week 01.</t>
  </si>
  <si>
    <t>2026-0904</t>
  </si>
  <si>
    <t>202508-03</t>
  </si>
  <si>
    <t>Payment for 2nd and final billing for medgas line (labor only) with contract number 202508-03, May 04 - 10, 2026 week 01.</t>
  </si>
  <si>
    <t>2026-0905</t>
  </si>
  <si>
    <t>Payment for retention earned from medgas line (labor only) with contract number 202508-03, May 04 - 10, 2026 week 01.</t>
  </si>
  <si>
    <t>2026-0906</t>
  </si>
  <si>
    <t>JIB-REPLE26-008</t>
  </si>
  <si>
    <t>Various expenses related to marketing cost held from PCF establishment subj for 8th replenishment for 2026 ref. CV2025-2162 and CV2025-2558.</t>
  </si>
  <si>
    <t>Hotel Accommodation</t>
  </si>
  <si>
    <t>2026-0907</t>
  </si>
  <si>
    <t>RFP2026-076</t>
  </si>
  <si>
    <t>Rodel Encabo</t>
  </si>
  <si>
    <t>Payment for processing of  transfer of ownership for 7 titles from previous owner to MRJ (30,000 per title) and making of new Deed of Sale (15 per title).</t>
  </si>
  <si>
    <t>2026-0908</t>
  </si>
  <si>
    <t>Kowa Air Filter Industry Limited</t>
  </si>
  <si>
    <t>Payment to supplier for international purchase under BGC project.</t>
  </si>
  <si>
    <t>Funded by BGC OMET</t>
  </si>
  <si>
    <t>fund transfer from BGC OMET</t>
  </si>
  <si>
    <t>Cash In Bank - PNB Savings OMET</t>
  </si>
  <si>
    <t>2026-0909</t>
  </si>
  <si>
    <t>PO6416</t>
  </si>
  <si>
    <t>PR4851</t>
  </si>
  <si>
    <t>Payment for PO6416, CHB 4" intended for fence and remaining area for concrete pouring.</t>
  </si>
  <si>
    <t>from Encashment 265K CV2026-0916 dated 05.08.2026</t>
  </si>
  <si>
    <t>2026-0910</t>
  </si>
  <si>
    <t>PO6423</t>
  </si>
  <si>
    <t>Payment for PO6423, Tie wire G16 intended for fence and remaining area for concrete pouring.</t>
  </si>
  <si>
    <t>2026-0911</t>
  </si>
  <si>
    <t>PO6424</t>
  </si>
  <si>
    <t>Payment for PO6424, Holcim cement intended for fence and remaining area for concrete pouring.</t>
  </si>
  <si>
    <t>2026-0912</t>
  </si>
  <si>
    <t>PO6425</t>
  </si>
  <si>
    <t>Payment for PO6425, Sanitary elbow 90 deg x 3" and sanitary elbow 45 deg x 3" intended for fence and remaining area for concrete pouring.</t>
  </si>
  <si>
    <t>2026-0913</t>
  </si>
  <si>
    <t>PO6426</t>
  </si>
  <si>
    <t>Payment for PO6426, Sand and gravel intended for fence and remaining area for concrete pouring.</t>
  </si>
  <si>
    <t>2026-0914</t>
  </si>
  <si>
    <t>PO6428</t>
  </si>
  <si>
    <t>Payment for PO6428, Phenolic board 3/4 intended for fence and remaining area for concrete pouring.</t>
  </si>
  <si>
    <t>2026-0915</t>
  </si>
  <si>
    <t>PO6429</t>
  </si>
  <si>
    <t>Payment for PO6429, Rebar 12mm grade 33 and rebar 10mm grade 33 intended for fence and remaining area for concrete pouring.</t>
  </si>
  <si>
    <t>2026-0916</t>
  </si>
  <si>
    <t>Encashment from Sterling Corange account no. 582-6-000248-55 intended for various Villa Josefina requests, Ebro door 10 office rent for the month of May and various Logistics requests.</t>
  </si>
  <si>
    <t>0006583426</t>
  </si>
  <si>
    <t>Sterling Corange</t>
  </si>
  <si>
    <t>from Sterling Corange account no. 582-6-000248-55</t>
  </si>
  <si>
    <t>2026-0917</t>
  </si>
  <si>
    <t>Cash to SYJ from remaining of encashment CV2026-0916, as per SYJ instruction.</t>
  </si>
  <si>
    <t>2026-0918</t>
  </si>
  <si>
    <t>RFP85</t>
  </si>
  <si>
    <t>Fuel intended for OMET vehicles, trucks and genset for week May 11 - 17, 2026 week 02 as per RFP85, subject for liquidation.</t>
  </si>
  <si>
    <t>2026-0919</t>
  </si>
  <si>
    <t>Travel allowance to Marawi City on May 11 - 13, 2026 with Architect Ella and company driver to pick up collection of advance payment at APMC as per TRF2026-028, subject for liquidation.</t>
  </si>
  <si>
    <t>2026-0920</t>
  </si>
  <si>
    <t>PO6436</t>
  </si>
  <si>
    <t>PR4840</t>
  </si>
  <si>
    <t>Payment for PO6436, Asus TUF gaming A15 - FA506NCG-HN184W Black and RAPOO B20 silent wireless optical mouse.</t>
  </si>
  <si>
    <t>WHT - Admin</t>
  </si>
  <si>
    <t>2026-0921</t>
  </si>
  <si>
    <t>Penalty</t>
  </si>
  <si>
    <t>Payment for penalty for late or delayed rental payment for office rental of door 10 office for the month of MAY 2026.</t>
  </si>
  <si>
    <t>2026-0922</t>
  </si>
  <si>
    <t>202410-05</t>
  </si>
  <si>
    <t>Payment for retention earned from data, voice and wireless access point system &amp; nurse call system with contract number 202410-05.</t>
  </si>
  <si>
    <t>Cash Payment to Sir Joy c/o Jazz</t>
  </si>
  <si>
    <t>05.12.2026</t>
  </si>
  <si>
    <t>from Encashment 99,557.00 CV2026-0931 05/11/2026</t>
  </si>
  <si>
    <t>included to 74,557.56</t>
  </si>
  <si>
    <t>2026-0923</t>
  </si>
  <si>
    <t>202410-04</t>
  </si>
  <si>
    <t>Payment for 5th and final billing of public address system with contract number 202410-04.</t>
  </si>
  <si>
    <t>2026-0924</t>
  </si>
  <si>
    <t>202506-03</t>
  </si>
  <si>
    <t>Payment for retention earned from auxiliary works - relocation and rewiring (VO2 Additive) with contract number 202506-03.</t>
  </si>
  <si>
    <t>2026-0925</t>
  </si>
  <si>
    <t>202507-03</t>
  </si>
  <si>
    <t>Payment for retention earned from nurse station revised wire routing of DVWAP, PABGM and nurse call with contract number 202507-03.</t>
  </si>
  <si>
    <t>2026-0926</t>
  </si>
  <si>
    <t>202501-02</t>
  </si>
  <si>
    <t>Payment for retention earned from DVWAP additional with contract number 202501-02.</t>
  </si>
  <si>
    <t>2026-0927</t>
  </si>
  <si>
    <t>RFP2026-077</t>
  </si>
  <si>
    <t>Engr. Kenneth Noblezada</t>
  </si>
  <si>
    <t>Payment for professional fee for Structural and Plumbing works (sign and seal) as per RFP2026-077. (Note: As Built Plan Plumbing 35,000.00 &amp; Structural 85,000.00)</t>
  </si>
  <si>
    <t>2026-0928</t>
  </si>
  <si>
    <t>RFP2026-078</t>
  </si>
  <si>
    <t>Payment for additional funds for blueprinting of MKTI plans for licensing, as per RFP2026-078, subject for liquidation.</t>
  </si>
  <si>
    <t>2026-0929</t>
  </si>
  <si>
    <t>TRF2026-029</t>
  </si>
  <si>
    <t>Travel allowance of Luis to Marawi City on May 14 - 15, 2026 with company driver, Rudy and 2 workers to pull out of materials from NMMC project site to transfer at APMC project site as per TRF2026-029, subject for liquidation.</t>
  </si>
  <si>
    <t>05.13.2026</t>
  </si>
  <si>
    <t>from Encashment 26,500.00 CV2026-0949  5/13/2026</t>
  </si>
  <si>
    <t>2026-0930</t>
  </si>
  <si>
    <t>Encashment / Borrowings from Sterling Corange with account no. 582-6-000248-55 intended for various request.</t>
  </si>
  <si>
    <t>Borrowings from Corange ; Encashment c/o Jazz</t>
  </si>
  <si>
    <t>0006583427</t>
  </si>
  <si>
    <t>05.11.2026</t>
  </si>
  <si>
    <t>Cash In Bank - Sterling Corange</t>
  </si>
  <si>
    <t>2026-0931</t>
  </si>
  <si>
    <t>Encashment / Borrowings from Sterling Corange with account no. 582-6-000248-55 intended for NMMC Subcons (Narciso Añasco &amp; JF Digital Solutions).</t>
  </si>
  <si>
    <t>0006583428</t>
  </si>
  <si>
    <t>2026-0932</t>
  </si>
  <si>
    <t>RFP2026-079</t>
  </si>
  <si>
    <t>Furniture, Fixtures, Improvement and Equipment</t>
  </si>
  <si>
    <t>Payment for conventional smoke detector and conventional heat detector including labor for installation intended for D10 office new fire alarm system, as per RFP2026-079.</t>
  </si>
  <si>
    <t>2026-0933</t>
  </si>
  <si>
    <t>MAY 1ST HALF</t>
  </si>
  <si>
    <t>2026-0934</t>
  </si>
  <si>
    <t>MAR16-APR15</t>
  </si>
  <si>
    <t>Internet line subscription of D10 and D6 office for the period Mar 16 - Apr 15, 2026  with account number 927404116.</t>
  </si>
  <si>
    <t>2026-0935</t>
  </si>
  <si>
    <t>Internet line subscription of Villa Josefina for the period Mar 16 - Apr 15, 2026  with account number 929950485.</t>
  </si>
  <si>
    <t>2026-0936</t>
  </si>
  <si>
    <t>MAR18-APR17</t>
  </si>
  <si>
    <t>Payment for IWHA and Door 6 office internet bill for the period of Mar 18 - Apr 17, 2026, as per billing invoice no. 0674960264.</t>
  </si>
  <si>
    <t>2026-0937</t>
  </si>
  <si>
    <t>APR26-MAY10</t>
  </si>
  <si>
    <t>Payment for Croc Park site bi-monthly payroll for the period Apr 26 - May 10, 2026.</t>
  </si>
  <si>
    <t>2026-0938</t>
  </si>
  <si>
    <t>Payment for Mindanao site bi-monthly payroll for the period Apr 26 - May 10, 2026.</t>
  </si>
  <si>
    <t>2026-0939</t>
  </si>
  <si>
    <t>MAY2026</t>
  </si>
  <si>
    <t>Payment for house rental for Iwha staff house for the month of MAY 2026.</t>
  </si>
  <si>
    <t>2026-0940</t>
  </si>
  <si>
    <t>0619-E</t>
  </si>
  <si>
    <t>Payment for monthly remittance form of Creditable Income Taxes Withheld (Expanded) or 0619-E for the month of April 2026.</t>
  </si>
  <si>
    <t>2026-0941</t>
  </si>
  <si>
    <t>Payment for monthly remittance return of income taxes withheld on compensation (1601C) for the month of April 2026.</t>
  </si>
  <si>
    <t>2026-0942</t>
  </si>
  <si>
    <t>REPLE004</t>
  </si>
  <si>
    <t>Event</t>
  </si>
  <si>
    <t>Various expenses held from PCF establishment subject for 4th replenishment for 2026 ref. CV2026-0118.</t>
  </si>
  <si>
    <t>Overhead Expense</t>
  </si>
  <si>
    <t>2026-0943</t>
  </si>
  <si>
    <t>TRF2026-030</t>
  </si>
  <si>
    <t>Additional travel allowance of Jhelde to Marawi City on May 12 - 13, 2026 as per TRF2026-030, subject for liquidation.</t>
  </si>
  <si>
    <t>from Encashment 26,500.00 CV2026-0949 05/13/2026</t>
  </si>
  <si>
    <t>2026-0944</t>
  </si>
  <si>
    <t>Payroll for OMET Mindanao Admin Tech semi monthly employees for the period Apr 26 - May 10, 2026.</t>
  </si>
  <si>
    <t>2026-0945</t>
  </si>
  <si>
    <t>Payroll for OMET BGC Admin Tech semi monthly employees for the period April 26 - May 10, 2026.</t>
  </si>
  <si>
    <t>Advances to Employees - M.F. Villafuerte</t>
  </si>
  <si>
    <t>2026-0946</t>
  </si>
  <si>
    <t>Lindon Martin</t>
  </si>
  <si>
    <t>Payment for BGC site bi-monthly payroll for the period Apr 26 - May 10, 2026.</t>
  </si>
  <si>
    <t>2026-0947</t>
  </si>
  <si>
    <t>PO6439</t>
  </si>
  <si>
    <t>PR4862</t>
  </si>
  <si>
    <t>Payment for PO6439, Lavatory faucets, angle valve 1/2 x 1/2 and flexible hose 1/2 x 1/2 14" intended for MKTI additional 3rd floor wards plumbing accessories.</t>
  </si>
  <si>
    <t>2026-0948</t>
  </si>
  <si>
    <t>PO6440</t>
  </si>
  <si>
    <t>The Plumbers Choice Plumbing Supply Corporation</t>
  </si>
  <si>
    <t>Payment for PO6440, Lavatory tail piece/P-Trap 1 1/4" intended for MKTI additional 3rd floor wards plumbing accessories.</t>
  </si>
  <si>
    <t>2026-0949</t>
  </si>
  <si>
    <t>Encashment / Borrowings from Sterling Corange intended for various APMC OR TRF allowance ref. CV2026-0943 &amp; CV2026-0929.</t>
  </si>
  <si>
    <t>0006583429</t>
  </si>
  <si>
    <t>2026-0950</t>
  </si>
  <si>
    <t>Encashment from Sterling Corange intended for personal use, as per instruction.</t>
  </si>
  <si>
    <t>0006583430</t>
  </si>
  <si>
    <t>2026-0951</t>
  </si>
  <si>
    <t>Check deposit to Sterling MRJ for personal use, as per instruction.</t>
  </si>
  <si>
    <t>0006583431</t>
  </si>
  <si>
    <t>2026-0952</t>
  </si>
  <si>
    <t>Check deposit to PNB SPJ payroll account for personal use, as per instruction.</t>
  </si>
  <si>
    <t>0006583433</t>
  </si>
  <si>
    <t>2026-0953</t>
  </si>
  <si>
    <t>Encashment from PNB Savings OMET from refund from Fox Logistics intended for payment to Prozone.</t>
  </si>
  <si>
    <t>Withdrawal from PNB c/o Mae</t>
  </si>
  <si>
    <t>from PNB Savings OMET (refund from Fox Logistics)</t>
  </si>
  <si>
    <t>2026-0954</t>
  </si>
  <si>
    <t>RFP2026-080</t>
  </si>
  <si>
    <t>Payment for a two-month (2-month) advance deposit for an apartment in Iligan City intended as a staff house for Architects and Engineers as per RFP2026-080, subject for liquidation.</t>
  </si>
  <si>
    <t>05.15.2026</t>
  </si>
  <si>
    <t>NO RECEIPT ATTACHED YET</t>
  </si>
  <si>
    <t>Fund transfer from SPJ to Jhelde</t>
  </si>
  <si>
    <t>2026-0955</t>
  </si>
  <si>
    <t>Fund transfer / Cash deposit to PNB BGC (via Encashment c/o Jazz) from Sterling Corange account no. 582-6-000248-55 intended for BGC - Clark project.</t>
  </si>
  <si>
    <t>0006583438</t>
  </si>
  <si>
    <t>05.18.2026</t>
  </si>
  <si>
    <t>2026-0956</t>
  </si>
  <si>
    <t>Encashment / Borrowings from Sterling Corange account no. 582-6-000248-55 intended for BPI Autoloans, BPI Personal loan, BIR CV2026-0940 and BIR CV2026-0941.</t>
  </si>
  <si>
    <t>0006583435</t>
  </si>
  <si>
    <t>2026-0957</t>
  </si>
  <si>
    <t>Encashment / Borrowings from Sterling Corange account no. 582-6-000248-55 intended for CV2026-0944 Mindanao Admin Tech payroll, CV2026-0938 Mindanao site payroll, CV2026-0933 SPJ household, CV2026-0945 BGC Admin Tech payroll and CV2026-0946 BGC site payroll.</t>
  </si>
  <si>
    <t>0006583439</t>
  </si>
  <si>
    <t>2026-0958</t>
  </si>
  <si>
    <t>Encashment / Borrowings from Sterling Corange account no. 582-6-000248-55 intended for SPJ, as per instruction.</t>
  </si>
  <si>
    <t>0006583440</t>
  </si>
  <si>
    <t>2026-0959</t>
  </si>
  <si>
    <t>Encashment / Borrowings from Sterling Corange account no. 582-6-000248-55 intended for VDRC Marketing ref. CV2026-0449, 2026-0865 &amp; 2026-0866, DLPC CV2026-0857 &amp; 0858 and NLR Water Refilling Station CV2026-0742.</t>
  </si>
  <si>
    <t>0006583436</t>
  </si>
  <si>
    <t>2026-0960</t>
  </si>
  <si>
    <t>Encashment / Borrowings from Sterling Corange account no. 582-6-000248-55 intended for APMC requests and 5,000 for IWHA staff house rental.</t>
  </si>
  <si>
    <t>0006583441</t>
  </si>
  <si>
    <t>2026-0961</t>
  </si>
  <si>
    <t>TRF2026-031</t>
  </si>
  <si>
    <t>Travel allowance to Marawi City on May 19, 2026 with Foreman Boy, Waxba, Clifford Aresgado, Jhonrey Diez, Ariel Avellana, Gregorio Dagani, Elymark Mariano, Jimton Miranez and company driver for deployment / site layout as per TRF2026-031, subject for liquidation.</t>
  </si>
  <si>
    <t>Cash payment to Jibvil</t>
  </si>
  <si>
    <t>from Encashment 66,500.00 CV2026-0960 05/18/2026</t>
  </si>
  <si>
    <t>2026-0962</t>
  </si>
  <si>
    <t>RFP88</t>
  </si>
  <si>
    <t>Travel allowance (including fuel and meals) to Marawi City for the deployment at APMC OR site as per RFP88, subject for liquidation.</t>
  </si>
  <si>
    <t>2026-0963</t>
  </si>
  <si>
    <t>Admin- Logistics</t>
  </si>
  <si>
    <t>Payment for R17 AL30 Alliance tire (front) intended for ALTIS GAT 7528 as per RFP85.</t>
  </si>
  <si>
    <t>2026-0964</t>
  </si>
  <si>
    <t>RFP89</t>
  </si>
  <si>
    <t>Rice allowance intended for deployment / site layout at APMC OR as per RFP89, subject for liquidation.</t>
  </si>
  <si>
    <t>Cash deposit to Jibvil c/o Jazz</t>
  </si>
  <si>
    <t>05.20.2026</t>
  </si>
  <si>
    <t>from Encashment 19,425.00 CV2026-0985 05/20/2026</t>
  </si>
  <si>
    <t>2026-0965</t>
  </si>
  <si>
    <t>JRSB-REPLE26-003</t>
  </si>
  <si>
    <t>Various expenses held from PCF establishment subj for 3rd replenishment for 2026 ref. CV2026-0168.</t>
  </si>
  <si>
    <t>Cash payment to John</t>
  </si>
  <si>
    <t>06.01.2026</t>
  </si>
  <si>
    <t>2026-0966</t>
  </si>
  <si>
    <t>202310-04</t>
  </si>
  <si>
    <t>Systems Variable Technicom, Inc.</t>
  </si>
  <si>
    <t>MKTI PH3</t>
  </si>
  <si>
    <t>Payment for retention earned from O.R nurse call system with contract number 202310-04, May 18 - 24, 2026 week 03.</t>
  </si>
  <si>
    <t>2026-0967</t>
  </si>
  <si>
    <t>PB8 &amp; FB</t>
  </si>
  <si>
    <t>202208-11</t>
  </si>
  <si>
    <t>Payment for 8th and final billing for 2F and 4F auxiliary works with contract number 202208-11, May 18 - 24, 2026 week 03.</t>
  </si>
  <si>
    <t>2026-0968</t>
  </si>
  <si>
    <t>Payment for retention earned from 2F and 4F auxiliary works with contract number 202208-11, May 18 - 24, 2026 week 03.</t>
  </si>
  <si>
    <t>2026-0969</t>
  </si>
  <si>
    <t>Fund transfer from Sterling Corange account no. 582-6-000248-55 to PNB BGC.</t>
  </si>
  <si>
    <t>0006583432</t>
  </si>
  <si>
    <t>2026-0970</t>
  </si>
  <si>
    <t>Encashment / Borrowings from Sterling Corange account no. 582-6-000248-55 intended for various cash advances of employees assigned / deployed to Marawi City for APMC OR project.</t>
  </si>
  <si>
    <t>0006583442</t>
  </si>
  <si>
    <t>05.19.2026</t>
  </si>
  <si>
    <t>2026-0971</t>
  </si>
  <si>
    <t>0006583443</t>
  </si>
  <si>
    <t>2026-0972</t>
  </si>
  <si>
    <t>Fund received from BGC intended for telegraphic transfer to Price Industries Limited ref. PO6433 PR4846.</t>
  </si>
  <si>
    <t>Fund transfer from BGC</t>
  </si>
  <si>
    <t>Cash In Bank - BGC</t>
  </si>
  <si>
    <t>2026-0973</t>
  </si>
  <si>
    <t>Fund received from BGC intended for telegraphic transfer to Wenzhou Yuanzhan Electric Co., LTD ref. PO6277 PR4405.</t>
  </si>
  <si>
    <t>2026-0974</t>
  </si>
  <si>
    <t>Fund received from BGC intended for telegraphic transfer to Amcaremed Technology Co., Limited ref. PO6435 PR4844.</t>
  </si>
  <si>
    <t>2026-0975</t>
  </si>
  <si>
    <t>CARF011</t>
  </si>
  <si>
    <t>Gregorio Dagani</t>
  </si>
  <si>
    <t>Salary advances subject for payroll deduction of  P1,500.00 per payroll during deployment to APMC OR site.</t>
  </si>
  <si>
    <t>Cash Payment w/ AR c/o Jazz</t>
  </si>
  <si>
    <t>from Encashment 35K CV2026-0970 05/19/2026</t>
  </si>
  <si>
    <t>w/ Acknowledgement Receipt</t>
  </si>
  <si>
    <t>2026-0976</t>
  </si>
  <si>
    <t>CARF012</t>
  </si>
  <si>
    <t>2026-0977</t>
  </si>
  <si>
    <t>CARF013</t>
  </si>
  <si>
    <t>Ariel Abellana</t>
  </si>
  <si>
    <t>2026-0978</t>
  </si>
  <si>
    <t>CARF014</t>
  </si>
  <si>
    <t>2026-0979</t>
  </si>
  <si>
    <t>CARF015</t>
  </si>
  <si>
    <t>Jameton Merañez</t>
  </si>
  <si>
    <t>2026-0980</t>
  </si>
  <si>
    <t>CARF016</t>
  </si>
  <si>
    <t>2026-0981</t>
  </si>
  <si>
    <t>APR16-MAY15</t>
  </si>
  <si>
    <t>Internet line subscription of D10 and D6 office for the period Apr 16 - May 15, 2026  with account number 927404116.</t>
  </si>
  <si>
    <t>2026-0982</t>
  </si>
  <si>
    <t>Internet line subscription of Villa Josefina for the period Apr 16 - May 15, 2026  with account number 929950485.</t>
  </si>
  <si>
    <t>05.25.2025</t>
  </si>
  <si>
    <t>2026-0983</t>
  </si>
  <si>
    <t>RFP90</t>
  </si>
  <si>
    <t>Fuel intended for OMET vehicles, trucks and genset for week May 18 - 24, 2026 week 03 as per RFP90, subject for liquidation.</t>
  </si>
  <si>
    <t>2026-0984</t>
  </si>
  <si>
    <t>RFP91</t>
  </si>
  <si>
    <t>Fuel intended for OMET vehicles, trucks and genset for week May 25 - 31, 2026 week 04 as per RFP91, subject for liquidation.</t>
  </si>
  <si>
    <t>05.25.2026</t>
  </si>
  <si>
    <t>from Encashment 70,900.00 CV2026-1000 05/21/2026</t>
  </si>
  <si>
    <t>Cash Payment to Carlou</t>
  </si>
  <si>
    <t>2026-0985</t>
  </si>
  <si>
    <t>Encashment / Borrowings from Sterling Corange account no. 582-6-000248-55 intended for various request for APMC OR travel.</t>
  </si>
  <si>
    <t>0006583446</t>
  </si>
  <si>
    <t>Admin  - Corange</t>
  </si>
  <si>
    <t>2026-0986</t>
  </si>
  <si>
    <t>Fund transfer (Encashment) from Sterling Corange account no. 582-6-000248-55 to PNB BGC.</t>
  </si>
  <si>
    <t>Cash deposit to PNB BGC c/o Jazz</t>
  </si>
  <si>
    <t>0006583447</t>
  </si>
  <si>
    <t>2026-0987</t>
  </si>
  <si>
    <t>RFP2026-081</t>
  </si>
  <si>
    <t>Payment for 20 x 30 whiteprint and A3 full colored intended for DAEDS site copy and technical staff copy as per RFP2026-081, subject for liquidation.</t>
  </si>
  <si>
    <t>2026-0988</t>
  </si>
  <si>
    <t>PO6481</t>
  </si>
  <si>
    <t>PR4869</t>
  </si>
  <si>
    <t>Payment for PO6481, Gravel 3/4" and coarse sand intended for OMET Croc Park elevator flooring.</t>
  </si>
  <si>
    <t>2026-0989</t>
  </si>
  <si>
    <t>PO9482</t>
  </si>
  <si>
    <t>Payment for PO6482, Masking tape 1" intended for OMET Croc Park elevator flooring.</t>
  </si>
  <si>
    <t>2026-0990</t>
  </si>
  <si>
    <t>TRF2026-032</t>
  </si>
  <si>
    <t>Travel allowance to Marbel and Kidapawan City on May 21, 2026 with company driver to submit letter to BIR Region for LOA 2022 as per TRF2026-032, subject for liquidation.</t>
  </si>
  <si>
    <t>2026-0991</t>
  </si>
  <si>
    <t>APR18-MAY17</t>
  </si>
  <si>
    <t>Payment for IWHA and Door 6 office internet bill for the period of Apr 18 - May 17, 2026, as per billing invoice no. 0678698140.</t>
  </si>
  <si>
    <t>2026-0992</t>
  </si>
  <si>
    <t>Payment for PNB Corporate loan principal due of 3,200,000.00 and interest of 734,250.00 for the period of 04/28/2026 to 05/28/2026 as per SI PN# Original loan old PN# 800012521070.</t>
  </si>
  <si>
    <t>2026-0993</t>
  </si>
  <si>
    <t>Payment for monthly loan interest for the month of May 28, 2026.</t>
  </si>
  <si>
    <t>2026-0994</t>
  </si>
  <si>
    <t>RFP2026-082</t>
  </si>
  <si>
    <t>Payment for 1 set first aid kit for emergency medical and safety needs, various office supplies for printing of drawings and project documents, / basic office and documentation tools / for document filing and organization / for secure transport and storage of drawings or documents, 1 TB hard drive for backup, file storage, and project documentation and 2 units of laser distance measuring device intended for measuring device as per RFP2026-082, subject for liquidation.</t>
  </si>
  <si>
    <t>Cash deposit to Ela c/o Jazz</t>
  </si>
  <si>
    <t>2026-0995</t>
  </si>
  <si>
    <t>RFP2026-083</t>
  </si>
  <si>
    <t>AMOMC-OR</t>
  </si>
  <si>
    <t>Payment for additional fuel allowance for Travis as per RFP2026-083, subject for liquidation.</t>
  </si>
  <si>
    <t>2026-0996</t>
  </si>
  <si>
    <t>RFP2026-084</t>
  </si>
  <si>
    <t>William Bonjoc</t>
  </si>
  <si>
    <t>Salary advances subject for payroll deduction of  P1,500.00 per payroll during deployment to APMC OR site, as per RFP2026-084.</t>
  </si>
  <si>
    <t>2026-0997</t>
  </si>
  <si>
    <t>RFP2026-085</t>
  </si>
  <si>
    <t>Payment for various household, housekeeping and kitchen supplies intended for APMC OR site deployed / assigned employees as per RFP2026-085, subject for liquidation.</t>
  </si>
  <si>
    <t>Received 25,000.00</t>
  </si>
  <si>
    <t>2026-0998</t>
  </si>
  <si>
    <t>MAY01-15</t>
  </si>
  <si>
    <t>Security services rendered by MINSAS security guard covering the period May 01 - 15, 2026 at Admin-Jluna.</t>
  </si>
  <si>
    <t>2026-0999</t>
  </si>
  <si>
    <t>Security services rendered by MINSAS security guard covering the period May 01 - 15, 2026 at OMET Croc Park site.</t>
  </si>
  <si>
    <t>from 75K Borrowings from Corange ref. CV2026-1081 06/01/2026</t>
  </si>
  <si>
    <t>2026-1000</t>
  </si>
  <si>
    <t>Encashment from BDO BGC account no. 012948002311 intended for APMC OR, Admin, Utilities and Logistics various request dated 05/20/2026.</t>
  </si>
  <si>
    <t>0000028387</t>
  </si>
  <si>
    <t>05.21.2026</t>
  </si>
  <si>
    <t>from BDO BGC account no. 012948002311</t>
  </si>
  <si>
    <t>2026-1001</t>
  </si>
  <si>
    <t>Fund transfer (via Encashment) from BDO BGC account no. 012948002311 to PNB BGC account.</t>
  </si>
  <si>
    <t>0000028388</t>
  </si>
  <si>
    <t>2026-1002</t>
  </si>
  <si>
    <t>Check deposit to SPJ PNB Payroll account last 05/20/2026, as per instruction.</t>
  </si>
  <si>
    <t>0006583449</t>
  </si>
  <si>
    <t>Date of transaction is May 20, 2026; late voucher.</t>
  </si>
  <si>
    <t>2026-1003</t>
  </si>
  <si>
    <t>Fund transfer (via Check deposit) from BDO BGC to PNB Savings OMET intended for telegraphic transfer to Lydia for commission dated 05/20/2026.</t>
  </si>
  <si>
    <t>0000028386</t>
  </si>
  <si>
    <t>2026-1004</t>
  </si>
  <si>
    <t>Rigie Tamala</t>
  </si>
  <si>
    <t>Check deposit to Rigie Tamala from Sterling Corange account no. 582-6-000248-55, as per instruction of SPJ. (Date of transaction: May 20, 2026).</t>
  </si>
  <si>
    <t>0006583448</t>
  </si>
  <si>
    <t>2026-1005</t>
  </si>
  <si>
    <t>Encashment from Sterling OMET account no. 582-6-000091-70 intended for various Admin Mindanao requests ref. CV nos. 2026-0838, 0839, 0840, 0841, 0842, 0843,0844 and 0845.</t>
  </si>
  <si>
    <t>0007536271</t>
  </si>
  <si>
    <t>2026-1006</t>
  </si>
  <si>
    <t>Cash deposit to BPI Rivera OMET intended for BPI Autoloans (Altis, Hilux, Mazda, Traviz, Lexus - due 3rd week of May). Date of transaction: May 18, 2026.</t>
  </si>
  <si>
    <t>Date of transaction is May 18, 2026; late voucher.</t>
  </si>
  <si>
    <t>2026-1007</t>
  </si>
  <si>
    <t>Cash deposit to BPI Rivera OMET intended for BPI Personal loan due on May 15, 2026 (Date of transaction: May 18, 2026)</t>
  </si>
  <si>
    <t>2026-1008</t>
  </si>
  <si>
    <t>Liu Penghui</t>
  </si>
  <si>
    <t>Payment to Lydia / Liu Penghui for commission.</t>
  </si>
  <si>
    <t>2026-1009</t>
  </si>
  <si>
    <t>Price Industries Limited</t>
  </si>
  <si>
    <t>30% Downpayment for PO6433, Lume 20 Room pressure monitor and Environmental sensor including shipping intended for Clark Multispecialty Medical Center project - Antec PHT monitoring, as per PR4846.</t>
  </si>
  <si>
    <t>Bal. 2,172.10 USD</t>
  </si>
  <si>
    <t>2026-1010</t>
  </si>
  <si>
    <t>Amcaremed Technology Co., Limited</t>
  </si>
  <si>
    <t>20% Downpayment for PO6435, Medical zone valve for 5 gases: Medical Air, Oxygen, Vacuum, N2O and WAGD including shipping fee intended for Clark Multispecialty Medical Center - Medical zone valve, as per PR4844.</t>
  </si>
  <si>
    <t>Bal. 940 USD</t>
  </si>
  <si>
    <t>from BGC fund. Fund Transfer ref. CV2026-0974 05/19/2026 - 17,000.00</t>
  </si>
  <si>
    <t>2026-1011</t>
  </si>
  <si>
    <t>Wenzhou Yuanzhan Electric Co., LTD.</t>
  </si>
  <si>
    <t>50% Downpayment for PO6277, isolated power panel with isolation transformer and line isolation monitor with swing type deadfront cover, powder coated, ga.16 ntended for CMSMC project - panelboard (with PR4405).</t>
  </si>
  <si>
    <t>Bal. 6000 USD</t>
  </si>
  <si>
    <t>from BGC fund. Fund Transfer ref. CV2026-0973 05/19/2026 - 370,000.00</t>
  </si>
  <si>
    <t>Admin -Jluna</t>
  </si>
  <si>
    <t>2026-1012</t>
  </si>
  <si>
    <t>RFP92</t>
  </si>
  <si>
    <t>Travel allowance including fuel for Boomtruck and meals to Marawi City for the deployment at APMC OR site as per RFP92, subject for liquidation.</t>
  </si>
  <si>
    <t>2026-1013</t>
  </si>
  <si>
    <t>RFP2026-086</t>
  </si>
  <si>
    <t>VSMMC OR</t>
  </si>
  <si>
    <t>Payment for Ante-date notarized documents (Board RESO) intended for submission of performance bond at Vicente Sotto Memorial Medical Center - Installation of beams as per RFP2026-086, subject for liquidation.</t>
  </si>
  <si>
    <t>2026-1014</t>
  </si>
  <si>
    <t>REIM-RCJ26-008</t>
  </si>
  <si>
    <t>Various expenses of RCJ, subject for reimbursement, as per REIM26-008.</t>
  </si>
  <si>
    <t>2026-1015</t>
  </si>
  <si>
    <t>RFP2026-087</t>
  </si>
  <si>
    <t>Payment for additional fuel allowance during travel from Marawi City back to Davao City as per RFP2026-087, subject for liquidation.</t>
  </si>
  <si>
    <t>2026-1016</t>
  </si>
  <si>
    <t>TRF2026-033</t>
  </si>
  <si>
    <t>Travel allowance to Marawi City on May 25, 2026 with Ar. Ella Degamo, Gregorio Dagani and company driver for deployment / site layout as per TRF2026-033, subject for liquidation.</t>
  </si>
  <si>
    <t>2026-1017</t>
  </si>
  <si>
    <t>Encashment from BDO BGC account no. 012948002311 intended for various request with ref. CV2026-1012 (11,400), CV2026-1013 (2,000), CV2026-1015 (6,000) and 43,500.00 (for printer).</t>
  </si>
  <si>
    <t>0000028391</t>
  </si>
  <si>
    <t>05.22.2026</t>
  </si>
  <si>
    <t>2026-1018</t>
  </si>
  <si>
    <t>RFP2026-088</t>
  </si>
  <si>
    <t>Payment for purchase of various cleaning materials and household equipment intended for deployment at APMC site as per RFP2026-088, subject for liquidation.</t>
  </si>
  <si>
    <t>2026-1019</t>
  </si>
  <si>
    <t>RFP2026-089</t>
  </si>
  <si>
    <t>Payment for Bosny rat glue intended for utility use as per RFP2026-089, subject for liquidation.</t>
  </si>
  <si>
    <t>2026-1020</t>
  </si>
  <si>
    <t>RFP2026-090</t>
  </si>
  <si>
    <t>Food allowance for Technicals intended for deployment / assignment at APMC OR site as per RFP2026-090, subject for liquidation.</t>
  </si>
  <si>
    <t>2026-1021</t>
  </si>
  <si>
    <t>RFP2026-091</t>
  </si>
  <si>
    <t>Payment for renewal of LTO registration including emission test and stencil and renewal of CTPL insurance of Howo Sinotruck self loader w/ boom GAR4965 and Isuzu Elf dumptruck blue MAH4765 as per RFP2026-091, subject for liquidation.</t>
  </si>
  <si>
    <t>2026-1022</t>
  </si>
  <si>
    <t>RFP2026-092</t>
  </si>
  <si>
    <t>Payment for various inks of L1300 intended for printer use for APMC OR site as per RFP2026-092, subject for liquidation.</t>
  </si>
  <si>
    <t>2026-1023</t>
  </si>
  <si>
    <t>Check deposit to SPJ PNB payroll account as per instruction.</t>
  </si>
  <si>
    <t>00000028393</t>
  </si>
  <si>
    <t>2026-1024</t>
  </si>
  <si>
    <t>Encashment from BDO BGC account no. 012948002311 intended for various credit cards payment as per SPJ instruction.</t>
  </si>
  <si>
    <t>00000028392</t>
  </si>
  <si>
    <t>2026-1025</t>
  </si>
  <si>
    <t>from Encashment 200K CV2026-1024 05/25/2026</t>
  </si>
  <si>
    <t>2026-1026</t>
  </si>
  <si>
    <t>2026-1027</t>
  </si>
  <si>
    <t>Payment of PNB credit card peso/dollar of MRJ under PHP billing with card number 5522-8098-0064-5980.</t>
  </si>
  <si>
    <t>2026-1028</t>
  </si>
  <si>
    <t>2026-1029</t>
  </si>
  <si>
    <t>TRF2026-034</t>
  </si>
  <si>
    <t>Travel allowance to Oroquieta City and Marawi City on May 26, 2026 with Jhelde Ann Marie Taglucop for signing of contract at Oroquieta City for AMOMC OR project and for the collection of APMC OR project at Marawi City as per TRF2026-034, subject for liquidation.</t>
  </si>
  <si>
    <t>Release by SPJ 05/25/2026</t>
  </si>
  <si>
    <t>from Encashment 100K CV2026-1032 05/25/2026</t>
  </si>
  <si>
    <t>2026-1030</t>
  </si>
  <si>
    <t>RFP96</t>
  </si>
  <si>
    <t>Payment for 3L cylinder head assy intended for parts for CAT EXCA as per RFP96, subject for liquidation.</t>
  </si>
  <si>
    <t>2026-1031</t>
  </si>
  <si>
    <t>RFP2026-093</t>
  </si>
  <si>
    <t>Payment for tenant's share of notarial fee for the Contract of Lease for the contract period of April 08, 2026 to April 07, 2027, as per RFP2026-093.</t>
  </si>
  <si>
    <t>2026-1032</t>
  </si>
  <si>
    <t>Encashment from BDO BGC account no. 012948002311, as per SPJ instruction (25,000.00 for CV2026-1029 CLJ TRF2026-034).</t>
  </si>
  <si>
    <t>0000028394</t>
  </si>
  <si>
    <t>2026-1033</t>
  </si>
  <si>
    <t>SI12502</t>
  </si>
  <si>
    <t>APR18-MAY18</t>
  </si>
  <si>
    <t>Ink all you can subscription for Cost and Accounting/Finance, Purchasing, Procurement and HR for the period of Apr 18 - May 18, 2026, as per SI#12502.</t>
  </si>
  <si>
    <t>2026-1034</t>
  </si>
  <si>
    <t xml:space="preserve"> Payroll for OMET executives employees for the month of MAY 2026.</t>
  </si>
  <si>
    <t>2026-1035</t>
  </si>
  <si>
    <t>MAY11-25</t>
  </si>
  <si>
    <t>Payment for Croc Park site bi-monthly payroll for the period May 11 - 25, 2026.</t>
  </si>
  <si>
    <t>2026-1036</t>
  </si>
  <si>
    <t>Payment for Mindanao site bi-monthly payroll for the period May 11 - 25, 2026.</t>
  </si>
  <si>
    <t>2026-1037</t>
  </si>
  <si>
    <t>Payroll for OMET Mindanao Admin Tech semi monthly employees for the period May 11 - 25, 2026.</t>
  </si>
  <si>
    <t>Advances to Employees - J.R. Baltazar</t>
  </si>
  <si>
    <t>2026-1038</t>
  </si>
  <si>
    <t>Payroll for OMET BGC Admin Tech semi monthly employees for the period May 11 - 25, 2026.</t>
  </si>
  <si>
    <t>2026-1039</t>
  </si>
  <si>
    <t>Payroll for caretaker of Bukidnon property for the month of MAY 2026.</t>
  </si>
  <si>
    <t>Palawan Express Padala</t>
  </si>
  <si>
    <t>2026-1040</t>
  </si>
  <si>
    <t>MAY 2ND HALF</t>
  </si>
  <si>
    <t>50% Full payment intended for Household expenses for the month of MAY 2026.</t>
  </si>
  <si>
    <t>2026-1041</t>
  </si>
  <si>
    <t>RFP2026-094</t>
  </si>
  <si>
    <t>Payment for electric bill for the month of May, food and fuel allowance for June 01 - 06, 2026 and rice allowance for June 01 - 15, 2026 intended for deployment at APMC OR site as per RFP094, subject for liquidation.</t>
  </si>
  <si>
    <t>2026-1042</t>
  </si>
  <si>
    <t>RFP2026-095</t>
  </si>
  <si>
    <t>Payment for primer, reducer and flat latex white intended for retouch of materials as per RFP2026-095.</t>
  </si>
  <si>
    <t>2026-1043</t>
  </si>
  <si>
    <t>RFP98</t>
  </si>
  <si>
    <t>Fuel intended for OMET vehicles, trucks and genset for week June 01 - 07, 2026 week 01 as per RFP98, subject for liquidation.</t>
  </si>
  <si>
    <t>2026-1044</t>
  </si>
  <si>
    <t>RFP99</t>
  </si>
  <si>
    <t>Fuel intended for OMET vehicles, trucks and genset for week June 08 - 12, 2026 week 02 as per RFP99, subject for liquidation.</t>
  </si>
  <si>
    <t>UNRELEASE</t>
  </si>
  <si>
    <t>2026-1045</t>
  </si>
  <si>
    <t>RFP93</t>
  </si>
  <si>
    <t>Payment for circular saw, welding machine and Hilti jackhammer intended for repair of tools as per RFP93, subject for liquidation.</t>
  </si>
  <si>
    <t>2026-1046</t>
  </si>
  <si>
    <t>APR12-MAY12</t>
  </si>
  <si>
    <t>Power consumption for the period of Apr 12 - May 12, 2026 of D10 office with account number 8215822313-9, as per billing invoice no. 1011562564.</t>
  </si>
  <si>
    <t>2026-1047</t>
  </si>
  <si>
    <t>Power consumption for the period of Apr 12 - May 12, 2026 of Door 06 Corange office with account number 4790525717-7, as per billing invoice no. 1011559611.</t>
  </si>
  <si>
    <t>2026-1048</t>
  </si>
  <si>
    <t>MAR23-MAY23</t>
  </si>
  <si>
    <t>Water consumption of Capili under MRJ for the month of Mar 23 - May 23, 2026 with account number 18-312818-5 due date on June 02, 2026 as per billing #: 00001595631.</t>
  </si>
  <si>
    <t>2026-1049</t>
  </si>
  <si>
    <t>Direct Labor - Internal - Clark - Skilled Worker</t>
  </si>
  <si>
    <t>Payment for BGC site bi-monthly payroll for the period May 11 - 25, 2026.</t>
  </si>
  <si>
    <t>Cash deposit to Lindon c/o Jazz</t>
  </si>
  <si>
    <t>2026-1050</t>
  </si>
  <si>
    <t>2026-1051</t>
  </si>
  <si>
    <t>2026-1052</t>
  </si>
  <si>
    <t>2026-1053</t>
  </si>
  <si>
    <t>2026-1054</t>
  </si>
  <si>
    <t>2026-1055</t>
  </si>
  <si>
    <t>2026-1056</t>
  </si>
  <si>
    <t>2026-1057</t>
  </si>
  <si>
    <t>2026-1058</t>
  </si>
  <si>
    <t>2026-1059</t>
  </si>
  <si>
    <t>2026-1060</t>
  </si>
  <si>
    <t>RFP100</t>
  </si>
  <si>
    <t>Payment for Oring (B), oring (S) and racker arm tappet  intended for CAB 4416 Refervan as per RFP100, subject for liquidation.</t>
  </si>
  <si>
    <t>2026-1061</t>
  </si>
  <si>
    <t>2026-1062</t>
  </si>
  <si>
    <t>2026-1063</t>
  </si>
  <si>
    <t>2026-1064</t>
  </si>
  <si>
    <t>RFP2026-096</t>
  </si>
  <si>
    <t>JA Halasan Customs Brokage</t>
  </si>
  <si>
    <t>Documentation and Processing Fee</t>
  </si>
  <si>
    <t>Payment for the fast tracking of the importation permit intended for renewal of BOC Permit, as per RFP2026-096.</t>
  </si>
  <si>
    <t>2026-1065</t>
  </si>
  <si>
    <t>Encashment from BDO BGC account no. 012948002311 intended for various BGC and Corange budget request.</t>
  </si>
  <si>
    <t>0000028396</t>
  </si>
  <si>
    <t>2026-1066</t>
  </si>
  <si>
    <t>Encashment from Sterling OMET account no. 582-6-000091-70 intended for various budget request of Mindanao.</t>
  </si>
  <si>
    <t>0007536279</t>
  </si>
  <si>
    <t>fund from Sterling OMET account no. 582-6-000091-70</t>
  </si>
  <si>
    <t>2026-1067</t>
  </si>
  <si>
    <t>Andrea Villagen</t>
  </si>
  <si>
    <t>Cash deposit to Andrea Villagen as per instruction. (BGC transaction)</t>
  </si>
  <si>
    <t>from Encashment 350,220.00 CV2026-1065 dated 06/01/2026</t>
  </si>
  <si>
    <t>2026-1068</t>
  </si>
  <si>
    <t>Cash to SPJ intended for various management expenses, as per instruction.</t>
  </si>
  <si>
    <t>0007536280</t>
  </si>
  <si>
    <t>2026-1069</t>
  </si>
  <si>
    <t>0007536281</t>
  </si>
  <si>
    <t>2026-1070</t>
  </si>
  <si>
    <t>Borrowings of Corange Inc. intended for APMC OR request dated 05/29/2026 ref. CV2026-1374 &amp; 2026-1375.</t>
  </si>
  <si>
    <t>Cash payment to Corange c/o Syl</t>
  </si>
  <si>
    <t>2026-1071</t>
  </si>
  <si>
    <t>Cash deposit to Andy Teodosio as per instruction. (BGC transaction)</t>
  </si>
  <si>
    <t>2026-1072</t>
  </si>
  <si>
    <t>Cash deposit to PNB OMET BGC as per instruction.</t>
  </si>
  <si>
    <t>2026-1073</t>
  </si>
  <si>
    <t>APR22-MAY22</t>
  </si>
  <si>
    <t>Light and power consumption for Capili under the name of MRJ for the period of Apr 22 - May 22, 2026, with account number 0825792227-1, as per billing invoice 1011749654.</t>
  </si>
  <si>
    <t>2026-1074</t>
  </si>
  <si>
    <t>APR21-MAY21</t>
  </si>
  <si>
    <t>Light and power consumption for Bayabas for the period of Apr 21 - May 21, 2026, with account number 9364721111-4, as per billing invoice 1011722932.</t>
  </si>
  <si>
    <t>2026-1075</t>
  </si>
  <si>
    <t>RFP2026-097</t>
  </si>
  <si>
    <t>Fuel or travel allowance to Pikit Cotabato on June 03, 2026 to take geotagged photos intended for BOC Permit renewal as per RFP2026-097, subject for liquidation.</t>
  </si>
  <si>
    <t>UNLIQUIDATED c/o Ivy</t>
  </si>
  <si>
    <t>2026-1076</t>
  </si>
  <si>
    <t>RFP104</t>
  </si>
  <si>
    <t>Payment for brand new parts, surplus assy and machine shop intended for repair of Loafbread MAU 9546 as per RFP104, subject for liquidation.</t>
  </si>
  <si>
    <t>2026-1077</t>
  </si>
  <si>
    <t>Water consumption for Croc Park for the month of APRIL 2026 with account no. 13-371001-2 due date on May 27, 2026 as per billing#: 00001531000.</t>
  </si>
  <si>
    <t>2026-1078</t>
  </si>
  <si>
    <t>Water consumption for SPMC due date on June 19, 2026 with account no. 21-358583-7, as per billing invoice no. 00001648046.</t>
  </si>
  <si>
    <t>2026-1079</t>
  </si>
  <si>
    <t>CARF017</t>
  </si>
  <si>
    <t>2026-1080</t>
  </si>
  <si>
    <t>CSI#09730</t>
  </si>
  <si>
    <t>CR# 01447</t>
  </si>
  <si>
    <t>Payment fo 1 roll Polyolefin sheet insulation k-flex kpr 1" as per SPJ's order with reference charge sales invoice no. 09730 and collection receipt no. 01447.</t>
  </si>
  <si>
    <t>from SPJ fund Encashment 50K CV2026-1068 06/01/2026</t>
  </si>
  <si>
    <t>CSI# 09730 &amp; CR# 01447 06/01/2026</t>
  </si>
  <si>
    <t>Returned to SPJ 06/01/2026</t>
  </si>
  <si>
    <t>2026-1081</t>
  </si>
  <si>
    <t>Fund transfer from Sterling Corange account no. 582-6-000248-55 intended for Croc Park request ref. CV2026-0999 &amp; CV2026-1035.</t>
  </si>
  <si>
    <t>Cash receive from Syl</t>
  </si>
  <si>
    <t>from Sterling Corange account no. 582-6-000248-55 ref. Check no. 0006583452 06/01/2026</t>
  </si>
  <si>
    <t>Borrowings - Coorange</t>
  </si>
  <si>
    <t>2026-1082</t>
  </si>
  <si>
    <t>Fund transfer to Sterling Corange from Sterling OMET account no. 582-6-000091-70, as per SPJ instruction.</t>
  </si>
  <si>
    <t>c/o Jesyl</t>
  </si>
  <si>
    <t>0007536285</t>
  </si>
  <si>
    <t>from Sterling OMET account no. 582-6-000091-70</t>
  </si>
  <si>
    <t>2026-1083</t>
  </si>
  <si>
    <t>0007536286</t>
  </si>
  <si>
    <t>2026-1084</t>
  </si>
  <si>
    <t>Cash In Bank - BDO Corange</t>
  </si>
  <si>
    <t>Fund transfer to BDO Diversion Corange from Sterling OMET account no. 582-6-000091-70, as per SPJ instruction.</t>
  </si>
  <si>
    <t>0007536283</t>
  </si>
  <si>
    <t>2026-1085</t>
  </si>
  <si>
    <t>Fund transfer to MRJ PNB payroll account from Sterling OMET account no. 582-6-000091-70, as per SPJ instruction.</t>
  </si>
  <si>
    <t>0007536282</t>
  </si>
  <si>
    <t>2026-1086</t>
  </si>
  <si>
    <t>Fund transfer to MRJ AND SPJ Sterling Joint PSP account from Sterling OMET account no. 582-6-000091-70, as per SPJ instruction.</t>
  </si>
  <si>
    <t>0007536284</t>
  </si>
  <si>
    <t>2026-1087</t>
  </si>
  <si>
    <t>Best Services Int'l Freight LTD. Ningbo Branch</t>
  </si>
  <si>
    <t>2026-1088</t>
  </si>
  <si>
    <t>Professional fee of Mr. Domilo as Business Development - Contracts Manager for the month of May 2026.</t>
  </si>
  <si>
    <t>2026-1089</t>
  </si>
  <si>
    <t>Professional fee of Dr. Htun as Senior Scientific Advisor for OLS Biotechnologies Corp. for the month of May 2026.</t>
  </si>
  <si>
    <t>2026-1090</t>
  </si>
  <si>
    <t>Professional fee of Dr. Leng as Senior Scientific Advisor for OLS Biotechnologies Corp. for the month of  May 2026.</t>
  </si>
  <si>
    <t>2026-1091</t>
  </si>
  <si>
    <t>Payment of Professional fee as OMET external audit for OMET Sole intended  for the month of May 2026 (5,600/month).</t>
  </si>
  <si>
    <t>2026-1092</t>
  </si>
  <si>
    <t>Payment of Professional fee as OMET external audit for OMET Inc intended for the month of May 2026 (5,600/month).</t>
  </si>
  <si>
    <t>2026-1093</t>
  </si>
  <si>
    <t>Payment of Professional fee as OMET external audit for EM Cuerpo/OMET JV intended for the month of May 2026.</t>
  </si>
  <si>
    <t>2026-1094</t>
  </si>
  <si>
    <t>Partial payment for Maam Marlyn as external auditor for ACJ/OMET JV for the month of May 2026.</t>
  </si>
  <si>
    <t>2026-1095</t>
  </si>
  <si>
    <t>Partial payment for Maam Marlyn as external auditor for RR Encabo/OMET JV for the month of May 2026.</t>
  </si>
  <si>
    <t>2026-1096</t>
  </si>
  <si>
    <t>2026-1097</t>
  </si>
  <si>
    <t>Cuerpo Personnel</t>
  </si>
  <si>
    <t>Meals/Snacks for Cuerpo Personnels.</t>
  </si>
  <si>
    <t>Paid via Gcash fund transfer c/o AGB</t>
  </si>
  <si>
    <t>Gcash Transfer</t>
  </si>
  <si>
    <t>Ref. No. 5041444279361 06/02/2026 4:02 PM</t>
  </si>
  <si>
    <t>Funded by SPJ through AGB</t>
  </si>
  <si>
    <t>2026-1098</t>
  </si>
  <si>
    <t>2026-1099</t>
  </si>
  <si>
    <t>Fund transfer to MRJ OR SPJ PNB joint account from Sterling OMET as per instruction.</t>
  </si>
  <si>
    <t>0007536287</t>
  </si>
  <si>
    <t>2026-1100</t>
  </si>
  <si>
    <t>Check deposit to PNB BGC from GDY, as per instruction (BGC transaction).</t>
  </si>
  <si>
    <t>0000672341</t>
  </si>
  <si>
    <t>05.28.2026</t>
  </si>
  <si>
    <t>BDO GDY</t>
  </si>
  <si>
    <t>from GDY</t>
  </si>
  <si>
    <t>Cash In Bank - GDY</t>
  </si>
  <si>
    <t>2026-1101</t>
  </si>
  <si>
    <t>Encashment from Sterling OMET account no. 582-6-000091-70 intended for various BGC request.</t>
  </si>
  <si>
    <t>0007536288</t>
  </si>
  <si>
    <t>2026-1102</t>
  </si>
  <si>
    <t>Refund for SPJ under BGC transaction.</t>
  </si>
  <si>
    <t>from Encashment 216K CV2026-1101 06/02/2026 for BGC</t>
  </si>
  <si>
    <t>2026-1103</t>
  </si>
  <si>
    <t>Fresca Colisao</t>
  </si>
  <si>
    <t>Cash deposit to Fresca Colisao as per instruction. (BGC transaction)</t>
  </si>
  <si>
    <t>2026-1104</t>
  </si>
  <si>
    <t>Cash deposit to PNB BGC from remaining cash under Encashment CV2026-1101.</t>
  </si>
  <si>
    <t>2026-1105</t>
  </si>
  <si>
    <t>RFP2026-098</t>
  </si>
  <si>
    <t>Engr. Henry Tancio</t>
  </si>
  <si>
    <t>Cash advance for Engr. Tancio's SOP under MKTI PH4 project, as per RCJ instruction.</t>
  </si>
  <si>
    <t>Cash In Bank  - OMET</t>
  </si>
  <si>
    <t>2026-1106</t>
  </si>
  <si>
    <t>TRF2026-035</t>
  </si>
  <si>
    <t>Travel allowance to Marawi City and Oroquieta City on June 04 - 06, 2026 (3 days) intended for modular operating room at AMOMC and APMC as per TRF2026-035, subject for liquidation.</t>
  </si>
  <si>
    <t>2026-1107</t>
  </si>
  <si>
    <t>Encashment from Sterling Corange account no. 582-6-000248-55 intended for Jibrielle Gayak's TRF ref. CV2026-1106.</t>
  </si>
  <si>
    <t>0006583454</t>
  </si>
  <si>
    <t>06.03.2026</t>
  </si>
  <si>
    <t>2026-1108</t>
  </si>
  <si>
    <t>Encashment from Sterling Corange account no. 582-6-000248-55 intended for purchase of various fruits as per request of Engr. Sittie.</t>
  </si>
  <si>
    <t>0006583453</t>
  </si>
  <si>
    <t>2026-1109</t>
  </si>
  <si>
    <t>TRF2026-036</t>
  </si>
  <si>
    <t>Travel allowance of Romnick, company driver to Marawi City and Oroquieta City on June 04 - 06,2026 with Jibrielle Gayak intended for APMC and AMOMC projects as per TRF2026-036, subject for liquidation.</t>
  </si>
  <si>
    <t>from COH 10K under Encashment CV2026-1108 06/03/2026 (remaining from purchase of fruits)</t>
  </si>
  <si>
    <t>2026-1110</t>
  </si>
  <si>
    <t>Encashment from Sterling OMET account no. 582-6-000091-70 to fund various Mindanao request dated 06.02.2026.</t>
  </si>
  <si>
    <t>0007536289</t>
  </si>
  <si>
    <t>2026-1111</t>
  </si>
  <si>
    <t>Cash In Bank - Chinabank Corange</t>
  </si>
  <si>
    <t>Fund transfer from BDO/Wood Lane Diversion Corange account no. 010478013689 to Chinabank Monte Corange account no. 166500015417 intended for various telegraphic transactions.</t>
  </si>
  <si>
    <t>0000443104</t>
  </si>
  <si>
    <t>BDO Corange</t>
  </si>
  <si>
    <t>from BDO/Wood Lane Diversion Corange account no. 010478013689</t>
  </si>
  <si>
    <t>2026-1112</t>
  </si>
  <si>
    <t>Check deposit to SPJ PNB payroll account, as per instructiion.</t>
  </si>
  <si>
    <t>0006583455</t>
  </si>
  <si>
    <t>2026-1113</t>
  </si>
  <si>
    <t>APMC Personnel</t>
  </si>
  <si>
    <t>Various fruits for APMC OR Personnel, as per request of Engr. Sittie.</t>
  </si>
  <si>
    <t>2026-1114</t>
  </si>
  <si>
    <t>RFP2026-099</t>
  </si>
  <si>
    <t>Load allowance intended for Admin/HR, Purchasing, Procurement, Logistics and Accounting Department due to Globe repair (causes internet loss), as per RFP2026-099, subject for liquidation.</t>
  </si>
  <si>
    <t>06.04.2026</t>
  </si>
  <si>
    <t>2026-1115</t>
  </si>
  <si>
    <t>2026-1116</t>
  </si>
  <si>
    <t>2026-1117</t>
  </si>
  <si>
    <t>2026-1118</t>
  </si>
  <si>
    <t>2026-1119</t>
  </si>
  <si>
    <t>2026-1120</t>
  </si>
  <si>
    <t>2026-1121</t>
  </si>
  <si>
    <t>2026-1122</t>
  </si>
  <si>
    <t>2026-1123</t>
  </si>
  <si>
    <t>2026-1124</t>
  </si>
  <si>
    <t>2026-1125</t>
  </si>
  <si>
    <t>2026-1126</t>
  </si>
  <si>
    <t>2026-1127</t>
  </si>
  <si>
    <t>2026-1128</t>
  </si>
  <si>
    <t>2026-1129</t>
  </si>
  <si>
    <t>2026-1130</t>
  </si>
  <si>
    <t>TOTAL</t>
  </si>
  <si>
    <t>Paid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</si>
</sst>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00_);_(* \(#,##0.00\);_(* &quot;-&quot;??_);_(@_)"/>
    <numFmt numFmtId="165" formatCode="[$-3409]dd\-mmm\-yy;@"/>
  </numFmts>
  <fonts count="16" x14ac:knownFonts="1">
    <font>
      <sz val="12"/>
      <color rgb="FF000000"/>
      <name val="Calibri"/>
      <family val="2"/>
    </font>
    <font>
      <sz val="12"/>
      <color rgb="FF000000"/>
      <name val="Calibri"/>
      <family val="2"/>
    </font>
    <font>
      <sz val="9"/>
      <color rgb="FF000000"/>
      <name val="Aptos Display"/>
      <family val="2"/>
      <scheme val="major"/>
    </font>
    <font>
      <b/>
      <sz val="9"/>
      <name val="Aptos Display"/>
      <family val="2"/>
      <scheme val="major"/>
    </font>
    <font>
      <b/>
      <sz val="9"/>
      <color rgb="FF000000"/>
      <name val="Aptos Display"/>
      <family val="2"/>
      <scheme val="major"/>
    </font>
    <font>
      <b/>
      <sz val="9"/>
      <color rgb="FFFF0000"/>
      <name val="Aptos Display"/>
      <family val="2"/>
      <scheme val="major"/>
    </font>
    <font>
      <b/>
      <sz val="9"/>
      <color rgb="FF0070C0"/>
      <name val="Aptos Display"/>
      <family val="2"/>
      <scheme val="major"/>
    </font>
    <font>
      <sz val="9"/>
      <color theme="1"/>
      <name val="Aptos Display"/>
      <family val="2"/>
      <scheme val="major"/>
    </font>
    <font>
      <sz val="9"/>
      <name val="Aptos Display"/>
      <family val="2"/>
      <scheme val="major"/>
    </font>
    <font>
      <sz val="8"/>
      <color rgb="FF000000"/>
      <name val="Aptos Display"/>
      <family val="2"/>
      <scheme val="major"/>
    </font>
    <font>
      <sz val="9"/>
      <color rgb="FFFF0000"/>
      <name val="Aptos Display"/>
      <family val="2"/>
      <scheme val="major"/>
    </font>
    <font>
      <b/>
      <sz val="8"/>
      <name val="Aptos Display"/>
      <family val="2"/>
      <scheme val="major"/>
    </font>
    <font>
      <b/>
      <sz val="10"/>
      <color rgb="FF000000"/>
      <name val="Aptos Display"/>
      <family val="2"/>
      <scheme val="major"/>
    </font>
    <font>
      <b/>
      <u val="singleAccounting"/>
      <sz val="8"/>
      <color rgb="FF000000"/>
      <name val="Aptos Display"/>
      <family val="2"/>
      <scheme val="major"/>
    </font>
    <font>
      <b/>
      <u val="singleAccounting"/>
      <sz val="10"/>
      <color rgb="FF000000"/>
      <name val="Aptos Display"/>
      <family val="2"/>
      <scheme val="major"/>
    </font>
    <font>
      <b/>
      <sz val="9"/>
      <color theme="7"/>
      <name val="Aptos Display"/>
      <family val="2"/>
      <scheme val="major"/>
    </font>
  </fonts>
  <fills count="5">
    <fill>
      <patternFill patternType="none"/>
    </fill>
    <fill>
      <patternFill patternType="gray125"/>
    </fill>
    <fill>
      <patternFill patternType="solid">
        <fgColor theme="7" tint="0.39997558519241921"/>
        <bgColor indexed="64"/>
      </patternFill>
    </fill>
    <fill>
      <patternFill patternType="solid">
        <fgColor theme="0" tint="-0.249977111117893"/>
        <bgColor indexed="64"/>
      </patternFill>
    </fill>
    <fill>
      <patternFill patternType="solid">
        <fgColor theme="0" tint="-0.34998626667073579"/>
        <bgColor indexed="64"/>
      </patternFill>
    </fill>
  </fills>
  <borders count="5">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164" fontId="1" fillId="0" borderId="0" applyFont="0" applyFill="0" applyBorder="0" applyAlignment="0" applyProtection="0"/>
  </cellStyleXfs>
  <cellXfs count="75">
    <xf numFmtId="0" fontId="0" fillId="0" borderId="0" xfId="0"/>
    <xf numFmtId="0" fontId="2" fillId="0" borderId="0" xfId="0" applyFont="1" applyAlignment="1">
      <alignment wrapText="1"/>
    </xf>
    <xf numFmtId="0" fontId="3" fillId="0" borderId="0" xfId="0" applyFont="1" applyAlignment="1">
      <alignment horizontal="center" vertical="center"/>
    </xf>
    <xf numFmtId="0" fontId="2" fillId="0" borderId="0" xfId="0" applyFont="1" applyAlignment="1">
      <alignment vertical="center"/>
    </xf>
    <xf numFmtId="164" fontId="2" fillId="0" borderId="0" xfId="1" applyFont="1" applyAlignment="1">
      <alignment vertical="center"/>
    </xf>
    <xf numFmtId="164" fontId="4" fillId="0" borderId="0" xfId="1" applyFont="1" applyAlignment="1">
      <alignment vertical="center"/>
    </xf>
    <xf numFmtId="0" fontId="4" fillId="0" borderId="0" xfId="0" applyFont="1" applyAlignment="1">
      <alignment vertical="center"/>
    </xf>
    <xf numFmtId="0" fontId="2" fillId="0" borderId="0" xfId="0" applyFont="1" applyAlignment="1">
      <alignment horizontal="center" vertical="center"/>
    </xf>
    <xf numFmtId="0" fontId="2" fillId="0" borderId="0" xfId="0" applyFont="1"/>
    <xf numFmtId="164" fontId="2" fillId="0" borderId="0" xfId="1" applyFont="1"/>
    <xf numFmtId="165" fontId="2" fillId="0" borderId="0" xfId="0" applyNumberFormat="1" applyFont="1" applyAlignment="1">
      <alignment vertical="center"/>
    </xf>
    <xf numFmtId="164" fontId="2" fillId="0" borderId="0" xfId="1" applyFont="1" applyAlignment="1">
      <alignment wrapText="1"/>
    </xf>
    <xf numFmtId="164" fontId="2" fillId="0" borderId="0" xfId="1" applyFont="1" applyAlignment="1">
      <alignment horizontal="center" vertical="center"/>
    </xf>
    <xf numFmtId="165" fontId="4" fillId="0" borderId="0" xfId="0" applyNumberFormat="1" applyFont="1" applyAlignment="1">
      <alignment vertical="center"/>
    </xf>
    <xf numFmtId="0" fontId="3" fillId="0" borderId="1" xfId="0" applyFont="1" applyBorder="1" applyAlignment="1">
      <alignment horizontal="center" vertical="center"/>
    </xf>
    <xf numFmtId="0" fontId="4" fillId="0" borderId="0" xfId="0" applyFont="1" applyAlignment="1">
      <alignment wrapText="1"/>
    </xf>
    <xf numFmtId="164" fontId="4" fillId="2" borderId="0" xfId="1" applyFont="1" applyFill="1" applyAlignment="1">
      <alignment vertical="center"/>
    </xf>
    <xf numFmtId="164" fontId="4" fillId="3" borderId="0" xfId="1" applyFont="1" applyFill="1" applyAlignment="1">
      <alignment vertical="center"/>
    </xf>
    <xf numFmtId="0" fontId="4" fillId="0" borderId="0" xfId="0" applyFont="1" applyAlignment="1">
      <alignment horizontal="center" vertical="center"/>
    </xf>
    <xf numFmtId="0" fontId="5" fillId="0" borderId="0" xfId="0" applyFont="1"/>
    <xf numFmtId="164" fontId="4" fillId="0" borderId="0" xfId="1" applyFont="1"/>
    <xf numFmtId="0" fontId="4" fillId="0" borderId="0" xfId="0" applyFont="1"/>
    <xf numFmtId="164" fontId="2" fillId="2" borderId="0" xfId="1" applyFont="1" applyFill="1" applyAlignment="1">
      <alignment vertical="center"/>
    </xf>
    <xf numFmtId="0" fontId="6" fillId="0" borderId="0" xfId="0" applyFont="1" applyAlignment="1">
      <alignment vertical="center"/>
    </xf>
    <xf numFmtId="0" fontId="2" fillId="0" borderId="0" xfId="0" applyFont="1" applyAlignment="1">
      <alignment horizontal="center" vertical="center" wrapText="1"/>
    </xf>
    <xf numFmtId="0" fontId="2" fillId="0" borderId="0" xfId="0" quotePrefix="1" applyFont="1" applyAlignment="1">
      <alignment horizontal="center" vertical="center"/>
    </xf>
    <xf numFmtId="0" fontId="3" fillId="0" borderId="0" xfId="0" applyFont="1" applyAlignment="1">
      <alignment vertical="center"/>
    </xf>
    <xf numFmtId="43" fontId="2" fillId="0" borderId="0" xfId="0" applyNumberFormat="1" applyFont="1"/>
    <xf numFmtId="0" fontId="5" fillId="0" borderId="0" xfId="0" applyFont="1" applyAlignment="1">
      <alignment horizontal="center" vertical="center"/>
    </xf>
    <xf numFmtId="0" fontId="5" fillId="0" borderId="0" xfId="0" applyFont="1" applyAlignment="1">
      <alignment vertical="center"/>
    </xf>
    <xf numFmtId="0" fontId="2" fillId="0" borderId="0" xfId="0" applyFont="1" applyAlignment="1">
      <alignment horizontal="left" vertical="center"/>
    </xf>
    <xf numFmtId="0" fontId="3" fillId="0" borderId="0" xfId="0" quotePrefix="1" applyFont="1" applyAlignment="1">
      <alignment horizontal="center" vertical="center"/>
    </xf>
    <xf numFmtId="0" fontId="4" fillId="3" borderId="0" xfId="0" applyFont="1" applyFill="1" applyAlignment="1">
      <alignment vertical="center"/>
    </xf>
    <xf numFmtId="164" fontId="7" fillId="0" borderId="0" xfId="1" applyFont="1" applyAlignment="1">
      <alignment vertical="center"/>
    </xf>
    <xf numFmtId="0" fontId="2" fillId="2" borderId="0" xfId="0" applyFont="1" applyFill="1" applyAlignment="1">
      <alignment vertical="center"/>
    </xf>
    <xf numFmtId="164" fontId="2" fillId="2" borderId="0" xfId="0" applyNumberFormat="1" applyFont="1" applyFill="1" applyAlignment="1">
      <alignment vertical="center"/>
    </xf>
    <xf numFmtId="164" fontId="8" fillId="0" borderId="0" xfId="1" applyFont="1" applyAlignment="1">
      <alignment vertical="center"/>
    </xf>
    <xf numFmtId="164" fontId="8" fillId="2" borderId="0" xfId="1" applyFont="1" applyFill="1" applyAlignment="1">
      <alignment vertical="center"/>
    </xf>
    <xf numFmtId="164" fontId="3" fillId="3" borderId="0" xfId="1" applyFont="1" applyFill="1" applyAlignment="1">
      <alignment vertical="center"/>
    </xf>
    <xf numFmtId="164" fontId="7" fillId="2" borderId="0" xfId="1" applyFont="1" applyFill="1" applyAlignment="1">
      <alignment vertical="center"/>
    </xf>
    <xf numFmtId="43" fontId="2" fillId="0" borderId="0" xfId="0" applyNumberFormat="1" applyFont="1" applyAlignment="1">
      <alignment horizontal="center" vertical="center"/>
    </xf>
    <xf numFmtId="43" fontId="2" fillId="2" borderId="0" xfId="0" applyNumberFormat="1" applyFont="1" applyFill="1" applyAlignment="1">
      <alignment vertical="center"/>
    </xf>
    <xf numFmtId="43" fontId="2" fillId="0" borderId="0" xfId="0" applyNumberFormat="1" applyFont="1" applyAlignment="1">
      <alignment vertical="center"/>
    </xf>
    <xf numFmtId="17" fontId="3" fillId="0" borderId="0" xfId="0" quotePrefix="1" applyNumberFormat="1" applyFont="1" applyAlignment="1">
      <alignment horizontal="center" vertical="center"/>
    </xf>
    <xf numFmtId="0" fontId="2" fillId="0" borderId="0" xfId="0" applyFont="1" applyAlignment="1">
      <alignment vertical="center" wrapText="1"/>
    </xf>
    <xf numFmtId="0" fontId="9" fillId="0" borderId="0" xfId="0" applyFont="1" applyAlignment="1">
      <alignment horizontal="center" vertical="center" wrapText="1"/>
    </xf>
    <xf numFmtId="0" fontId="6" fillId="0" borderId="0" xfId="0" applyFont="1" applyAlignment="1">
      <alignment horizontal="center" vertical="center"/>
    </xf>
    <xf numFmtId="164" fontId="5" fillId="0" borderId="0" xfId="1" applyFont="1" applyAlignment="1">
      <alignment horizontal="center" vertical="center"/>
    </xf>
    <xf numFmtId="164" fontId="6" fillId="0" borderId="0" xfId="1" applyFont="1" applyAlignment="1">
      <alignment horizontal="center" vertical="center"/>
    </xf>
    <xf numFmtId="164" fontId="5" fillId="0" borderId="0" xfId="1" applyFont="1"/>
    <xf numFmtId="0" fontId="8" fillId="0" borderId="0" xfId="0" applyFont="1" applyAlignment="1">
      <alignment horizontal="center" vertical="center"/>
    </xf>
    <xf numFmtId="0" fontId="2" fillId="0" borderId="0" xfId="0" quotePrefix="1" applyFont="1"/>
    <xf numFmtId="0" fontId="4" fillId="0" borderId="0" xfId="0" applyFont="1" applyAlignment="1">
      <alignment horizontal="center" vertical="center" wrapText="1"/>
    </xf>
    <xf numFmtId="0" fontId="10" fillId="0" borderId="0" xfId="0" applyFont="1" applyAlignment="1">
      <alignment horizontal="center" vertical="center"/>
    </xf>
    <xf numFmtId="0" fontId="2" fillId="0" borderId="0" xfId="0" applyFont="1" applyAlignment="1">
      <alignment horizontal="center"/>
    </xf>
    <xf numFmtId="0" fontId="11" fillId="0" borderId="0" xfId="0" applyFont="1" applyAlignment="1">
      <alignment horizontal="center" vertical="center"/>
    </xf>
    <xf numFmtId="0" fontId="6" fillId="0" borderId="0" xfId="0" applyFont="1" applyAlignment="1">
      <alignment horizontal="left" vertical="center"/>
    </xf>
    <xf numFmtId="14" fontId="2" fillId="0" borderId="0" xfId="0" applyNumberFormat="1" applyFont="1" applyAlignment="1">
      <alignment horizontal="center" vertical="center"/>
    </xf>
    <xf numFmtId="0" fontId="4" fillId="0" borderId="0" xfId="0" applyFont="1" applyAlignment="1">
      <alignment vertical="center" wrapText="1"/>
    </xf>
    <xf numFmtId="0" fontId="8" fillId="0" borderId="0" xfId="0" applyFont="1" applyAlignment="1">
      <alignment horizontal="center" vertical="center" wrapText="1"/>
    </xf>
    <xf numFmtId="0" fontId="5" fillId="0" borderId="0" xfId="0" applyFont="1" applyAlignment="1">
      <alignment horizontal="center" vertical="center" wrapText="1"/>
    </xf>
    <xf numFmtId="165" fontId="2" fillId="4" borderId="2" xfId="0" applyNumberFormat="1" applyFont="1" applyFill="1" applyBorder="1" applyAlignment="1">
      <alignment vertical="center"/>
    </xf>
    <xf numFmtId="0" fontId="3" fillId="4" borderId="3" xfId="0" applyFont="1" applyFill="1" applyBorder="1" applyAlignment="1">
      <alignment horizontal="center" vertical="center"/>
    </xf>
    <xf numFmtId="0" fontId="2" fillId="4" borderId="3" xfId="0" applyFont="1" applyFill="1" applyBorder="1" applyAlignment="1">
      <alignment vertical="center"/>
    </xf>
    <xf numFmtId="164" fontId="4" fillId="4" borderId="3" xfId="1" applyFont="1" applyFill="1" applyBorder="1" applyAlignment="1">
      <alignment vertical="center"/>
    </xf>
    <xf numFmtId="164" fontId="2" fillId="4" borderId="3" xfId="1" applyFont="1" applyFill="1" applyBorder="1" applyAlignment="1">
      <alignment vertical="center"/>
    </xf>
    <xf numFmtId="164" fontId="12" fillId="4" borderId="3" xfId="1" applyFont="1" applyFill="1" applyBorder="1" applyAlignment="1">
      <alignment horizontal="right" vertical="center"/>
    </xf>
    <xf numFmtId="164" fontId="13" fillId="4" borderId="3" xfId="1" applyFont="1" applyFill="1" applyBorder="1" applyAlignment="1">
      <alignment vertical="center"/>
    </xf>
    <xf numFmtId="164" fontId="14" fillId="4" borderId="3" xfId="1" applyFont="1" applyFill="1" applyBorder="1" applyAlignment="1">
      <alignment vertical="center"/>
    </xf>
    <xf numFmtId="0" fontId="4" fillId="4" borderId="3" xfId="0" applyFont="1" applyFill="1" applyBorder="1" applyAlignment="1">
      <alignment vertical="center"/>
    </xf>
    <xf numFmtId="0" fontId="2" fillId="4" borderId="3" xfId="0" applyFont="1" applyFill="1" applyBorder="1" applyAlignment="1">
      <alignment wrapText="1"/>
    </xf>
    <xf numFmtId="0" fontId="2" fillId="4" borderId="3" xfId="0" applyFont="1" applyFill="1" applyBorder="1" applyAlignment="1">
      <alignment horizontal="center" vertical="center"/>
    </xf>
    <xf numFmtId="0" fontId="2" fillId="4" borderId="3" xfId="0" applyFont="1" applyFill="1" applyBorder="1"/>
    <xf numFmtId="164" fontId="2" fillId="4" borderId="4" xfId="1" applyFont="1" applyFill="1" applyBorder="1"/>
    <xf numFmtId="0" fontId="15" fillId="0" borderId="0" xfId="0" applyFont="1" applyAlignment="1">
      <alignment vertic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theme" Target="theme/theme1.xml"/><Relationship Id="rId7" Type="http://schemas.openxmlformats.org/officeDocument/2006/relationships/externalLink" Target="externalLinks/externalLink6.xml"/><Relationship Id="rId71" Type="http://schemas.openxmlformats.org/officeDocument/2006/relationships/calcChain" Target="calcChain.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9" Type="http://schemas.openxmlformats.org/officeDocument/2006/relationships/externalLink" Target="externalLinks/externalLink28.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66" Type="http://schemas.openxmlformats.org/officeDocument/2006/relationships/externalLink" Target="externalLinks/externalLink65.xml"/><Relationship Id="rId5" Type="http://schemas.openxmlformats.org/officeDocument/2006/relationships/externalLink" Target="externalLinks/externalLink4.xml"/><Relationship Id="rId61" Type="http://schemas.openxmlformats.org/officeDocument/2006/relationships/externalLink" Target="externalLinks/externalLink60.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56" Type="http://schemas.openxmlformats.org/officeDocument/2006/relationships/externalLink" Target="externalLinks/externalLink55.xml"/><Relationship Id="rId64" Type="http://schemas.openxmlformats.org/officeDocument/2006/relationships/externalLink" Target="externalLinks/externalLink63.xml"/><Relationship Id="rId69" Type="http://schemas.openxmlformats.org/officeDocument/2006/relationships/styles" Target="styles.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3" Type="http://schemas.openxmlformats.org/officeDocument/2006/relationships/externalLink" Target="externalLinks/externalLink2.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46" Type="http://schemas.openxmlformats.org/officeDocument/2006/relationships/externalLink" Target="externalLinks/externalLink45.xml"/><Relationship Id="rId59" Type="http://schemas.openxmlformats.org/officeDocument/2006/relationships/externalLink" Target="externalLinks/externalLink58.xml"/><Relationship Id="rId67" Type="http://schemas.openxmlformats.org/officeDocument/2006/relationships/externalLink" Target="externalLinks/externalLink66.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54" Type="http://schemas.openxmlformats.org/officeDocument/2006/relationships/externalLink" Target="externalLinks/externalLink53.xml"/><Relationship Id="rId62" Type="http://schemas.openxmlformats.org/officeDocument/2006/relationships/externalLink" Target="externalLinks/externalLink61.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5.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externalLink" Target="externalLinks/externalLink35.xml"/><Relationship Id="rId49" Type="http://schemas.openxmlformats.org/officeDocument/2006/relationships/externalLink" Target="externalLinks/externalLink48.xml"/><Relationship Id="rId57" Type="http://schemas.openxmlformats.org/officeDocument/2006/relationships/externalLink" Target="externalLinks/externalLink5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44" Type="http://schemas.openxmlformats.org/officeDocument/2006/relationships/externalLink" Target="externalLinks/externalLink43.xml"/><Relationship Id="rId52" Type="http://schemas.openxmlformats.org/officeDocument/2006/relationships/externalLink" Target="externalLinks/externalLink51.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87293</xdr:rowOff>
    </xdr:from>
    <xdr:to>
      <xdr:col>3</xdr:col>
      <xdr:colOff>627899</xdr:colOff>
      <xdr:row>5</xdr:row>
      <xdr:rowOff>8517</xdr:rowOff>
    </xdr:to>
    <xdr:pic>
      <xdr:nvPicPr>
        <xdr:cNvPr id="2" name="Picture 1" descr="Screen Shot 2017-10-10 at 5.37.16 PM.png">
          <a:extLst>
            <a:ext uri="{FF2B5EF4-FFF2-40B4-BE49-F238E27FC236}">
              <a16:creationId xmlns:a16="http://schemas.microsoft.com/office/drawing/2014/main" id="{74FC8143-50E3-4FFC-BD9B-69E4E839FEED}"/>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 b="6819"/>
        <a:stretch/>
      </xdr:blipFill>
      <xdr:spPr>
        <a:xfrm>
          <a:off x="0" y="87293"/>
          <a:ext cx="2891039" cy="69084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OneMark_CFO\Desktop\OneMark\Finance%20Dept\OMET%20DAILY%20ISSUANCES%202026.xlsx" TargetMode="External"/><Relationship Id="rId1" Type="http://schemas.openxmlformats.org/officeDocument/2006/relationships/externalLinkPath" Target="/Users/OneMark_CFO/Desktop/OneMark/Finance%20Dept/OMET%20DAILY%20ISSUANCES%20202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owfal\Revised%20BOQ%20as%20of%2025.6.08%20For%20Numbering\Immigration%20Project\Services\IPC4\pymt%203%20consultant\Ahmad%20Works\Wala%20dam\AGTP\My%20Documents\invoice1r0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owfal\Revised%20BOQ%20as%20of%2025.6.08%20For%20Numbering\Immigration%20Project\phase%20I\Charts\paym%202%20consultant\Ahmad%20Works\Wala%20dam\AGTP\My%20Documents\invoice1r0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Immigration%20Project\Services\IPC4\pymt%203%20consultant\Ahmad%20Works\Wala%20dam\AGTP\My%20Documents\invoice1r0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Immigration%20Project\phase%20I\Charts\paym%202%20consultant\Ahmad%20Works\Wala%20dam\AGTP\My%20Documents\invoice1r0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K:\Immigration%20Project\Services\IPC4\pymt%203%20consultant\Ahmad%20Works\Wala%20dam\AGTP\My%20Documents\invoice1r0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K:\Immigration%20Project\phase%20I\Charts\paym%202%20consultant\Ahmad%20Works\Wala%20dam\AGTP\My%20Documents\invoice1r0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Nsgp\NSGP-rev3-OCT28\mechatech%20japanese%20yen.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lfred\Immigration%20Project\Services\IPC4\pymt%203%20consultant\Ahmad%20Works\Wala%20dam\AGTP\My%20Documents\invoice1r0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rose%20files\projects\BUILDING\cluster%202013\pACKAGE%20G%20mpb%20PDAF%202013\19-B\Users\User\Desktop\BRIDGE\2011%20%20JBA%20FILES\2011%20BRIDGES%20FILES\BALANGONAN.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rose%20files\projects\BUILDING\cluster%202013\pACKAGE%20G%20mpb%20PDAF%202013\19-B\Users\User\Desktop\BRIDGE\2010%20JBA%20FILES\BRIDGES\KALAW%20BRIDGE\KALAW%20REVISED%20%20POW%20FINAL%20100%20M%20FEB%2012%202010%20NO%20APPROACHES%20WITH%203%20COFFERDAM.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karla\Data%20(D)\windows\TEMP\Rra\Physician%20Center\Emman\NEW%20MEDICAL%20CITY.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www.fpbb.com/mail/napaglinawan.nsf/38d46bf5e8f08834852564b500129b2c/9d8f9ea7156053c848256c5c001d4400/$FILE/NAP/1624/Cost/CMR~Nov.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Nowfal\Revised%20BOQ%20as%20of%2025.6.08%20For%20Numbering\Immigration%20Project\manual%20Forms\Ahmad%20Forms\Ahmad%20Works\Wala%20dam\AGTP\My%20Documents\invoice1r0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lfred\Immigration%20Project\phase%20I\Charts\paym%202%20consultant\Ahmad%20Works\Wala%20dam\AGTP\My%20Documents\invoice1r01.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A:\windows\TEMP\TEMP\CP%23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G:\DOCUME~1\FRITCH~1\LOCALS~1\Temp\JANICE\BENEFITS\MARCH%20200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K:\Immigration%20Project\phase%20I\Charts\paym%202%20consultant\Ahmad%20Works\Wala%20dam\July%20payment-e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Nowfal\Revised%20BOQ%20as%20of%2025.6.08%20For%20Numbering\Immigration%20Project\Services\IPC4\pymt%203%20consultant\Ahmad%20Works\Wala%20dam\July%20payment-eng.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K:\Immigration%20Project\Immigration%20IPC's\IPC4\pymt%203%20consultant\Ahmad%20Works\Wala%20dam\July%20payment-eng.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Rag-05\mikee\Eng'g%20Files\MIKE\SMART\eng'gfile\cone\Base%20metals%20mining%20resources\Civils%20Cost%20Estimate%2010,000mTpd%20No%20Figures.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0A416891\POW(COMPLETE%20BR.PERMANENT%20HALFLANE%20CONCRETE)OPERATED%20HOUR%20%20293M%20%20FINAL%20FEB%2017%202009(additional%20craneway)1.6M%20PER%20LINEAR%20POW.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E:\Users\Admin\Desktop\Quantity%20Surveyor\Accomplishment%20Report\1.%20EPI\Monitoning%20Project%20Billing\Quantity%20Surveyor\MONTELAGO%20PROJECT\Accomplishmment%20Report\2.%20San%20R\March\LOOK-AHEAD%20SCHEDULE%20FOR%20June18-June23-201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Dominic_m\xmd\BOQ-M%20with%20Profit%20Plan\TexasInstrument-0m0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7693A70E\lasang%20river%20flood%20control%20section%20A.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ngg_group\engg\Data%20(2005)\Santech\Quotation\Quotation\A6674-B00%20(Santech%20Harmonics%20Monioring).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K:\Immigration%20Project\Services\IPC4\pymt%203%20consultant\Ahmad%20Works\Wala%20dam\July%20payment-eng.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K:\Immigration%20Project\manual%20Forms\Ahmad%20Forms\Ahmad%20Works\Wala%20dam\July%20payment-eng.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rla\Data%20(D)\windows\TEMP\sbmcostin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Nowfal\Revised%20BOQ%20as%20of%2025.6.08%20For%20Numbering\Immigration%20Project\phase%20I\Charts\paym%202%20consultant\Ahmad%20Works\Wala%20dam\July%20payment-eng.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A:\Wilson\BOQ\507-4\514-9-BQ-ADD-R1.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d.docs.live.net/DOH/Shirley%20Format/Ace%20Files/Engineering/Calabarzon%20Project/Take-Off/Quantity%20Take%20Off_02172014.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Mike\my%20documents\My%20Documents\Cv4%20Warehouse\Estimate\My%20Documents\Cv4%20Warehouse\Siteworks\DMCI%20Siteworks%20New%20Prices%200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Users\lenovo\AppData\Roaming\Microsoft\Excel\Users\lenovo\AppData\Roaming\Microsoft\Excel\Narz\Project%20Control\MOGP%20Project\Nap\PM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Users\Kathleen%20Mayhay\AppData\Local\Microsoft\Windows\Temporary%20Internet%20Files\Content.Outlook\1BWHEHIZ\PALAWAN-MR\Users\Maricel\Downloads\Near%20Miss%20Register%20(Autosaved).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Beauty\jfm2125\INTEL\breakdown.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Z:\Users\User\AppData\Roaming\Microsoft\Excel\POW-RHU-LUPON-1(Final-03072013).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Beauty\jfm2125\INTEL\06%20C%20Price_Compensation%20Plan.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E:\DREAMWORK%20CONSTRUCTION,%20INC\Dreamwork%20Construction,%20Inc.%202007\Financial%20Statement%20-%20Internal%20Report\Financial%20Statement%20&amp;%20General%20Ledger\Financial%20Statement%20for%20Y2007\GL.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Adam\my%20documents\My%20Documents\Masonry.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Nmpasion\MY%20DOCUMENTS\AAFher\AAMiscel\BASE.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K:\CM%2019.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E:\Users\lenovo\AppData\Roaming\Microsoft\Excel\Users\lenovo\AppData\Roaming\Microsoft\Excel\My%20Documents\daywork%20rates.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Fmm-2\alli\Files\Alli\1999\Metro%20Naga%20-%20water%20works\Breakdown\Files\ALLI\Metro%20Naga%20-%20water%20works\ALLI\Agno-Hyundai\Break\Civil.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karla\Data%20(D)\windows\TEMP\YONGNAM\TUAS_2.XLW"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E:\My%20Documents\Cost%20Information%20Unit\One%20Stop%20BOC\One-Stop%20BOC%20(Road%20Runn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ominic_m\xmd\BOQ-M%20with%20Profit%20Plan\GNF-M01.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Rra-3\dlsu%20-%20archi\Kgi\Projects\AWWTP%20-%202\RRA-3\KGI\PEZA%20-%20cavite\CAVITE%20PEZA%20BRKDWN\RRA-3\KGI\MEDICAL%20CITY\Medical%20city%20rev%204%20-%20DLS\bid%20breakdown%20-%20SUBSTRUCTURE%20-%20revision%204%20dl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p2\spi-ed-files\EDP-Cris%20Files\SPI-ED-Files\(2005)%20data-excel\_2005-Estimation%20BOQ\5-1010%20proj-Sunpower\SunPower-5e-01.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https://d.docs.live.net/Users/Onemark/Documents/March/1.0%20NMMC%20CDO/KOYO&#25552;&#20986;&#35211;&#31309;&#26360;%20.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ABOY\Aboy-Files\Aboy-Files\New%20Project\NIDEC%20TRAINING%20LAGUNA\Q05-0136-E.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Jho\phpc%202001%20fi\My%20Documents\PHPC%202001%20FILES\TENDER%20DATA\KSS\Sany%20Denki%20(Riofil)\Excel%20Data%202000\Sanyo%20Denki\Riofil\SANYO%20DENKI%20PLANT.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Engg_group\engg\Documents%20and%20Settings\&#31119;&#27704;&#23389;&#27425;\Local%20Settings\Temporary%20Internet%20Files\Content.IE5\6A8FGKLS\A5701-B02(Matex%20Upgrade%20Power%20Supply).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D:\rose%20files\projects\BUILDING\cluster%202013\pACKAGE%20G%20mpb%20PDAF%202013\19-B\Users\User\Desktop\BRIDGE\2011%20%20JBA%20FILES\2011%20BRIDGES%20FILES\MAA-BANGKAL\MAA-BANGKAL%20NEW%20POW.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K:\Immigration%20Project\Services\IPC4\pymt%203%20consultant\WINDOWS\Desktop\edit\CERTIFI\Ms31_n99\SEC2\Sc2sal28.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K:\Immigration%20Project\phase%20I\Charts\paym%202%20consultant\WINDOWS\Desktop\edit\CERTIFI\Ms31_n99\SEC2\Sc2sal28.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D:\rose%20files\projects\BUILDING\cluster%202013\pACKAGE%20G%20mpb%20PDAF%202013\ma-a\BRIDGE\2011%20%20JBA%20FILES\2012%20PROJECT%20FOR%20FUNDING\REGION%20XI%20POW\LASANG\lasang%20flood%20contrl\lasang%20river%20flood%20control%20section%20A.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A:\F%3fx\TOSHIBA\Scaffolds-qty_rev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K:\Documents%20and%20Settings\Administrator.JALAL\Desktop\Updating%20for%20IPC-13\Chilled%20Water%20System\Ph1_Chilled%20Water%20Network-CS.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Sara\Sarah\SARAH%20FILE\2004%20PROJECT\FPIP%20PROJECT\Nikkoshi-2E01(copy%20BOQ-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Rav\Laurel%20Ligaya%20Drive%20June%2008\Lyceum%20Site%20Dev't%20(July%2028,%2008)\Projects%202007\NIRWANA%20BALI\Nirwana-EW%20Cost%20Estimate.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rose%20files\projects\BUILDING\cluster%202013\pACKAGE%20G%20mpb%20PDAF%202013\19-B\Users\User\Desktop\BRIDGE\2011%20%20JBA%20FILES\2011%20BRIDGES%20FILES\2011%20POW%20MIRAL%20BRIDGES\MIRAL%20BRIDGE%20(bridge,abut%20protection%20and%20RW%20parti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OMETFileServer\Users\EMM\Desktop\MANILYN\PROJECT%20ESTIMATES\PROJECTS%20FOR%20BIDDING\official%20bid%20docs%20from%20CARAGA\Caraga%20Bidding%20Documents\Users\userPC\Desktop\Mix%20file\payapag%202CL%20Pow\KC%20Detailed%20Estimates.xlsx"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Andyc\PUBLIC%20SHARE\Documents%20and%20Settings\tsqs\Local%20Settings\Temporary%20Internet%20Files\Content.IE5\85CJE1EL\SEAFDEC%20COST\SEAFDEC%20EE.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D:\rose%20files\projects\BUILDING\cluster%202013\pACKAGE%20G%20mpb%20PDAF%202013\19-B\Users\User\Desktop\BRIDGE\2011%20%20JBA%20FILES\2012%20PROJECT%20FOR%20FUNDING\REGION%20XI%20POW\CALINAN%20TORIL%20100M.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A:\Johnny\STAFFSCHE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2026 DAILY TRANSACTIONS"/>
      <sheetName val="Sheet2"/>
      <sheetName val="PDC"/>
      <sheetName val="DAILY RELEASE"/>
      <sheetName val="TRF-DAV"/>
      <sheetName val="RFP-DAV"/>
      <sheetName val="TRF-BGC"/>
      <sheetName val="RFP-BGC"/>
      <sheetName val="FUND"/>
      <sheetName val="FUND REQUEST"/>
      <sheetName val="NMMC"/>
      <sheetName val="CRMC"/>
      <sheetName val="Pathwalk"/>
      <sheetName val="COLLECTIONS"/>
      <sheetName val="OMET MANDATORIES"/>
      <sheetName val="RCJ REIM"/>
      <sheetName val="ENCASHMENT"/>
      <sheetName val="OPEX"/>
      <sheetName val="04.06.26"/>
      <sheetName val="RCJ LIQUI"/>
      <sheetName val="Monthly Expens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HB CEC J.V. schd 2"/>
      <sheetName val="HB CEC schd 3.2"/>
      <sheetName val="HB CEC schd 4.2"/>
      <sheetName val="HB CEC schd 4.3"/>
      <sheetName val="HB CEC schd 5.2"/>
      <sheetName val="HB CEC schd 6.2"/>
      <sheetName val="HB CEC schd 7.2"/>
      <sheetName val="HB CEC schd 9.2"/>
      <sheetName val="Ver_Data"/>
      <sheetName val="Unit Cost"/>
      <sheetName val="BILL 1"/>
      <sheetName val="Source"/>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HB CEC J.V. schd 2"/>
      <sheetName val="HB CEC schd 3.2"/>
      <sheetName val="HB CEC schd 4.2"/>
      <sheetName val="HB CEC schd 4.3"/>
      <sheetName val="HB CEC schd 5.2"/>
      <sheetName val="HB CEC schd 6.2"/>
      <sheetName val="HB CEC schd 7.2"/>
      <sheetName val="HB CEC schd 9.2"/>
      <sheetName val="Ver_Data"/>
      <sheetName val="Source"/>
      <sheetName val="BILL 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HB CEC J.V. schd 2"/>
      <sheetName val="HB CEC schd 3.2"/>
      <sheetName val="HB CEC schd 4.2"/>
      <sheetName val="HB CEC schd 4.3"/>
      <sheetName val="HB CEC schd 5.2"/>
      <sheetName val="HB CEC schd 6.2"/>
      <sheetName val="HB CEC schd 7.2"/>
      <sheetName val="HB CEC schd 9.2"/>
      <sheetName val="Ver_Data"/>
      <sheetName val="Source"/>
      <sheetName val="BoM"/>
      <sheetName val="R.Lab Cos"/>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HB CEC J.V. schd 2"/>
      <sheetName val="HB CEC schd 3.2"/>
      <sheetName val="HB CEC schd 4.2"/>
      <sheetName val="HB CEC schd 4.3"/>
      <sheetName val="HB CEC schd 5.2"/>
      <sheetName val="HB CEC schd 6.2"/>
      <sheetName val="HB CEC schd 7.2"/>
      <sheetName val="HB CEC schd 9.2"/>
      <sheetName val="Ver_Data"/>
      <sheetName val="Source"/>
      <sheetName val="BILL 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HB CEC J.V. schd 2"/>
      <sheetName val="HB CEC schd 3.2"/>
      <sheetName val="HB CEC schd 4.2"/>
      <sheetName val="HB CEC schd 4.3"/>
      <sheetName val="HB CEC schd 5.2"/>
      <sheetName val="HB CEC schd 6.2"/>
      <sheetName val="HB CEC schd 7.2"/>
      <sheetName val="HB CEC schd 9.2"/>
      <sheetName val="Ver_Data"/>
      <sheetName val="Source"/>
      <sheetName val="Bill 1"/>
      <sheetName val="Bill 2"/>
      <sheetName val="Bill 3"/>
      <sheetName val="Bill 4"/>
      <sheetName val="Bill 5"/>
      <sheetName val="Bill 6"/>
      <sheetName val="Bill 7"/>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HB CEC J.V. schd 2"/>
      <sheetName val="HB CEC schd 3.2"/>
      <sheetName val="HB CEC schd 4.2"/>
      <sheetName val="HB CEC schd 4.3"/>
      <sheetName val="HB CEC schd 5.2"/>
      <sheetName val="HB CEC schd 6.2"/>
      <sheetName val="HB CEC schd 7.2"/>
      <sheetName val="HB CEC schd 9.2"/>
      <sheetName val="Ver_Data"/>
      <sheetName val="Source"/>
      <sheetName val="Data"/>
      <sheetName val="mw"/>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w"/>
      <sheetName val="Source"/>
      <sheetName val="HB CEC schd 6.2"/>
      <sheetName val="HB CEC schd 4.2"/>
      <sheetName val="HB CEC schd 4.3"/>
      <sheetName val="HB CEC schd 5.2"/>
      <sheetName val="HB CEC schd 7.2"/>
      <sheetName val="HB CEC schd 9.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HB CEC J.V. schd 2"/>
      <sheetName val="HB CEC schd 3.2"/>
      <sheetName val="HB CEC schd 4.2"/>
      <sheetName val="HB CEC schd 4.3"/>
      <sheetName val="HB CEC schd 5.2"/>
      <sheetName val="HB CEC schd 6.2"/>
      <sheetName val="HB CEC schd 7.2"/>
      <sheetName val="HB CEC schd 9.2"/>
      <sheetName val="Ver_Data"/>
      <sheetName val="Source"/>
      <sheetName val="5-Digit"/>
      <sheetName val="Addendum No.1 BILL 2"/>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A"/>
      <sheetName val="list B"/>
      <sheetName val="NEW SOURCE"/>
      <sheetName val="Source"/>
      <sheetName val="Sheet2"/>
      <sheetName val="FRONT PAGE"/>
      <sheetName val="2ND PAGE"/>
      <sheetName val="Sheet4"/>
      <sheetName val="103"/>
      <sheetName val="401"/>
      <sheetName val="404(a)"/>
      <sheetName val="404(b)"/>
      <sheetName val="405(1)"/>
      <sheetName val="405(2)"/>
      <sheetName val="400(5)"/>
      <sheetName val="400(16)"/>
      <sheetName val="400(15)"/>
      <sheetName val="406"/>
      <sheetName val="412"/>
      <sheetName val="410"/>
      <sheetName val="411"/>
      <sheetName val="100"/>
      <sheetName val="101(3)"/>
      <sheetName val="103(1)"/>
      <sheetName val="104(1)r"/>
      <sheetName val="104(2)"/>
      <sheetName val="105(1)"/>
      <sheetName val="200"/>
      <sheetName val="301"/>
      <sheetName val="310"/>
      <sheetName val="311(1)"/>
      <sheetName val="311(2)"/>
      <sheetName val="505"/>
      <sheetName val="612(1)"/>
      <sheetName val="612(2)"/>
      <sheetName val="603(3)a"/>
      <sheetName val="Sheet3"/>
      <sheetName val="101"/>
      <sheetName val="103(1) FC"/>
      <sheetName val="404"/>
      <sheetName val="405"/>
      <sheetName val="507"/>
      <sheetName val="1"/>
      <sheetName val="509"/>
      <sheetName val="safety 2"/>
      <sheetName val="safety"/>
      <sheetName val="tma rd"/>
      <sheetName val="TRAFFIC"/>
      <sheetName val="tma FC"/>
      <sheetName val="temfacil 6 x 8"/>
      <sheetName val="temfacil 6x 6"/>
      <sheetName val="BILLBOARD2"/>
      <sheetName val="BB"/>
      <sheetName val="vehicle b"/>
      <sheetName val="veh comp"/>
      <sheetName val="VEHICLE A"/>
      <sheetName val="TMA 1"/>
      <sheetName val="TMA"/>
      <sheetName val="bare month equip"/>
      <sheetName val="SUMMARY 2"/>
      <sheetName val="railing sidewalk rebars qty"/>
      <sheetName val="Sheet1"/>
      <sheetName val="mob"/>
    </sheetNames>
    <sheetDataSet>
      <sheetData sheetId="0" refreshError="1"/>
      <sheetData sheetId="1" refreshError="1"/>
      <sheetData sheetId="2" refreshError="1"/>
      <sheetData sheetId="3">
        <row r="13">
          <cell r="B13">
            <v>14</v>
          </cell>
        </row>
        <row r="14">
          <cell r="B14">
            <v>5</v>
          </cell>
        </row>
        <row r="16">
          <cell r="B16">
            <v>1135</v>
          </cell>
        </row>
        <row r="17">
          <cell r="B17">
            <v>75</v>
          </cell>
        </row>
        <row r="26">
          <cell r="B26">
            <v>2296</v>
          </cell>
        </row>
        <row r="32">
          <cell r="J32">
            <v>420</v>
          </cell>
        </row>
        <row r="41">
          <cell r="J41">
            <v>36</v>
          </cell>
        </row>
        <row r="68">
          <cell r="J68">
            <v>16483.5</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urce"/>
      <sheetName val="FRONT PAGE"/>
      <sheetName val="2ND PAGE"/>
      <sheetName val="BRIDGE"/>
      <sheetName val="101(1)"/>
      <sheetName val="103(1)bridge"/>
      <sheetName val="104 bridge"/>
      <sheetName val="401"/>
      <sheetName val="404(a)"/>
      <sheetName val="404(b)"/>
      <sheetName val="405(1)"/>
      <sheetName val="405(2)"/>
      <sheetName val="400(4)"/>
      <sheetName val="400(5)"/>
      <sheetName val="400(14)"/>
      <sheetName val="400(16a"/>
      <sheetName val="400(15)"/>
      <sheetName val="400(16)"/>
      <sheetName val="ROADWAY"/>
      <sheetName val="100(1)"/>
      <sheetName val="101(3)a"/>
      <sheetName val="101(3)b"/>
      <sheetName val="101(3)c"/>
      <sheetName val="103(1)"/>
      <sheetName val="103(1) FC"/>
      <sheetName val="103(3)FC"/>
      <sheetName val="103(6) FC"/>
      <sheetName val="500(1)a"/>
      <sheetName val="500(1)b"/>
      <sheetName val="506"/>
      <sheetName val="104(1)"/>
      <sheetName val="104(2)"/>
      <sheetName val="105(1)"/>
      <sheetName val="105(2)a"/>
      <sheetName val="105(2)b"/>
      <sheetName val="200"/>
      <sheetName val="311(1)"/>
      <sheetName val="311(2)"/>
      <sheetName val="505"/>
      <sheetName val="603(3A)1"/>
      <sheetName val="612(1)"/>
      <sheetName val="612(2)"/>
      <sheetName val="FLOOD CONTROL"/>
      <sheetName val="safety 2"/>
      <sheetName val="safety"/>
      <sheetName val="cofferdam"/>
      <sheetName val="cofferdam final"/>
      <sheetName val="craneway"/>
      <sheetName val="craneway final"/>
      <sheetName val="tma rd"/>
      <sheetName val="TRAFFIC"/>
      <sheetName val="tma FC"/>
      <sheetName val="temfacil 6 x 8"/>
      <sheetName val="temfacil"/>
      <sheetName val="BILLBOARD2"/>
      <sheetName val="BB"/>
      <sheetName val="vehicle b"/>
      <sheetName val="veh comp"/>
      <sheetName val="VEHICLE A"/>
      <sheetName val="TMA 1"/>
      <sheetName val="TMA"/>
      <sheetName val="bare month equip"/>
      <sheetName val="SUMMARY 2"/>
      <sheetName val="summary"/>
    </sheetNames>
    <sheetDataSet>
      <sheetData sheetId="0" refreshError="1">
        <row r="4">
          <cell r="J4">
            <v>300</v>
          </cell>
        </row>
        <row r="5">
          <cell r="J5">
            <v>432</v>
          </cell>
        </row>
        <row r="6">
          <cell r="J6">
            <v>482</v>
          </cell>
        </row>
        <row r="7">
          <cell r="B7">
            <v>968</v>
          </cell>
        </row>
        <row r="8">
          <cell r="J8">
            <v>1200</v>
          </cell>
        </row>
        <row r="9">
          <cell r="B9">
            <v>562.32000000000005</v>
          </cell>
          <cell r="J9">
            <v>18</v>
          </cell>
        </row>
        <row r="10">
          <cell r="B10">
            <v>1229</v>
          </cell>
          <cell r="J10">
            <v>18</v>
          </cell>
        </row>
        <row r="11">
          <cell r="B11">
            <v>15</v>
          </cell>
          <cell r="J11">
            <v>319</v>
          </cell>
        </row>
        <row r="12">
          <cell r="B12">
            <v>95</v>
          </cell>
          <cell r="J12">
            <v>72</v>
          </cell>
        </row>
        <row r="13">
          <cell r="J13">
            <v>78</v>
          </cell>
        </row>
        <row r="18">
          <cell r="B18">
            <v>173</v>
          </cell>
        </row>
        <row r="20">
          <cell r="B20">
            <v>292.64</v>
          </cell>
        </row>
        <row r="21">
          <cell r="B21">
            <v>1583</v>
          </cell>
        </row>
        <row r="23">
          <cell r="B23">
            <v>1280</v>
          </cell>
        </row>
        <row r="30">
          <cell r="B30">
            <v>565</v>
          </cell>
        </row>
        <row r="35">
          <cell r="J35">
            <v>5223</v>
          </cell>
        </row>
        <row r="36">
          <cell r="J36">
            <v>4620</v>
          </cell>
        </row>
        <row r="41">
          <cell r="J41">
            <v>44</v>
          </cell>
        </row>
        <row r="42">
          <cell r="J42">
            <v>45</v>
          </cell>
        </row>
        <row r="52">
          <cell r="J52">
            <v>606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PT ANALYSIS"/>
      <sheetName val="DIV 1 (2)"/>
      <sheetName val="temf (2)"/>
      <sheetName val="man (2)"/>
      <sheetName val="EQPT (2)"/>
      <sheetName val="temf"/>
      <sheetName val="EQPT"/>
      <sheetName val="man"/>
      <sheetName val="COST SUMMARY"/>
      <sheetName val="Demolition Eqpt"/>
      <sheetName val="DIV 1"/>
      <sheetName val="Prelims brkdwn"/>
      <sheetName val="Addendum No.1 BILL 2"/>
      <sheetName val="summary"/>
      <sheetName val="BM"/>
      <sheetName val="qty"/>
      <sheetName val="Source"/>
      <sheetName val="HB CEC schd 4.2"/>
      <sheetName val="HB CEC schd 4.3"/>
      <sheetName val="HB CEC schd 5.2"/>
      <sheetName val="HB CEC schd 6.2"/>
      <sheetName val="HB CEC schd 7.2"/>
      <sheetName val="HB CEC schd 9.2"/>
      <sheetName val="AT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ATD"/>
      <sheetName val="CTD"/>
      <sheetName val="OpCost"/>
      <sheetName val="OSS"/>
      <sheetName val="1624Rev"/>
      <sheetName val="R&amp;O"/>
      <sheetName val="COA Sum"/>
      <sheetName val="VI"/>
      <sheetName val="PMS"/>
      <sheetName val="CPMS"/>
      <sheetName val="CMS"/>
      <sheetName val="COA_Sum"/>
      <sheetName val="Cost"/>
      <sheetName val="Budget"/>
      <sheetName val="wrksht"/>
      <sheetName val="Prelims"/>
      <sheetName val="OPEX06"/>
    </sheetNames>
    <sheetDataSet>
      <sheetData sheetId="0" refreshError="1"/>
      <sheetData sheetId="1" refreshError="1">
        <row r="7">
          <cell r="A7" t="str">
            <v>CODE</v>
          </cell>
          <cell r="B7" t="str">
            <v>DESCRIPTION</v>
          </cell>
          <cell r="C7" t="str">
            <v>TOTAL</v>
          </cell>
        </row>
        <row r="8">
          <cell r="B8" t="str">
            <v>% of Accomplishment as of 15 Sep</v>
          </cell>
          <cell r="C8">
            <v>1</v>
          </cell>
        </row>
        <row r="9">
          <cell r="A9">
            <v>1000</v>
          </cell>
          <cell r="B9" t="str">
            <v>LABOUR</v>
          </cell>
          <cell r="C9">
            <v>8587977.6499999985</v>
          </cell>
        </row>
        <row r="10">
          <cell r="A10">
            <v>1100</v>
          </cell>
          <cell r="B10" t="str">
            <v>Expats and Local Staff</v>
          </cell>
          <cell r="C10">
            <v>4319999.79</v>
          </cell>
        </row>
        <row r="11">
          <cell r="A11">
            <v>1200</v>
          </cell>
          <cell r="B11" t="str">
            <v>Indirect Labor</v>
          </cell>
          <cell r="C11">
            <v>1908458.28</v>
          </cell>
        </row>
        <row r="12">
          <cell r="A12">
            <v>1300</v>
          </cell>
          <cell r="B12" t="str">
            <v>Direct Labor</v>
          </cell>
          <cell r="C12">
            <v>2359519.5799999991</v>
          </cell>
        </row>
        <row r="13">
          <cell r="A13">
            <v>2000</v>
          </cell>
          <cell r="B13" t="str">
            <v>PLANT</v>
          </cell>
          <cell r="C13">
            <v>5610039.6499999994</v>
          </cell>
        </row>
        <row r="14">
          <cell r="A14">
            <v>2100</v>
          </cell>
          <cell r="B14" t="str">
            <v>In-house rental</v>
          </cell>
          <cell r="C14">
            <v>1955425.291109887</v>
          </cell>
        </row>
        <row r="15">
          <cell r="A15">
            <v>2200</v>
          </cell>
          <cell r="B15" t="str">
            <v>Outside rental</v>
          </cell>
          <cell r="C15">
            <v>3654614.3588901125</v>
          </cell>
        </row>
        <row r="16">
          <cell r="A16">
            <v>2300</v>
          </cell>
          <cell r="B16" t="str">
            <v>POL</v>
          </cell>
          <cell r="C16" t="str">
            <v>included</v>
          </cell>
        </row>
        <row r="17">
          <cell r="A17">
            <v>2400</v>
          </cell>
          <cell r="B17" t="str">
            <v>Minor repairs, maint and spares</v>
          </cell>
          <cell r="C17" t="str">
            <v>included</v>
          </cell>
        </row>
        <row r="18">
          <cell r="A18">
            <v>2500</v>
          </cell>
          <cell r="B18" t="str">
            <v>Major repairs and spares</v>
          </cell>
          <cell r="C18" t="str">
            <v>included</v>
          </cell>
        </row>
        <row r="19">
          <cell r="A19">
            <v>3000</v>
          </cell>
          <cell r="B19" t="str">
            <v>PERMANENT MATERIALS</v>
          </cell>
          <cell r="C19">
            <v>15011934.069200004</v>
          </cell>
        </row>
        <row r="20">
          <cell r="A20">
            <v>3012</v>
          </cell>
          <cell r="B20" t="str">
            <v>Imported Fill</v>
          </cell>
          <cell r="C20">
            <v>2551094.19</v>
          </cell>
        </row>
        <row r="21">
          <cell r="A21">
            <v>3013</v>
          </cell>
          <cell r="B21" t="str">
            <v>Base course</v>
          </cell>
          <cell r="C21">
            <v>120516.21</v>
          </cell>
        </row>
        <row r="22">
          <cell r="A22">
            <v>3014</v>
          </cell>
          <cell r="B22" t="str">
            <v>Fine Aggregates</v>
          </cell>
          <cell r="C22">
            <v>59667.77</v>
          </cell>
        </row>
        <row r="23">
          <cell r="A23">
            <v>3015</v>
          </cell>
          <cell r="B23" t="str">
            <v>Coarse Aggregates</v>
          </cell>
          <cell r="C23">
            <v>736</v>
          </cell>
        </row>
        <row r="24">
          <cell r="A24">
            <v>3016</v>
          </cell>
          <cell r="B24" t="str">
            <v>Vapor barrier</v>
          </cell>
          <cell r="C24">
            <v>0</v>
          </cell>
        </row>
        <row r="25">
          <cell r="A25">
            <v>3017</v>
          </cell>
          <cell r="B25" t="str">
            <v>Geotextiles</v>
          </cell>
          <cell r="C25">
            <v>100910.25</v>
          </cell>
        </row>
        <row r="26">
          <cell r="A26">
            <v>3018</v>
          </cell>
          <cell r="B26" t="str">
            <v>Gabions</v>
          </cell>
          <cell r="C26">
            <v>241582.8</v>
          </cell>
        </row>
        <row r="27">
          <cell r="A27">
            <v>3019</v>
          </cell>
          <cell r="B27" t="str">
            <v>Boulders</v>
          </cell>
          <cell r="C27">
            <v>97852.96</v>
          </cell>
        </row>
        <row r="28">
          <cell r="A28">
            <v>3120</v>
          </cell>
          <cell r="B28" t="str">
            <v>Concrete, 4000 psi</v>
          </cell>
          <cell r="C28">
            <v>2484743.4589999998</v>
          </cell>
        </row>
        <row r="29">
          <cell r="A29">
            <v>3121</v>
          </cell>
          <cell r="B29" t="str">
            <v>Concrete, 2000 psi</v>
          </cell>
          <cell r="C29">
            <v>35242.449999999997</v>
          </cell>
        </row>
        <row r="30">
          <cell r="A30">
            <v>3122</v>
          </cell>
          <cell r="B30" t="str">
            <v>Cement</v>
          </cell>
          <cell r="C30">
            <v>0</v>
          </cell>
        </row>
        <row r="31">
          <cell r="A31">
            <v>3124</v>
          </cell>
          <cell r="B31" t="str">
            <v>Grout</v>
          </cell>
          <cell r="C31">
            <v>1816.01</v>
          </cell>
        </row>
        <row r="32">
          <cell r="A32">
            <v>3125</v>
          </cell>
          <cell r="B32" t="str">
            <v>Rip rap materials</v>
          </cell>
          <cell r="C32">
            <v>535309.76</v>
          </cell>
        </row>
        <row r="33">
          <cell r="A33">
            <v>3130</v>
          </cell>
          <cell r="B33" t="str">
            <v>Rebars</v>
          </cell>
          <cell r="C33">
            <v>1626451.9002</v>
          </cell>
        </row>
        <row r="34">
          <cell r="A34">
            <v>3162</v>
          </cell>
          <cell r="B34" t="str">
            <v>Construction joints</v>
          </cell>
          <cell r="C34">
            <v>34094.74</v>
          </cell>
        </row>
        <row r="35">
          <cell r="A35">
            <v>3163</v>
          </cell>
          <cell r="B35" t="str">
            <v>Waterstops</v>
          </cell>
          <cell r="C35">
            <v>0</v>
          </cell>
        </row>
        <row r="36">
          <cell r="A36">
            <v>3164</v>
          </cell>
          <cell r="B36" t="str">
            <v>Anchor Bolts</v>
          </cell>
          <cell r="C36">
            <v>0</v>
          </cell>
        </row>
        <row r="37">
          <cell r="A37">
            <v>3165</v>
          </cell>
          <cell r="B37" t="str">
            <v>Rubber Pads</v>
          </cell>
          <cell r="C37">
            <v>108136.4</v>
          </cell>
        </row>
        <row r="38">
          <cell r="A38">
            <v>3166</v>
          </cell>
          <cell r="B38" t="str">
            <v>Metal Deck</v>
          </cell>
          <cell r="C38">
            <v>194000</v>
          </cell>
        </row>
        <row r="39">
          <cell r="A39">
            <v>3167</v>
          </cell>
          <cell r="B39" t="str">
            <v>Rail Guard / Barrier</v>
          </cell>
          <cell r="C39">
            <v>272882.88</v>
          </cell>
        </row>
        <row r="40">
          <cell r="A40">
            <v>3170</v>
          </cell>
          <cell r="B40" t="str">
            <v>Precast concrete</v>
          </cell>
          <cell r="C40">
            <v>78818.399999999994</v>
          </cell>
        </row>
        <row r="41">
          <cell r="A41">
            <v>3210</v>
          </cell>
          <cell r="B41" t="str">
            <v>Structural Steel</v>
          </cell>
          <cell r="C41">
            <v>281052.90000000002</v>
          </cell>
        </row>
        <row r="42">
          <cell r="A42">
            <v>3211</v>
          </cell>
          <cell r="B42" t="str">
            <v>Grating</v>
          </cell>
          <cell r="C42">
            <v>87272.8</v>
          </cell>
        </row>
        <row r="43">
          <cell r="A43">
            <v>3611</v>
          </cell>
          <cell r="B43" t="str">
            <v>CHB</v>
          </cell>
          <cell r="C43">
            <v>30649</v>
          </cell>
        </row>
        <row r="44">
          <cell r="A44">
            <v>3661</v>
          </cell>
          <cell r="B44" t="str">
            <v>Wall rendering materials</v>
          </cell>
          <cell r="C44">
            <v>1071</v>
          </cell>
        </row>
        <row r="45">
          <cell r="A45">
            <v>3663</v>
          </cell>
          <cell r="B45" t="str">
            <v>Ceiling materals</v>
          </cell>
          <cell r="C45">
            <v>34729.81</v>
          </cell>
        </row>
        <row r="46">
          <cell r="A46">
            <v>3664</v>
          </cell>
          <cell r="B46" t="str">
            <v>Doors &amp; Windows</v>
          </cell>
          <cell r="C46">
            <v>45288</v>
          </cell>
        </row>
        <row r="47">
          <cell r="A47">
            <v>3666</v>
          </cell>
          <cell r="B47" t="str">
            <v>Tiles</v>
          </cell>
          <cell r="C47">
            <v>10086</v>
          </cell>
        </row>
        <row r="48">
          <cell r="A48">
            <v>3720</v>
          </cell>
          <cell r="B48" t="str">
            <v>Electrical Items</v>
          </cell>
          <cell r="C48">
            <v>1094373.46</v>
          </cell>
        </row>
        <row r="49">
          <cell r="A49">
            <v>3731</v>
          </cell>
          <cell r="B49" t="str">
            <v>Pipes</v>
          </cell>
          <cell r="C49">
            <v>332000</v>
          </cell>
        </row>
        <row r="50">
          <cell r="A50">
            <v>3732</v>
          </cell>
          <cell r="B50" t="str">
            <v>Pipe supports</v>
          </cell>
          <cell r="C50">
            <v>49000</v>
          </cell>
        </row>
        <row r="51">
          <cell r="A51">
            <v>3810</v>
          </cell>
          <cell r="B51" t="str">
            <v>Traffic sign boards</v>
          </cell>
          <cell r="C51">
            <v>114299.40000000001</v>
          </cell>
        </row>
        <row r="52">
          <cell r="A52">
            <v>3820</v>
          </cell>
          <cell r="B52" t="str">
            <v>Fence</v>
          </cell>
          <cell r="C52">
            <v>251600</v>
          </cell>
        </row>
        <row r="53">
          <cell r="A53">
            <v>3910</v>
          </cell>
          <cell r="B53" t="str">
            <v>Sheet Piles</v>
          </cell>
          <cell r="C53">
            <v>4136655.52</v>
          </cell>
        </row>
        <row r="54">
          <cell r="A54">
            <v>3990</v>
          </cell>
          <cell r="B54" t="str">
            <v>Other construction materials</v>
          </cell>
          <cell r="C54">
            <v>0</v>
          </cell>
        </row>
        <row r="55">
          <cell r="A55">
            <v>4000</v>
          </cell>
          <cell r="B55" t="str">
            <v xml:space="preserve"> TEMP BLDGS, MATERIALS AND EQUIPMENT</v>
          </cell>
          <cell r="C55">
            <v>3986721.88</v>
          </cell>
        </row>
        <row r="56">
          <cell r="A56">
            <v>4010</v>
          </cell>
          <cell r="B56" t="str">
            <v>Office - container vans</v>
          </cell>
          <cell r="C56">
            <v>284833.26</v>
          </cell>
        </row>
        <row r="57">
          <cell r="A57">
            <v>4015</v>
          </cell>
          <cell r="B57" t="str">
            <v>Office - constructed</v>
          </cell>
          <cell r="C57">
            <v>0</v>
          </cell>
        </row>
        <row r="58">
          <cell r="A58">
            <v>4020</v>
          </cell>
          <cell r="B58" t="str">
            <v>Store - container vans</v>
          </cell>
          <cell r="C58">
            <v>11250</v>
          </cell>
        </row>
        <row r="59">
          <cell r="A59">
            <v>4025</v>
          </cell>
          <cell r="B59" t="str">
            <v>Warehouse - constructed</v>
          </cell>
          <cell r="C59">
            <v>0</v>
          </cell>
        </row>
        <row r="60">
          <cell r="A60">
            <v>4030</v>
          </cell>
          <cell r="B60" t="str">
            <v>Temporary shelter</v>
          </cell>
          <cell r="C60">
            <v>36425</v>
          </cell>
        </row>
        <row r="61">
          <cell r="A61">
            <v>4035</v>
          </cell>
          <cell r="B61" t="str">
            <v>Temporary fence</v>
          </cell>
          <cell r="C61">
            <v>6000</v>
          </cell>
        </row>
        <row r="62">
          <cell r="A62">
            <v>4040</v>
          </cell>
          <cell r="B62" t="str">
            <v>Temporay drainage</v>
          </cell>
          <cell r="C62">
            <v>15000</v>
          </cell>
        </row>
        <row r="63">
          <cell r="A63">
            <v>4050</v>
          </cell>
          <cell r="B63" t="str">
            <v>Refurbishment of temp structures</v>
          </cell>
          <cell r="C63">
            <v>0</v>
          </cell>
        </row>
        <row r="64">
          <cell r="A64">
            <v>4090</v>
          </cell>
          <cell r="B64" t="str">
            <v>Site sanitary facilities</v>
          </cell>
          <cell r="C64">
            <v>80000</v>
          </cell>
        </row>
        <row r="65">
          <cell r="A65">
            <v>4100</v>
          </cell>
          <cell r="B65" t="str">
            <v>Service and utility vehicles</v>
          </cell>
          <cell r="C65">
            <v>843140</v>
          </cell>
        </row>
        <row r="66">
          <cell r="A66">
            <v>4105</v>
          </cell>
          <cell r="B66" t="str">
            <v>Maint and service equipment</v>
          </cell>
          <cell r="C66">
            <v>0</v>
          </cell>
        </row>
        <row r="67">
          <cell r="A67">
            <v>4110</v>
          </cell>
          <cell r="B67" t="str">
            <v>Capital tools</v>
          </cell>
          <cell r="C67">
            <v>57140</v>
          </cell>
        </row>
        <row r="68">
          <cell r="A68">
            <v>4115</v>
          </cell>
          <cell r="B68" t="str">
            <v>Expendable tools &amp; accs</v>
          </cell>
          <cell r="C68">
            <v>2000</v>
          </cell>
        </row>
        <row r="69">
          <cell r="A69">
            <v>4120</v>
          </cell>
          <cell r="B69" t="str">
            <v>Survey equipment</v>
          </cell>
          <cell r="C69">
            <v>24000</v>
          </cell>
        </row>
        <row r="70">
          <cell r="A70">
            <v>4125</v>
          </cell>
          <cell r="B70" t="str">
            <v>Tower Lights</v>
          </cell>
          <cell r="C70">
            <v>0</v>
          </cell>
        </row>
        <row r="71">
          <cell r="A71">
            <v>4130</v>
          </cell>
          <cell r="B71" t="str">
            <v>Dewatering Pumps</v>
          </cell>
          <cell r="C71">
            <v>0</v>
          </cell>
        </row>
        <row r="72">
          <cell r="A72">
            <v>4140</v>
          </cell>
          <cell r="B72" t="str">
            <v>Office furnitures and equipment</v>
          </cell>
          <cell r="C72">
            <v>105725</v>
          </cell>
        </row>
        <row r="73">
          <cell r="A73">
            <v>4180</v>
          </cell>
          <cell r="B73" t="str">
            <v>Safety equipment and supplies</v>
          </cell>
          <cell r="C73">
            <v>46300</v>
          </cell>
        </row>
        <row r="74">
          <cell r="A74">
            <v>4185</v>
          </cell>
          <cell r="B74" t="str">
            <v>PPE</v>
          </cell>
          <cell r="C74">
            <v>269200</v>
          </cell>
        </row>
        <row r="75">
          <cell r="A75">
            <v>4190</v>
          </cell>
          <cell r="B75" t="str">
            <v>Medical supplies</v>
          </cell>
          <cell r="C75">
            <v>48000</v>
          </cell>
        </row>
        <row r="76">
          <cell r="A76">
            <v>4270</v>
          </cell>
          <cell r="B76" t="str">
            <v>Scaffolds</v>
          </cell>
          <cell r="C76">
            <v>50000</v>
          </cell>
        </row>
        <row r="77">
          <cell r="A77">
            <v>4275</v>
          </cell>
          <cell r="B77" t="str">
            <v>Reusable forms &amp; bracings</v>
          </cell>
          <cell r="C77">
            <v>452600.89</v>
          </cell>
        </row>
        <row r="78">
          <cell r="A78">
            <v>4280</v>
          </cell>
          <cell r="B78" t="str">
            <v>Expendable forming materials</v>
          </cell>
          <cell r="C78">
            <v>0</v>
          </cell>
        </row>
        <row r="79">
          <cell r="A79">
            <v>4285</v>
          </cell>
          <cell r="B79" t="str">
            <v>Crane mats</v>
          </cell>
          <cell r="C79">
            <v>184581.28</v>
          </cell>
        </row>
        <row r="80">
          <cell r="A80">
            <v>4290</v>
          </cell>
          <cell r="B80" t="str">
            <v>Concrete barriers</v>
          </cell>
          <cell r="C80">
            <v>0</v>
          </cell>
        </row>
        <row r="81">
          <cell r="A81">
            <v>4400</v>
          </cell>
          <cell r="B81" t="str">
            <v>Lot rental</v>
          </cell>
          <cell r="C81">
            <v>0</v>
          </cell>
        </row>
        <row r="82">
          <cell r="A82">
            <v>4410</v>
          </cell>
          <cell r="B82" t="str">
            <v>Laydown area development</v>
          </cell>
          <cell r="C82">
            <v>0</v>
          </cell>
        </row>
        <row r="83">
          <cell r="A83">
            <v>4570</v>
          </cell>
          <cell r="B83" t="str">
            <v>Office supplies</v>
          </cell>
          <cell r="C83">
            <v>152000</v>
          </cell>
        </row>
        <row r="84">
          <cell r="A84">
            <v>4580</v>
          </cell>
          <cell r="B84" t="str">
            <v>Communication facilities</v>
          </cell>
          <cell r="C84">
            <v>126000</v>
          </cell>
        </row>
        <row r="85">
          <cell r="A85">
            <v>4590</v>
          </cell>
          <cell r="B85" t="str">
            <v>Toiletries and pantry supplies</v>
          </cell>
          <cell r="C85">
            <v>27000</v>
          </cell>
        </row>
        <row r="86">
          <cell r="A86">
            <v>4630</v>
          </cell>
          <cell r="B86" t="str">
            <v>Site electricity establishment</v>
          </cell>
          <cell r="C86">
            <v>30000</v>
          </cell>
        </row>
        <row r="87">
          <cell r="A87">
            <v>4640</v>
          </cell>
          <cell r="B87" t="str">
            <v>Site water establishment</v>
          </cell>
          <cell r="C87">
            <v>201500</v>
          </cell>
        </row>
        <row r="88">
          <cell r="A88">
            <v>4650</v>
          </cell>
          <cell r="B88" t="str">
            <v>Site electricity charges</v>
          </cell>
          <cell r="C88">
            <v>559708</v>
          </cell>
        </row>
        <row r="89">
          <cell r="A89">
            <v>4660</v>
          </cell>
          <cell r="B89" t="str">
            <v>Site water charges</v>
          </cell>
          <cell r="C89">
            <v>72000</v>
          </cell>
        </row>
        <row r="90">
          <cell r="A90">
            <v>4990</v>
          </cell>
          <cell r="B90" t="str">
            <v>Consumables</v>
          </cell>
          <cell r="C90">
            <v>302318.45</v>
          </cell>
        </row>
        <row r="91">
          <cell r="A91">
            <v>5000</v>
          </cell>
          <cell r="B91" t="str">
            <v>SUBCONTRACTORS</v>
          </cell>
          <cell r="C91">
            <v>19721147.379999999</v>
          </cell>
        </row>
        <row r="92">
          <cell r="A92" t="str">
            <v>5SI1</v>
          </cell>
          <cell r="B92" t="str">
            <v>Soil Investigation Works</v>
          </cell>
          <cell r="C92">
            <v>2436000</v>
          </cell>
        </row>
        <row r="93">
          <cell r="A93" t="str">
            <v>5BD1</v>
          </cell>
          <cell r="B93" t="str">
            <v>Bridge Deck Fabrication</v>
          </cell>
          <cell r="C93">
            <v>4161903.12</v>
          </cell>
        </row>
        <row r="94">
          <cell r="A94" t="str">
            <v>5MS1</v>
          </cell>
          <cell r="B94" t="str">
            <v>Misc Steel Fabrication Works</v>
          </cell>
          <cell r="C94">
            <v>7781526.1200000001</v>
          </cell>
        </row>
        <row r="95">
          <cell r="A95" t="str">
            <v>5BP1</v>
          </cell>
          <cell r="B95" t="str">
            <v xml:space="preserve">Bored piling </v>
          </cell>
          <cell r="C95">
            <v>2946905.5500000003</v>
          </cell>
        </row>
        <row r="96">
          <cell r="A96" t="str">
            <v>5LS1</v>
          </cell>
          <cell r="B96" t="str">
            <v>Landscaping Works</v>
          </cell>
          <cell r="C96">
            <v>506626.75</v>
          </cell>
        </row>
        <row r="97">
          <cell r="A97" t="str">
            <v>5AW1</v>
          </cell>
          <cell r="B97" t="str">
            <v>Asphalting Works</v>
          </cell>
          <cell r="C97">
            <v>1132315.8400000001</v>
          </cell>
        </row>
        <row r="98">
          <cell r="A98" t="str">
            <v>5PP1</v>
          </cell>
          <cell r="B98" t="str">
            <v>Pavement &amp; Parapet Painting</v>
          </cell>
          <cell r="C98">
            <v>130600</v>
          </cell>
        </row>
        <row r="99">
          <cell r="A99" t="str">
            <v>5RS1</v>
          </cell>
          <cell r="B99" t="str">
            <v>Relocation of Overhead Services</v>
          </cell>
          <cell r="C99">
            <v>350000</v>
          </cell>
        </row>
        <row r="100">
          <cell r="A100" t="str">
            <v>5GH1</v>
          </cell>
          <cell r="B100" t="str">
            <v>Guardhouse Wall Panel System</v>
          </cell>
          <cell r="C100">
            <v>275270</v>
          </cell>
        </row>
        <row r="101">
          <cell r="A101" t="str">
            <v>5GH2</v>
          </cell>
          <cell r="B101" t="str">
            <v>Guardhouse Ceiling</v>
          </cell>
        </row>
        <row r="102">
          <cell r="A102">
            <v>6000</v>
          </cell>
          <cell r="B102" t="str">
            <v>GENERAL EXPENSES</v>
          </cell>
          <cell r="C102">
            <v>4061272.11</v>
          </cell>
        </row>
        <row r="103">
          <cell r="A103">
            <v>6015</v>
          </cell>
          <cell r="B103" t="str">
            <v>Design and Engineering services</v>
          </cell>
          <cell r="C103">
            <v>1040000</v>
          </cell>
        </row>
        <row r="104">
          <cell r="A104">
            <v>6020</v>
          </cell>
          <cell r="B104" t="str">
            <v>Testing of material services</v>
          </cell>
          <cell r="C104">
            <v>275000</v>
          </cell>
        </row>
        <row r="105">
          <cell r="A105">
            <v>6080</v>
          </cell>
          <cell r="B105" t="str">
            <v>Staff house rental and services</v>
          </cell>
          <cell r="C105">
            <v>734000</v>
          </cell>
        </row>
        <row r="106">
          <cell r="A106">
            <v>6290</v>
          </cell>
          <cell r="B106" t="str">
            <v>Construction Permits</v>
          </cell>
          <cell r="C106">
            <v>666169.18999999994</v>
          </cell>
        </row>
        <row r="107">
          <cell r="A107">
            <v>6520</v>
          </cell>
          <cell r="B107" t="str">
            <v>Insurances</v>
          </cell>
          <cell r="C107">
            <v>415183.69999999995</v>
          </cell>
        </row>
        <row r="108">
          <cell r="A108">
            <v>6610</v>
          </cell>
          <cell r="B108" t="str">
            <v>Bonds</v>
          </cell>
          <cell r="C108">
            <v>234124.40999999997</v>
          </cell>
        </row>
        <row r="109">
          <cell r="A109">
            <v>6910</v>
          </cell>
          <cell r="B109" t="str">
            <v>Representations</v>
          </cell>
          <cell r="C109">
            <v>30000</v>
          </cell>
        </row>
        <row r="110">
          <cell r="A110">
            <v>6930</v>
          </cell>
          <cell r="B110" t="str">
            <v>Security Services</v>
          </cell>
          <cell r="C110">
            <v>333303.52</v>
          </cell>
        </row>
        <row r="111">
          <cell r="A111">
            <v>6960</v>
          </cell>
          <cell r="B111" t="str">
            <v>Community relations</v>
          </cell>
          <cell r="C111">
            <v>0</v>
          </cell>
        </row>
        <row r="112">
          <cell r="A112">
            <v>6970</v>
          </cell>
          <cell r="B112" t="str">
            <v>Training Expenses</v>
          </cell>
          <cell r="C112">
            <v>19500</v>
          </cell>
        </row>
        <row r="113">
          <cell r="A113">
            <v>6980</v>
          </cell>
          <cell r="B113" t="str">
            <v>Other charges</v>
          </cell>
          <cell r="C113">
            <v>0</v>
          </cell>
        </row>
        <row r="114">
          <cell r="A114">
            <v>6990</v>
          </cell>
          <cell r="B114" t="str">
            <v>Contingencies</v>
          </cell>
          <cell r="C114">
            <v>313991.28999999998</v>
          </cell>
        </row>
        <row r="115">
          <cell r="B115" t="str">
            <v>TOTAL</v>
          </cell>
          <cell r="C115">
            <v>56979092.739199996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HB CEC J.V. schd 2"/>
      <sheetName val="HB CEC schd 3.2"/>
      <sheetName val="HB CEC schd 4.2"/>
      <sheetName val="HB CEC schd 4.3"/>
      <sheetName val="HB CEC schd 5.2"/>
      <sheetName val="HB CEC schd 6.2"/>
      <sheetName val="HB CEC schd 7.2"/>
      <sheetName val="HB CEC schd 9.2"/>
      <sheetName val="Ver_Data"/>
      <sheetName val="Source"/>
      <sheetName val="B.100"/>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HB CEC J.V. schd 2"/>
      <sheetName val="HB CEC schd 3.2"/>
      <sheetName val="HB CEC schd 4.2"/>
      <sheetName val="HB CEC schd 4.3"/>
      <sheetName val="HB CEC schd 5.2"/>
      <sheetName val="HB CEC schd 6.2"/>
      <sheetName val="HB CEC schd 7.2"/>
      <sheetName val="HB CEC schd 9.2"/>
      <sheetName val="Ver_Data"/>
      <sheetName val="Source"/>
      <sheetName val="Lists"/>
      <sheetName val="7IFS-5A"/>
      <sheetName val="Inputs"/>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702"/>
      <sheetName val="7IFS-5A"/>
      <sheetName val="BROADSUMM"/>
      <sheetName val="CPSUMM"/>
      <sheetName val="REV#2_OPT#1"/>
      <sheetName val="REV#2_OPT#2"/>
      <sheetName val="10.Linkway"/>
      <sheetName val="11.Bus Shelter-Bay"/>
      <sheetName val="Vessel Size"/>
      <sheetName val="7IFS_5A"/>
      <sheetName val="jobhist"/>
      <sheetName val="Inputs"/>
      <sheetName val="Code03"/>
      <sheetName val="Summary"/>
      <sheetName val="STAFFSCHED "/>
      <sheetName val="Form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RCH.09"/>
      <sheetName val="DATA"/>
      <sheetName val="TXT"/>
      <sheetName val="RF1"/>
    </sheetNames>
    <sheetDataSet>
      <sheetData sheetId="0"/>
      <sheetData sheetId="1" refreshError="1"/>
      <sheetData sheetId="2"/>
      <sheetData sheetId="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INIST"/>
      <sheetName val="other sums (4)"/>
      <sheetName val="other sums (3)"/>
      <sheetName val="Front Page"/>
      <sheetName val="other sums"/>
      <sheetName val="Sum"/>
      <sheetName val="BILL 1"/>
      <sheetName val="BILL 2"/>
      <sheetName val="BILL 3"/>
      <sheetName val="BILL 4"/>
      <sheetName val="BILL 5"/>
      <sheetName val="BILL 6"/>
      <sheetName val="BILL 7"/>
      <sheetName val="BILL 8"/>
      <sheetName val="BILL 9"/>
      <sheetName val="BILL 10"/>
      <sheetName val="BILL 11"/>
      <sheetName val="BILL 12"/>
      <sheetName val="Explanary"/>
      <sheetName val="BILL 13"/>
      <sheetName val="BILL 14"/>
      <sheetName val="Mos"/>
      <sheetName val="Site invest "/>
      <sheetName val="Site invest  (2)"/>
      <sheetName val="Summary"/>
      <sheetName val="other sums (2)"/>
      <sheetName val="STAFFSCHED "/>
      <sheetName val="Forms"/>
      <sheetName val="Tables"/>
      <sheetName val="Sour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INIST"/>
      <sheetName val="other sums (4)"/>
      <sheetName val="other sums (3)"/>
      <sheetName val="Front Page"/>
      <sheetName val="other sums"/>
      <sheetName val="Sum"/>
      <sheetName val="BILL 1"/>
      <sheetName val="BILL 2"/>
      <sheetName val="BILL 3"/>
      <sheetName val="BILL 4"/>
      <sheetName val="BILL 5"/>
      <sheetName val="BILL 6"/>
      <sheetName val="BILL 7"/>
      <sheetName val="BILL 8"/>
      <sheetName val="BILL 9"/>
      <sheetName val="BILL 10"/>
      <sheetName val="BILL 11"/>
      <sheetName val="BILL 12"/>
      <sheetName val="Explanary"/>
      <sheetName val="BILL 13"/>
      <sheetName val="BILL 14"/>
      <sheetName val="Mos"/>
      <sheetName val="Site invest "/>
      <sheetName val="Site invest  (2)"/>
      <sheetName val="Summary"/>
      <sheetName val="other sums (2)"/>
      <sheetName val="Source"/>
      <sheetName val="Code 02"/>
      <sheetName val="Code 03"/>
      <sheetName val="Code 04"/>
      <sheetName val="Code 05"/>
      <sheetName val="Code 06"/>
      <sheetName val="Code 07"/>
      <sheetName val="Code 0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INIST"/>
      <sheetName val="other sums (4)"/>
      <sheetName val="other sums (3)"/>
      <sheetName val="Front Page"/>
      <sheetName val="other sums"/>
      <sheetName val="Sum"/>
      <sheetName val="BILL 1"/>
      <sheetName val="BILL 2"/>
      <sheetName val="BILL 3"/>
      <sheetName val="BILL 4"/>
      <sheetName val="BILL 5"/>
      <sheetName val="BILL 6"/>
      <sheetName val="BILL 7"/>
      <sheetName val="BILL 8"/>
      <sheetName val="BILL 9"/>
      <sheetName val="BILL 10"/>
      <sheetName val="BILL 11"/>
      <sheetName val="BILL 12"/>
      <sheetName val="Explanary"/>
      <sheetName val="BILL 13"/>
      <sheetName val="BILL 14"/>
      <sheetName val="Mos"/>
      <sheetName val="Site invest "/>
      <sheetName val="Site invest  (2)"/>
      <sheetName val="Summary"/>
      <sheetName val="other sums (2)"/>
      <sheetName val="Source"/>
      <sheetName val="DRR"/>
      <sheetName val="CRR"/>
      <sheetName val="JVR"/>
      <sheetName val="MIR"/>
      <sheetName val="RRR"/>
      <sheetName val="CV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Crushing"/>
      <sheetName val="Reclaim"/>
      <sheetName val="Grinding"/>
      <sheetName val="Scats"/>
      <sheetName val="LF Thickener"/>
      <sheetName val="CIL"/>
      <sheetName val="Elution"/>
      <sheetName val="Reagents"/>
      <sheetName val="Services"/>
      <sheetName val="Tailings"/>
      <sheetName val="Inst"/>
      <sheetName val="Piping"/>
      <sheetName val="Electrics"/>
      <sheetName val="Other"/>
      <sheetName val="Inputs"/>
      <sheetName val="Combined"/>
      <sheetName val="Summary of qty "/>
      <sheetName val="Summary of qty  (2)"/>
      <sheetName val="COSTING"/>
      <sheetName val="BM"/>
      <sheetName val="FREIGHT"/>
      <sheetName val="EQUIPMENT"/>
      <sheetName val="STAFF"/>
      <sheetName val="TABLE 1"/>
      <sheetName val="MISC."/>
      <sheetName val="Module2"/>
      <sheetName val="batching cost"/>
      <sheetName val="BD"/>
      <sheetName val="Sheet2"/>
      <sheetName val="Sheet3"/>
      <sheetName val="Sheet4"/>
      <sheetName val="Sheet5"/>
      <sheetName val="Sheet6"/>
      <sheetName val="Sheet7"/>
      <sheetName val="Sheet8"/>
      <sheetName val="Sheet9"/>
      <sheetName val="Sheet10"/>
      <sheetName val="BF.2.2.1"/>
      <sheetName val="BF.2.2.2"/>
      <sheetName val="BF.2.2.3"/>
      <sheetName val="Brk"/>
      <sheetName val="ccs - erec"/>
      <sheetName val="Costcenter - erec"/>
      <sheetName val="ccs - fab"/>
      <sheetName val="Costcenter - fab "/>
      <sheetName val="eqpt-rate"/>
      <sheetName val="notes"/>
      <sheetName val="cover"/>
      <sheetName val="man.dur"/>
      <sheetName val="anchors &amp; support"/>
      <sheetName val="fdn &amp; steelwork"/>
      <sheetName val="canals, trenches, etc."/>
      <sheetName val="Sheet1"/>
      <sheetName val="Pumps"/>
      <sheetName val="EF _ AC"/>
      <sheetName val="ANX3A20"/>
      <sheetName val="BILL 1"/>
      <sheetName val="D &amp; W siz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Source"/>
      <sheetName val="FRONT PAGE"/>
      <sheetName val="2ND PAGE"/>
      <sheetName val="Sheet7"/>
      <sheetName val="BRIDGE"/>
      <sheetName val="rev road"/>
      <sheetName val="detour"/>
      <sheetName val="FLOOD CONTROL"/>
      <sheetName val="Sheet1"/>
      <sheetName val="detour half lane"/>
      <sheetName val="safety 2"/>
      <sheetName val="cofferdam"/>
      <sheetName val="Sheet3"/>
      <sheetName val="craneway"/>
      <sheetName val="CRANEWAY@ DETOUR"/>
      <sheetName val="disposal"/>
      <sheetName val="AQUA GEL"/>
      <sheetName val="tma detour"/>
      <sheetName val="ROAD"/>
      <sheetName val="tma rd"/>
      <sheetName val="TRAFFIC"/>
      <sheetName val="tma FC"/>
      <sheetName val="temfacil 6 x 8"/>
      <sheetName val="temfacil"/>
      <sheetName val="BILLBOARD2"/>
      <sheetName val="BB"/>
      <sheetName val="VEHICLE"/>
      <sheetName val="Sheet6"/>
      <sheetName val="Sheet5"/>
      <sheetName val="safety"/>
      <sheetName val="TMA"/>
      <sheetName val="detour summary"/>
      <sheetName val="bare month equip"/>
      <sheetName val="Street lighting"/>
      <sheetName val="summary"/>
      <sheetName val="sum to complte vs 293"/>
      <sheetName val="Sheet2"/>
    </sheetNames>
    <sheetDataSet>
      <sheetData sheetId="0" refreshError="1"/>
      <sheetData sheetId="1">
        <row r="19">
          <cell r="B19">
            <v>578</v>
          </cell>
        </row>
        <row r="31">
          <cell r="B31">
            <v>86.04</v>
          </cell>
        </row>
        <row r="32">
          <cell r="B32">
            <v>368.3</v>
          </cell>
        </row>
        <row r="33">
          <cell r="B33">
            <v>86.04</v>
          </cell>
        </row>
        <row r="35">
          <cell r="B35">
            <v>614</v>
          </cell>
        </row>
        <row r="36">
          <cell r="B36">
            <v>966.6</v>
          </cell>
        </row>
        <row r="40">
          <cell r="B40">
            <v>12</v>
          </cell>
        </row>
        <row r="56">
          <cell r="L56">
            <v>720</v>
          </cell>
        </row>
        <row r="57">
          <cell r="L57">
            <v>1800</v>
          </cell>
        </row>
        <row r="58">
          <cell r="L58">
            <v>176</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Ahead"/>
      <sheetName val="LIBRARY"/>
      <sheetName val="Inputs"/>
      <sheetName val="STAFFSCHED "/>
      <sheetName val="Forms"/>
      <sheetName val="BOQ-M"/>
    </sheetNames>
    <sheetDataSet>
      <sheetData sheetId="0"/>
      <sheetData sheetId="1">
        <row r="1">
          <cell r="H1">
            <v>1</v>
          </cell>
        </row>
        <row r="376">
          <cell r="D376">
            <v>171</v>
          </cell>
        </row>
        <row r="512">
          <cell r="D512">
            <v>20609.97321428571</v>
          </cell>
        </row>
      </sheetData>
      <sheetData sheetId="2" refreshError="1"/>
      <sheetData sheetId="3" refreshError="1"/>
      <sheetData sheetId="4" refreshError="1"/>
      <sheetData sheetId="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BOQ-M"/>
      <sheetName val="NET-COST"/>
      <sheetName val="MATERIAL SHEET"/>
      <sheetName val="TABLE OF BUDGET (derive)"/>
      <sheetName val="TABLE OF BUDGET"/>
      <sheetName val="SITEEXPENSES"/>
      <sheetName val="TABLE OF BUDGET (E-M)"/>
      <sheetName val="STAFFSCHED "/>
      <sheetName val="일위집계표"/>
      <sheetName val="MATERIAL_SHEET"/>
      <sheetName val="TABLE_OF_BUDGET_(derive)"/>
      <sheetName val="TABLE_OF_BUDGET"/>
      <sheetName val="TABLE_OF_BUDGET_(E-M)"/>
      <sheetName val="STAFFSCHED_"/>
      <sheetName val="july"/>
      <sheetName val="細目"/>
      <sheetName val="Manpower (E)"/>
      <sheetName val="MATERIAL_SHEET1"/>
      <sheetName val="TABLE_OF_BUDGET_(derive)1"/>
      <sheetName val="TABLE_OF_BUDGET1"/>
      <sheetName val="TABLE_OF_BUDGET_(E-M)1"/>
      <sheetName val="STAFFSCHED_1"/>
      <sheetName val="Manpower_(E)"/>
      <sheetName val="Cover (x)"/>
      <sheetName val="Cor Apt"/>
      <sheetName val="Bahan"/>
      <sheetName val="BUMP"/>
      <sheetName val="Sheet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A"/>
      <sheetName val="list B"/>
      <sheetName val="Source"/>
      <sheetName val="summary"/>
      <sheetName val="FRONT PAGE"/>
      <sheetName val="ABC"/>
      <sheetName val="tma ups"/>
      <sheetName val="2ND PAGE"/>
      <sheetName val="104(1)"/>
      <sheetName val="104(2)"/>
      <sheetName val="404 ups"/>
      <sheetName val="405 ups"/>
      <sheetName val="505(5)"/>
      <sheetName val="506"/>
      <sheetName val="102(2) ups"/>
      <sheetName val="tma cement"/>
      <sheetName val="507 ups"/>
      <sheetName val="509 ups"/>
      <sheetName val="boulders ups"/>
      <sheetName val="desilting"/>
      <sheetName val="tma desilting"/>
      <sheetName val="mob.&amp; dem."/>
      <sheetName val="traffic control"/>
      <sheetName val="safety 2"/>
      <sheetName val="BILLBOARD2"/>
      <sheetName val="TEMFACIL"/>
      <sheetName val="CAMPHOUSE 6 X6"/>
      <sheetName val="BAC"/>
      <sheetName val="tma FC"/>
      <sheetName val="TMA 1"/>
      <sheetName val="bare month equip"/>
      <sheetName val="bar chart"/>
      <sheetName val="working days"/>
      <sheetName val="Sheet3"/>
      <sheetName val="Sheet1"/>
    </sheetNames>
    <sheetDataSet>
      <sheetData sheetId="0" refreshError="1"/>
      <sheetData sheetId="1" refreshError="1"/>
      <sheetData sheetId="2" refreshError="1">
        <row r="6">
          <cell r="G6">
            <v>675</v>
          </cell>
        </row>
        <row r="9">
          <cell r="G9">
            <v>1994</v>
          </cell>
        </row>
        <row r="11">
          <cell r="G11">
            <v>281.25</v>
          </cell>
        </row>
        <row r="14">
          <cell r="G14">
            <v>3985</v>
          </cell>
        </row>
        <row r="18">
          <cell r="G18">
            <v>190</v>
          </cell>
        </row>
        <row r="19">
          <cell r="F19">
            <v>142.75</v>
          </cell>
        </row>
        <row r="23">
          <cell r="G23">
            <v>2482</v>
          </cell>
        </row>
        <row r="26">
          <cell r="G26">
            <v>1352</v>
          </cell>
        </row>
        <row r="27">
          <cell r="G27">
            <v>597</v>
          </cell>
        </row>
        <row r="28">
          <cell r="F28">
            <v>321.91000000000003</v>
          </cell>
        </row>
        <row r="29">
          <cell r="G29">
            <v>218.63</v>
          </cell>
        </row>
        <row r="39">
          <cell r="G39">
            <v>1906</v>
          </cell>
        </row>
        <row r="41">
          <cell r="G41">
            <v>622</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D "/>
      <sheetName val="Cover (2)"/>
      <sheetName val="Net-Sell"/>
      <sheetName val="BOQ-M"/>
      <sheetName val="LIBRARY"/>
      <sheetName val="Sheet1"/>
      <sheetName val="PID"/>
      <sheetName val="electrical"/>
      <sheetName val="BOQ-E(spi)(x)"/>
    </sheetNames>
    <sheetDataSet>
      <sheetData sheetId="0"/>
      <sheetData sheetId="1"/>
      <sheetData sheetId="2"/>
      <sheetData sheetId="3" refreshError="1"/>
      <sheetData sheetId="4" refreshError="1"/>
      <sheetData sheetId="5"/>
      <sheetData sheetId="6" refreshError="1"/>
      <sheetData sheetId="7" refreshError="1"/>
      <sheetData sheetId="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INIST"/>
      <sheetName val="other sums (4)"/>
      <sheetName val="other sums (3)"/>
      <sheetName val="Front Page"/>
      <sheetName val="other sums"/>
      <sheetName val="Sum"/>
      <sheetName val="BILL 1"/>
      <sheetName val="BILL 2"/>
      <sheetName val="BILL 3"/>
      <sheetName val="BILL 4"/>
      <sheetName val="BILL 5"/>
      <sheetName val="BILL 6"/>
      <sheetName val="BILL 7"/>
      <sheetName val="BILL 8"/>
      <sheetName val="BILL 9"/>
      <sheetName val="BILL 10"/>
      <sheetName val="BILL 11"/>
      <sheetName val="BILL 12"/>
      <sheetName val="Explanary"/>
      <sheetName val="BILL 13"/>
      <sheetName val="BILL 14"/>
      <sheetName val="Mos"/>
      <sheetName val="Site invest "/>
      <sheetName val="Site invest  (2)"/>
      <sheetName val="Summary"/>
      <sheetName val="other sums (2)"/>
      <sheetName val="BOQ-M"/>
      <sheetName val="FIELD"/>
      <sheetName val="SHOP"/>
      <sheetName val="WEIGHT"/>
      <sheetName val="Net-Sell"/>
      <sheetName val="LIBR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INIST"/>
      <sheetName val="other sums (4)"/>
      <sheetName val="other sums (3)"/>
      <sheetName val="Front Page"/>
      <sheetName val="other sums"/>
      <sheetName val="Sum"/>
      <sheetName val="BILL 1"/>
      <sheetName val="BILL 2"/>
      <sheetName val="BILL 3"/>
      <sheetName val="BILL 4"/>
      <sheetName val="BILL 5"/>
      <sheetName val="BILL 6"/>
      <sheetName val="BILL 7"/>
      <sheetName val="BILL 8"/>
      <sheetName val="BILL 9"/>
      <sheetName val="BILL 10"/>
      <sheetName val="BILL 11"/>
      <sheetName val="BILL 12"/>
      <sheetName val="Explanary"/>
      <sheetName val="BILL 13"/>
      <sheetName val="BILL 14"/>
      <sheetName val="Mos"/>
      <sheetName val="Site invest "/>
      <sheetName val="Site invest  (2)"/>
      <sheetName val="Summary"/>
      <sheetName val="other sums (2)"/>
      <sheetName val="Net-Sell"/>
      <sheetName val="Sheet3"/>
      <sheetName val="Sheet2"/>
      <sheetName val="BOQ-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BOLINE"/>
      <sheetName val="DUTCHBOY"/>
      <sheetName val="MEGAPAINT"/>
      <sheetName val="SELLING BRK"/>
      <sheetName val="COMPARISON"/>
      <sheetName val="COSTING"/>
      <sheetName val="Sheet1"/>
      <sheetName val="BREAKDOWN"/>
      <sheetName val="R.Lab Cos"/>
      <sheetName val="BoM"/>
      <sheetName val="Gen. Notes"/>
      <sheetName val="BILL 1"/>
      <sheetName val="HB CEC schd 6.2"/>
      <sheetName val="Source"/>
      <sheetName val="Net-Sell"/>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INIST"/>
      <sheetName val="other sums (4)"/>
      <sheetName val="other sums (3)"/>
      <sheetName val="Front Page"/>
      <sheetName val="other sums"/>
      <sheetName val="Sum"/>
      <sheetName val="BILL 1"/>
      <sheetName val="BILL 2"/>
      <sheetName val="BILL 3"/>
      <sheetName val="BILL 4"/>
      <sheetName val="BILL 5"/>
      <sheetName val="BILL 6"/>
      <sheetName val="BILL 7"/>
      <sheetName val="BILL 8"/>
      <sheetName val="BILL 9"/>
      <sheetName val="BILL 10"/>
      <sheetName val="BILL 11"/>
      <sheetName val="BILL 12"/>
      <sheetName val="Explanary"/>
      <sheetName val="BILL 13"/>
      <sheetName val="BILL 14"/>
      <sheetName val="Mos"/>
      <sheetName val="Site invest "/>
      <sheetName val="Site invest  (2)"/>
      <sheetName val="Summary"/>
      <sheetName val="other sums (2)"/>
      <sheetName val="bid price schedule"/>
      <sheetName val="BoM"/>
      <sheetName val="R.Lab C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for Rate Entry"/>
      <sheetName val="Summary"/>
      <sheetName val="Bill 1"/>
      <sheetName val="Bill 2"/>
      <sheetName val="Bill 3"/>
      <sheetName val="Bill 4"/>
      <sheetName val="Bill 5"/>
      <sheetName val="Bill 6"/>
      <sheetName val="Bill 7"/>
      <sheetName val="BoM"/>
      <sheetName val="R.Lab Cos"/>
      <sheetName val="mw"/>
      <sheetName val="Source"/>
    </sheetNames>
    <sheetDataSet>
      <sheetData sheetId="0"/>
      <sheetData sheetId="1"/>
      <sheetData sheetId="2" refreshError="1">
        <row r="833">
          <cell r="F833">
            <v>12500</v>
          </cell>
        </row>
      </sheetData>
      <sheetData sheetId="3" refreshError="1">
        <row r="755">
          <cell r="F755">
            <v>15000</v>
          </cell>
        </row>
      </sheetData>
      <sheetData sheetId="4" refreshError="1">
        <row r="683">
          <cell r="F683">
            <v>12500</v>
          </cell>
        </row>
      </sheetData>
      <sheetData sheetId="5" refreshError="1">
        <row r="568">
          <cell r="F568">
            <v>12500</v>
          </cell>
        </row>
      </sheetData>
      <sheetData sheetId="6" refreshError="1">
        <row r="247">
          <cell r="F247">
            <v>0</v>
          </cell>
        </row>
      </sheetData>
      <sheetData sheetId="7" refreshError="1">
        <row r="377">
          <cell r="F377">
            <v>0</v>
          </cell>
        </row>
      </sheetData>
      <sheetData sheetId="8" refreshError="1">
        <row r="437">
          <cell r="F437">
            <v>0</v>
          </cell>
        </row>
      </sheetData>
      <sheetData sheetId="9" refreshError="1"/>
      <sheetData sheetId="10" refreshError="1"/>
      <sheetData sheetId="11" refreshError="1"/>
      <sheetData sheetId="1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uctural Works (Commercial)"/>
      <sheetName val="Sheet2"/>
      <sheetName val="Sheet3"/>
      <sheetName val="Data"/>
      <sheetName val="Footing"/>
      <sheetName val="BILL 1"/>
      <sheetName val="HB CEC schd 4.2"/>
      <sheetName val="HB CEC schd 4.3"/>
      <sheetName val="HB CEC schd 5.2"/>
      <sheetName val="HB CEC schd 6.2"/>
      <sheetName val="HB CEC schd 7.2"/>
      <sheetName val="HB CEC schd 9.2"/>
      <sheetName val="Source"/>
      <sheetName val="Bill 2"/>
      <sheetName val="Bill 3"/>
      <sheetName val="Bill 4"/>
      <sheetName val="Bill 5"/>
      <sheetName val="Bill 6"/>
      <sheetName val="Bill 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5-Digit"/>
      <sheetName val="BM"/>
      <sheetName val="analysis"/>
      <sheetName val="Bill 1"/>
      <sheetName val="Bill 2"/>
      <sheetName val="Bill 3"/>
      <sheetName val="Bill 4"/>
      <sheetName val="Bill 5"/>
      <sheetName val="Bill 6"/>
      <sheetName val="Bill 7"/>
      <sheetName val="Addendum No.1 BILL 2"/>
      <sheetName val="Source"/>
      <sheetName val="Data"/>
    </sheetNames>
    <sheetDataSet>
      <sheetData sheetId="0" refreshError="1">
        <row r="2">
          <cell r="A2" t="str">
            <v>DMCI</v>
          </cell>
        </row>
        <row r="3">
          <cell r="A3" t="str">
            <v>Site Works and Foundations</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100"/>
      <sheetName val="B.200"/>
      <sheetName val="B.210"/>
      <sheetName val="B.220"/>
      <sheetName val="B.230"/>
      <sheetName val="B.300"/>
      <sheetName val="B.310"/>
      <sheetName val="B.320"/>
      <sheetName val="B.400"/>
      <sheetName val="B.500"/>
      <sheetName val="Sheet1"/>
      <sheetName val="C.100"/>
      <sheetName val="C.200"/>
      <sheetName val="C.210"/>
      <sheetName val="C.220"/>
      <sheetName val="C.230"/>
      <sheetName val="C.300"/>
      <sheetName val="C.310"/>
      <sheetName val="C.320"/>
      <sheetName val="C.400"/>
      <sheetName val="C.500"/>
      <sheetName val="D.000 (1)"/>
      <sheetName val="D.000 (2)"/>
      <sheetName val="Data"/>
      <sheetName val="ATD"/>
      <sheetName val="Source"/>
      <sheetName val="5-Digit"/>
      <sheetName val="Bill 1"/>
      <sheetName val="Bill 2"/>
      <sheetName val="Bill 3"/>
      <sheetName val="Bill 4"/>
      <sheetName val="Bill 5"/>
      <sheetName val="Bill 6"/>
      <sheetName val="Bill 7"/>
    </sheetNames>
    <sheetDataSet>
      <sheetData sheetId="0">
        <row r="16">
          <cell r="B16" t="str">
            <v>B.110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s"/>
      <sheetName val="Main"/>
      <sheetName val="Lists"/>
      <sheetName val="Calculations"/>
      <sheetName val="Sheet1"/>
      <sheetName val="5-Digit"/>
      <sheetName val="HB CEC schd 4.2"/>
      <sheetName val="HB CEC schd 4.3"/>
      <sheetName val="HB CEC schd 5.2"/>
      <sheetName val="HB CEC schd 6.2"/>
      <sheetName val="HB CEC schd 7.2"/>
      <sheetName val="HB CEC schd 9.2"/>
      <sheetName val="Source"/>
      <sheetName val="B.100"/>
      <sheetName val="Data"/>
    </sheetNames>
    <sheetDataSet>
      <sheetData sheetId="0"/>
      <sheetData sheetId="1">
        <row r="29">
          <cell r="AE29" t="str">
            <v>Near Miss</v>
          </cell>
        </row>
      </sheetData>
      <sheetData sheetId="2">
        <row r="2">
          <cell r="A2" t="str">
            <v>Access &amp; Egress</v>
          </cell>
          <cell r="C2" t="str">
            <v>SRCC</v>
          </cell>
          <cell r="E2" t="str">
            <v>Near Miss</v>
          </cell>
          <cell r="G2" t="str">
            <v>Set-up</v>
          </cell>
        </row>
        <row r="3">
          <cell r="A3" t="str">
            <v>Electricity</v>
          </cell>
          <cell r="E3" t="str">
            <v>Deviation</v>
          </cell>
          <cell r="G3" t="str">
            <v>Civil</v>
          </cell>
        </row>
        <row r="4">
          <cell r="A4" t="str">
            <v>Hazardous Substances</v>
          </cell>
          <cell r="E4" t="str">
            <v>Good Practice</v>
          </cell>
          <cell r="G4" t="str">
            <v>Mechanical &amp; Electrical</v>
          </cell>
        </row>
        <row r="5">
          <cell r="A5" t="str">
            <v>Housekeeping</v>
          </cell>
          <cell r="E5" t="str">
            <v>Hazard</v>
          </cell>
          <cell r="G5" t="str">
            <v>Commisssioning</v>
          </cell>
        </row>
        <row r="6">
          <cell r="A6" t="str">
            <v>Lifting</v>
          </cell>
          <cell r="E6" t="str">
            <v>Environmental</v>
          </cell>
          <cell r="G6" t="str">
            <v>Sim - Op</v>
          </cell>
        </row>
        <row r="7">
          <cell r="A7" t="str">
            <v>Manual Handling</v>
          </cell>
          <cell r="E7" t="str">
            <v>Material Damage</v>
          </cell>
          <cell r="G7" t="str">
            <v>Others</v>
          </cell>
        </row>
        <row r="8">
          <cell r="A8" t="str">
            <v>PPE</v>
          </cell>
        </row>
        <row r="9">
          <cell r="A9" t="str">
            <v>Tools &amp; Equipment</v>
          </cell>
        </row>
        <row r="10">
          <cell r="A10" t="str">
            <v>Vehicle Pedestrians</v>
          </cell>
        </row>
        <row r="11">
          <cell r="A11" t="str">
            <v>Work at Height</v>
          </cell>
        </row>
        <row r="12">
          <cell r="A12" t="str">
            <v>Fire</v>
          </cell>
        </row>
        <row r="13">
          <cell r="A13" t="str">
            <v>Welfare</v>
          </cell>
        </row>
        <row r="14">
          <cell r="A14" t="str">
            <v>Confined Space</v>
          </cell>
        </row>
        <row r="15">
          <cell r="A15" t="str">
            <v>Excavations</v>
          </cell>
        </row>
        <row r="16">
          <cell r="A16" t="str">
            <v>Protruding / sharp edges</v>
          </cell>
        </row>
        <row r="17">
          <cell r="A17" t="str">
            <v>Toppled Load / Falling object</v>
          </cell>
        </row>
        <row r="18">
          <cell r="A18" t="str">
            <v>Chemical</v>
          </cell>
        </row>
        <row r="19">
          <cell r="A19" t="str">
            <v>Environmental</v>
          </cell>
        </row>
        <row r="20">
          <cell r="A20" t="str">
            <v>Material storage</v>
          </cell>
        </row>
      </sheetData>
      <sheetData sheetId="3">
        <row r="6">
          <cell r="V6">
            <v>0</v>
          </cell>
        </row>
      </sheetData>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elims"/>
      <sheetName val="Code02"/>
      <sheetName val="Code03"/>
      <sheetName val="Code04"/>
      <sheetName val="Code05"/>
      <sheetName val="Code06"/>
      <sheetName val="Code09"/>
      <sheetName val="Costing"/>
      <sheetName val="Module1"/>
      <sheetName val="BM"/>
      <sheetName val="analysis"/>
      <sheetName val="B.100"/>
      <sheetName val="Lists"/>
      <sheetName val="5-Digit"/>
    </sheetNames>
    <sheetDataSet>
      <sheetData sheetId="0"/>
      <sheetData sheetId="1"/>
      <sheetData sheetId="2"/>
      <sheetData sheetId="3"/>
      <sheetData sheetId="4"/>
      <sheetData sheetId="5"/>
      <sheetData sheetId="6"/>
      <sheetData sheetId="7"/>
      <sheetData sheetId="8" refreshError="1"/>
      <sheetData sheetId="9" refreshError="1"/>
      <sheetData sheetId="10"/>
      <sheetData sheetId="11"/>
      <sheetData sheetId="12" refreshError="1"/>
      <sheetData sheetId="13" refreshError="1"/>
      <sheetData sheetId="14"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W"/>
      <sheetName val="BM&amp;CE"/>
      <sheetName val="Det-Est"/>
      <sheetName val="BOQ"/>
      <sheetName val="Tables"/>
      <sheetName val="BOQ (2)"/>
      <sheetName val="Sheet2"/>
      <sheetName val="Sheet1"/>
      <sheetName val="Lists"/>
      <sheetName val="HB CEC schd 6.2"/>
      <sheetName val="Source"/>
      <sheetName val="B.100"/>
    </sheetNames>
    <sheetDataSet>
      <sheetData sheetId="0" refreshError="1"/>
      <sheetData sheetId="1" refreshError="1"/>
      <sheetData sheetId="2" refreshError="1"/>
      <sheetData sheetId="3" refreshError="1"/>
      <sheetData sheetId="4">
        <row r="4">
          <cell r="B4" t="str">
            <v>MIXTURE CLASS</v>
          </cell>
          <cell r="C4" t="str">
            <v>CEMENT</v>
          </cell>
          <cell r="D4" t="str">
            <v>SAND</v>
          </cell>
          <cell r="E4" t="str">
            <v>GRAVEL</v>
          </cell>
          <cell r="T4" t="str">
            <v>Wood Frame Size</v>
          </cell>
          <cell r="U4" t="str">
            <v>POST6mm(1/4")</v>
          </cell>
          <cell r="V4" t="str">
            <v>POST12mm(1/2")</v>
          </cell>
          <cell r="W4" t="str">
            <v>BEAM6mm(1/4")</v>
          </cell>
          <cell r="X4" t="str">
            <v>BEAM12mm(1/2")</v>
          </cell>
        </row>
        <row r="5">
          <cell r="B5" t="str">
            <v>AA</v>
          </cell>
          <cell r="C5">
            <v>12</v>
          </cell>
          <cell r="D5">
            <v>0.5</v>
          </cell>
          <cell r="E5">
            <v>1</v>
          </cell>
          <cell r="T5" t="str">
            <v>2X2</v>
          </cell>
          <cell r="U5">
            <v>29.67</v>
          </cell>
          <cell r="V5">
            <v>20.329999999999998</v>
          </cell>
          <cell r="W5">
            <v>25.06</v>
          </cell>
          <cell r="X5">
            <v>18.66</v>
          </cell>
        </row>
        <row r="6">
          <cell r="B6" t="str">
            <v>A</v>
          </cell>
          <cell r="C6">
            <v>9</v>
          </cell>
          <cell r="D6">
            <v>0.5</v>
          </cell>
          <cell r="E6">
            <v>1</v>
          </cell>
          <cell r="T6" t="str">
            <v>2X3</v>
          </cell>
          <cell r="U6">
            <v>44.5</v>
          </cell>
          <cell r="V6">
            <v>30.5</v>
          </cell>
          <cell r="W6">
            <v>37.6</v>
          </cell>
          <cell r="X6">
            <v>28</v>
          </cell>
        </row>
        <row r="7">
          <cell r="B7" t="str">
            <v>B</v>
          </cell>
          <cell r="C7">
            <v>7.5</v>
          </cell>
          <cell r="D7">
            <v>0.5</v>
          </cell>
          <cell r="E7">
            <v>1</v>
          </cell>
        </row>
        <row r="8">
          <cell r="B8" t="str">
            <v>C</v>
          </cell>
          <cell r="C8">
            <v>6</v>
          </cell>
          <cell r="D8">
            <v>0.5</v>
          </cell>
          <cell r="E8">
            <v>1</v>
          </cell>
        </row>
        <row r="15">
          <cell r="B15" t="str">
            <v>SIZE OF CHB</v>
          </cell>
          <cell r="C15" t="str">
            <v>CEMENTclass A</v>
          </cell>
          <cell r="D15" t="str">
            <v>CEMENTclass B</v>
          </cell>
          <cell r="E15" t="str">
            <v>CEMENTclass C</v>
          </cell>
          <cell r="F15" t="str">
            <v>SANDcu.m.</v>
          </cell>
        </row>
        <row r="16">
          <cell r="B16" t="str">
            <v>100mm</v>
          </cell>
          <cell r="C16">
            <v>0.79200000000000004</v>
          </cell>
          <cell r="D16">
            <v>0.52200000000000002</v>
          </cell>
          <cell r="E16">
            <v>0.39400000000000002</v>
          </cell>
          <cell r="F16">
            <v>4.3499999999999997E-2</v>
          </cell>
        </row>
        <row r="17">
          <cell r="B17" t="str">
            <v>150mm</v>
          </cell>
          <cell r="C17">
            <v>1.526</v>
          </cell>
          <cell r="D17">
            <v>1.018</v>
          </cell>
          <cell r="E17">
            <v>0.76300000000000001</v>
          </cell>
          <cell r="F17">
            <v>8.4400000000000003E-2</v>
          </cell>
        </row>
        <row r="18">
          <cell r="B18" t="str">
            <v>200mm</v>
          </cell>
          <cell r="C18">
            <v>2.2599999999999998</v>
          </cell>
          <cell r="D18">
            <v>1.5</v>
          </cell>
          <cell r="E18">
            <v>1.125</v>
          </cell>
          <cell r="F18">
            <v>0.125</v>
          </cell>
        </row>
        <row r="26">
          <cell r="B26" t="str">
            <v>Thickness of Plaster</v>
          </cell>
          <cell r="C26" t="str">
            <v>Mixtureclass A</v>
          </cell>
          <cell r="D26" t="str">
            <v>Mixtureclass B</v>
          </cell>
          <cell r="E26" t="str">
            <v>Mixtureclass C</v>
          </cell>
          <cell r="F26" t="str">
            <v>Mixtureclass D</v>
          </cell>
          <cell r="G26" t="str">
            <v>SANDcu.m.</v>
          </cell>
        </row>
        <row r="27">
          <cell r="B27" t="str">
            <v>8mm</v>
          </cell>
          <cell r="C27">
            <v>0.14399999999999999</v>
          </cell>
          <cell r="D27">
            <v>9.6000000000000002E-2</v>
          </cell>
          <cell r="E27">
            <v>7.1999999999999995E-2</v>
          </cell>
          <cell r="F27">
            <v>0.06</v>
          </cell>
          <cell r="G27">
            <v>8.0000000000000002E-3</v>
          </cell>
        </row>
        <row r="28">
          <cell r="B28" t="str">
            <v>12mm</v>
          </cell>
          <cell r="C28">
            <v>0.216</v>
          </cell>
          <cell r="D28">
            <v>0.14399999999999999</v>
          </cell>
          <cell r="E28">
            <v>0.108</v>
          </cell>
          <cell r="F28">
            <v>0.09</v>
          </cell>
          <cell r="G28">
            <v>1.2E-2</v>
          </cell>
        </row>
        <row r="29">
          <cell r="B29" t="str">
            <v>16mm</v>
          </cell>
          <cell r="C29">
            <v>0.28799999999999998</v>
          </cell>
          <cell r="D29">
            <v>0.192</v>
          </cell>
          <cell r="E29">
            <v>0.14399999999999999</v>
          </cell>
          <cell r="F29">
            <v>0.12</v>
          </cell>
          <cell r="G29">
            <v>1.6E-2</v>
          </cell>
        </row>
        <row r="30">
          <cell r="B30" t="str">
            <v>20mm</v>
          </cell>
          <cell r="C30">
            <v>0.36</v>
          </cell>
          <cell r="D30">
            <v>0.24</v>
          </cell>
          <cell r="E30">
            <v>0.18</v>
          </cell>
          <cell r="F30">
            <v>0.15</v>
          </cell>
          <cell r="G30">
            <v>0.02</v>
          </cell>
        </row>
        <row r="31">
          <cell r="B31" t="str">
            <v>25mm</v>
          </cell>
          <cell r="C31">
            <v>0.45</v>
          </cell>
          <cell r="D31">
            <v>0.3</v>
          </cell>
          <cell r="E31">
            <v>0.22500000000000001</v>
          </cell>
          <cell r="F31">
            <v>0.188</v>
          </cell>
          <cell r="G31">
            <v>2.5000000000000001E-2</v>
          </cell>
        </row>
        <row r="43">
          <cell r="J43" t="str">
            <v>Size of Column (mm)</v>
          </cell>
          <cell r="K43" t="str">
            <v>Length per Tie (Meter)</v>
          </cell>
          <cell r="L43" t="str">
            <v># of Ties per 6M Steel Bar</v>
          </cell>
        </row>
        <row r="44">
          <cell r="J44" t="str">
            <v>200x250</v>
          </cell>
          <cell r="K44">
            <v>0.82799999999999996</v>
          </cell>
          <cell r="L44">
            <v>7</v>
          </cell>
        </row>
        <row r="45">
          <cell r="J45" t="str">
            <v>200x300</v>
          </cell>
          <cell r="K45">
            <v>0.92800000000000005</v>
          </cell>
          <cell r="L45">
            <v>6</v>
          </cell>
        </row>
        <row r="46">
          <cell r="J46" t="str">
            <v>200x350</v>
          </cell>
          <cell r="K46">
            <v>1.028</v>
          </cell>
          <cell r="L46">
            <v>5</v>
          </cell>
        </row>
        <row r="47">
          <cell r="J47" t="str">
            <v>200x400</v>
          </cell>
          <cell r="K47">
            <v>1.1279999999999999</v>
          </cell>
          <cell r="L47">
            <v>4</v>
          </cell>
        </row>
        <row r="48">
          <cell r="J48" t="str">
            <v>200x600</v>
          </cell>
          <cell r="K48">
            <v>1.528</v>
          </cell>
          <cell r="L48">
            <v>3</v>
          </cell>
        </row>
        <row r="49">
          <cell r="J49" t="str">
            <v>250x300</v>
          </cell>
          <cell r="K49">
            <v>1.028</v>
          </cell>
          <cell r="L49">
            <v>5</v>
          </cell>
        </row>
        <row r="50">
          <cell r="J50" t="str">
            <v>250x400</v>
          </cell>
          <cell r="K50">
            <v>1.228</v>
          </cell>
          <cell r="L50">
            <v>4</v>
          </cell>
        </row>
        <row r="51">
          <cell r="J51" t="str">
            <v>250x550</v>
          </cell>
          <cell r="K51">
            <v>1.528</v>
          </cell>
          <cell r="L51">
            <v>3</v>
          </cell>
        </row>
        <row r="52">
          <cell r="J52" t="str">
            <v>300x350</v>
          </cell>
          <cell r="K52">
            <v>1.228</v>
          </cell>
          <cell r="L52">
            <v>4</v>
          </cell>
        </row>
        <row r="53">
          <cell r="J53" t="str">
            <v>300x500</v>
          </cell>
          <cell r="K53">
            <v>1.528</v>
          </cell>
          <cell r="L53">
            <v>3</v>
          </cell>
        </row>
        <row r="54">
          <cell r="J54" t="str">
            <v>350x400</v>
          </cell>
          <cell r="K54">
            <v>1.4279999999999999</v>
          </cell>
          <cell r="L54">
            <v>4</v>
          </cell>
        </row>
        <row r="55">
          <cell r="J55" t="str">
            <v>350x450</v>
          </cell>
          <cell r="K55">
            <v>1.528</v>
          </cell>
          <cell r="L55">
            <v>3</v>
          </cell>
        </row>
        <row r="56">
          <cell r="J56" t="str">
            <v>400x450</v>
          </cell>
          <cell r="K56">
            <v>1.6279999999999999</v>
          </cell>
          <cell r="L56">
            <v>3</v>
          </cell>
        </row>
        <row r="57">
          <cell r="J57" t="str">
            <v>450x500</v>
          </cell>
          <cell r="K57">
            <v>1.8280000000000001</v>
          </cell>
          <cell r="L57">
            <v>3</v>
          </cell>
        </row>
        <row r="58">
          <cell r="J58" t="str">
            <v>500x600</v>
          </cell>
          <cell r="K58">
            <v>2.1280000000000001</v>
          </cell>
          <cell r="L58">
            <v>2</v>
          </cell>
        </row>
        <row r="59">
          <cell r="J59" t="str">
            <v>550x600</v>
          </cell>
          <cell r="K59">
            <v>2.2280000000000002</v>
          </cell>
          <cell r="L59">
            <v>2</v>
          </cell>
        </row>
        <row r="60">
          <cell r="J60" t="str">
            <v>250x250</v>
          </cell>
          <cell r="K60">
            <v>0.92800000000000005</v>
          </cell>
          <cell r="L60">
            <v>6</v>
          </cell>
        </row>
        <row r="61">
          <cell r="J61" t="str">
            <v>300x300</v>
          </cell>
          <cell r="K61">
            <v>1.1279999999999999</v>
          </cell>
          <cell r="L61">
            <v>5</v>
          </cell>
        </row>
        <row r="62">
          <cell r="J62" t="str">
            <v>350x350</v>
          </cell>
          <cell r="K62">
            <v>1.3280000000000001</v>
          </cell>
          <cell r="L62">
            <v>4</v>
          </cell>
        </row>
        <row r="63">
          <cell r="J63" t="str">
            <v>400x400</v>
          </cell>
          <cell r="K63">
            <v>1.528</v>
          </cell>
          <cell r="L63">
            <v>3</v>
          </cell>
        </row>
        <row r="64">
          <cell r="J64" t="str">
            <v>450x450</v>
          </cell>
          <cell r="K64">
            <v>1.728</v>
          </cell>
          <cell r="L64">
            <v>3</v>
          </cell>
        </row>
        <row r="65">
          <cell r="J65" t="str">
            <v>500x500</v>
          </cell>
          <cell r="K65">
            <v>1.9279999999999999</v>
          </cell>
          <cell r="L65">
            <v>3</v>
          </cell>
        </row>
        <row r="66">
          <cell r="J66" t="str">
            <v>550x550</v>
          </cell>
          <cell r="K66">
            <v>2.1280000000000001</v>
          </cell>
          <cell r="L66">
            <v>2</v>
          </cell>
        </row>
        <row r="67">
          <cell r="J67" t="str">
            <v>600x600</v>
          </cell>
          <cell r="K67">
            <v>2.3279999999999998</v>
          </cell>
          <cell r="L67">
            <v>2</v>
          </cell>
        </row>
      </sheetData>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02"/>
      <sheetName val="Code 03"/>
      <sheetName val="Code 04"/>
      <sheetName val="Code 05"/>
      <sheetName val="Code 06"/>
      <sheetName val="Code 07"/>
      <sheetName val="Code 09"/>
      <sheetName val="Code03"/>
      <sheetName val="Summary"/>
      <sheetName val="7IFS-5A"/>
      <sheetName val="Inputs"/>
      <sheetName val="Lists"/>
    </sheetNames>
    <sheetDataSet>
      <sheetData sheetId="0" refreshError="1">
        <row r="14">
          <cell r="L14">
            <v>0</v>
          </cell>
        </row>
        <row r="24">
          <cell r="L24">
            <v>0</v>
          </cell>
        </row>
        <row r="44">
          <cell r="L44">
            <v>0</v>
          </cell>
        </row>
        <row r="52">
          <cell r="L52">
            <v>0</v>
          </cell>
        </row>
        <row r="59">
          <cell r="L59">
            <v>0</v>
          </cell>
        </row>
        <row r="75">
          <cell r="L75">
            <v>0</v>
          </cell>
        </row>
      </sheetData>
      <sheetData sheetId="1" refreshError="1">
        <row r="25">
          <cell r="L25">
            <v>0</v>
          </cell>
        </row>
        <row r="63">
          <cell r="L63">
            <v>0</v>
          </cell>
        </row>
        <row r="83">
          <cell r="L83">
            <v>0</v>
          </cell>
        </row>
        <row r="96">
          <cell r="L96">
            <v>0</v>
          </cell>
        </row>
        <row r="105">
          <cell r="L105">
            <v>0</v>
          </cell>
        </row>
        <row r="113">
          <cell r="L113">
            <v>0</v>
          </cell>
        </row>
        <row r="128">
          <cell r="L128">
            <v>0</v>
          </cell>
        </row>
        <row r="152">
          <cell r="L152">
            <v>0</v>
          </cell>
        </row>
        <row r="167">
          <cell r="L167">
            <v>0</v>
          </cell>
        </row>
        <row r="181">
          <cell r="L181">
            <v>0</v>
          </cell>
        </row>
      </sheetData>
      <sheetData sheetId="2" refreshError="1">
        <row r="13">
          <cell r="L13">
            <v>0</v>
          </cell>
        </row>
        <row r="21">
          <cell r="L21">
            <v>0</v>
          </cell>
        </row>
        <row r="27">
          <cell r="L27">
            <v>0</v>
          </cell>
        </row>
        <row r="35">
          <cell r="L35">
            <v>0</v>
          </cell>
        </row>
        <row r="43">
          <cell r="L43">
            <v>0</v>
          </cell>
        </row>
        <row r="51">
          <cell r="L51">
            <v>0</v>
          </cell>
        </row>
        <row r="60">
          <cell r="L60">
            <v>0</v>
          </cell>
        </row>
        <row r="78">
          <cell r="L78">
            <v>0</v>
          </cell>
        </row>
        <row r="96">
          <cell r="L96">
            <v>0</v>
          </cell>
        </row>
        <row r="104">
          <cell r="L104">
            <v>0</v>
          </cell>
        </row>
        <row r="113">
          <cell r="L113">
            <v>0</v>
          </cell>
        </row>
        <row r="120">
          <cell r="L120">
            <v>0</v>
          </cell>
        </row>
        <row r="129">
          <cell r="L129">
            <v>0</v>
          </cell>
        </row>
        <row r="136">
          <cell r="L136">
            <v>0</v>
          </cell>
        </row>
      </sheetData>
      <sheetData sheetId="3" refreshError="1">
        <row r="12">
          <cell r="L12">
            <v>0</v>
          </cell>
        </row>
        <row r="18">
          <cell r="L18">
            <v>0</v>
          </cell>
        </row>
        <row r="24">
          <cell r="L24">
            <v>0</v>
          </cell>
        </row>
        <row r="37">
          <cell r="L37">
            <v>0</v>
          </cell>
        </row>
        <row r="98">
          <cell r="L98">
            <v>0</v>
          </cell>
        </row>
        <row r="103">
          <cell r="L103">
            <v>0</v>
          </cell>
        </row>
        <row r="257">
          <cell r="L257">
            <v>0</v>
          </cell>
        </row>
        <row r="293">
          <cell r="L293">
            <v>0</v>
          </cell>
        </row>
        <row r="299">
          <cell r="L299">
            <v>0</v>
          </cell>
        </row>
        <row r="307">
          <cell r="L307">
            <v>0</v>
          </cell>
        </row>
      </sheetData>
      <sheetData sheetId="4" refreshError="1">
        <row r="18">
          <cell r="L18">
            <v>0</v>
          </cell>
        </row>
        <row r="66">
          <cell r="L66">
            <v>0</v>
          </cell>
        </row>
        <row r="124">
          <cell r="L124">
            <v>0</v>
          </cell>
        </row>
        <row r="156">
          <cell r="L156">
            <v>0</v>
          </cell>
        </row>
        <row r="163">
          <cell r="L163">
            <v>0</v>
          </cell>
        </row>
        <row r="176">
          <cell r="L176">
            <v>0</v>
          </cell>
        </row>
        <row r="186">
          <cell r="L186">
            <v>0</v>
          </cell>
        </row>
        <row r="192">
          <cell r="L192">
            <v>0</v>
          </cell>
        </row>
      </sheetData>
      <sheetData sheetId="5" refreshError="1">
        <row r="26">
          <cell r="L26">
            <v>312</v>
          </cell>
        </row>
        <row r="32">
          <cell r="L32">
            <v>0</v>
          </cell>
        </row>
      </sheetData>
      <sheetData sheetId="6" refreshError="1">
        <row r="15">
          <cell r="L15">
            <v>0</v>
          </cell>
        </row>
        <row r="24">
          <cell r="L24">
            <v>0</v>
          </cell>
        </row>
        <row r="31">
          <cell r="L31">
            <v>0</v>
          </cell>
        </row>
        <row r="38">
          <cell r="L38">
            <v>0</v>
          </cell>
        </row>
        <row r="46">
          <cell r="L46">
            <v>0</v>
          </cell>
        </row>
        <row r="53">
          <cell r="L53">
            <v>0</v>
          </cell>
        </row>
        <row r="59">
          <cell r="L59">
            <v>0</v>
          </cell>
        </row>
        <row r="65">
          <cell r="L65">
            <v>0</v>
          </cell>
        </row>
      </sheetData>
      <sheetData sheetId="7" refreshError="1"/>
      <sheetData sheetId="8" refreshError="1"/>
      <sheetData sheetId="9" refreshError="1"/>
      <sheetData sheetId="10" refreshError="1"/>
      <sheetData sheetId="1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dt"/>
      <sheetName val="Cover-Register"/>
      <sheetName val="Cover-FS "/>
      <sheetName val="DRR"/>
      <sheetName val="RRR"/>
      <sheetName val="MIR"/>
      <sheetName val="GL"/>
      <sheetName val="CRR"/>
      <sheetName val="JVR"/>
      <sheetName val="CVR"/>
      <sheetName val="T_BAL7TO12"/>
      <sheetName val="VPOH 7TO12"/>
      <sheetName val="GAE 7TO12"/>
      <sheetName val="IS_7TO12"/>
      <sheetName val="IS_STD 6TO12"/>
      <sheetName val="BS_7TO12"/>
      <sheetName val="BS_7TO12 (B)"/>
      <sheetName val="VPOH 1TO6"/>
      <sheetName val="GAE 1TO6"/>
      <sheetName val="T_BAL1TO6"/>
      <sheetName val="IS_1TO6"/>
      <sheetName val="IS_STD 1TO6"/>
      <sheetName val="BS_1TO6"/>
      <sheetName val="BS_1TO6 (B)"/>
      <sheetName val="BEG_BAL"/>
      <sheetName val="Cover-CHART"/>
      <sheetName val="CHART"/>
      <sheetName val="Tables"/>
      <sheetName val="BILL 1"/>
      <sheetName val="Source"/>
      <sheetName val="Code03"/>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43">
          <cell r="L143">
            <v>102.06</v>
          </cell>
        </row>
        <row r="144">
          <cell r="L144">
            <v>102.02</v>
          </cell>
        </row>
        <row r="145">
          <cell r="L145">
            <v>102.02</v>
          </cell>
        </row>
        <row r="146">
          <cell r="L146">
            <v>102.02</v>
          </cell>
        </row>
        <row r="147">
          <cell r="L147">
            <v>102.02</v>
          </cell>
        </row>
        <row r="148">
          <cell r="L148">
            <v>102.02</v>
          </cell>
        </row>
        <row r="149">
          <cell r="L149">
            <v>102.02</v>
          </cell>
        </row>
        <row r="150">
          <cell r="L150">
            <v>102.02</v>
          </cell>
        </row>
        <row r="151">
          <cell r="L151">
            <v>102.02</v>
          </cell>
        </row>
        <row r="152">
          <cell r="L152">
            <v>102.02</v>
          </cell>
        </row>
        <row r="153">
          <cell r="L153">
            <v>541.52</v>
          </cell>
        </row>
        <row r="154">
          <cell r="L154">
            <v>541.32000000000005</v>
          </cell>
        </row>
        <row r="155">
          <cell r="L155">
            <v>121.01</v>
          </cell>
        </row>
        <row r="156">
          <cell r="L156">
            <v>305</v>
          </cell>
        </row>
        <row r="157">
          <cell r="L157">
            <v>402</v>
          </cell>
        </row>
        <row r="158">
          <cell r="L158">
            <v>153</v>
          </cell>
        </row>
        <row r="159">
          <cell r="L159">
            <v>150</v>
          </cell>
        </row>
        <row r="160">
          <cell r="L160">
            <v>124.01</v>
          </cell>
        </row>
        <row r="206">
          <cell r="L206">
            <v>102.06</v>
          </cell>
        </row>
        <row r="207">
          <cell r="L207">
            <v>102.02</v>
          </cell>
        </row>
        <row r="208">
          <cell r="L208">
            <v>102.06</v>
          </cell>
        </row>
        <row r="209">
          <cell r="L209">
            <v>102.02</v>
          </cell>
        </row>
        <row r="210">
          <cell r="L210">
            <v>102.02</v>
          </cell>
        </row>
        <row r="211">
          <cell r="L211">
            <v>102.02</v>
          </cell>
        </row>
        <row r="212">
          <cell r="L212">
            <v>102.02</v>
          </cell>
        </row>
        <row r="213">
          <cell r="L213">
            <v>102.02</v>
          </cell>
        </row>
        <row r="214">
          <cell r="L214">
            <v>102.02</v>
          </cell>
        </row>
        <row r="215">
          <cell r="L215">
            <v>102.06</v>
          </cell>
        </row>
        <row r="216">
          <cell r="L216">
            <v>102.02</v>
          </cell>
        </row>
        <row r="217">
          <cell r="L217">
            <v>121.01</v>
          </cell>
        </row>
        <row r="218">
          <cell r="L218">
            <v>305</v>
          </cell>
        </row>
        <row r="219">
          <cell r="L219">
            <v>402</v>
          </cell>
        </row>
        <row r="220">
          <cell r="L220">
            <v>124.01</v>
          </cell>
        </row>
        <row r="221">
          <cell r="L221">
            <v>541.32000000000005</v>
          </cell>
        </row>
        <row r="222">
          <cell r="L222">
            <v>153</v>
          </cell>
        </row>
        <row r="223">
          <cell r="L223">
            <v>161</v>
          </cell>
        </row>
        <row r="318">
          <cell r="L318">
            <v>102.02</v>
          </cell>
        </row>
        <row r="319">
          <cell r="L319">
            <v>102.02</v>
          </cell>
        </row>
        <row r="320">
          <cell r="L320">
            <v>102.02</v>
          </cell>
        </row>
        <row r="321">
          <cell r="L321">
            <v>102.02</v>
          </cell>
        </row>
        <row r="322">
          <cell r="L322">
            <v>102.02</v>
          </cell>
        </row>
        <row r="323">
          <cell r="L323">
            <v>102.06</v>
          </cell>
        </row>
        <row r="324">
          <cell r="L324">
            <v>102.02</v>
          </cell>
        </row>
        <row r="325">
          <cell r="L325">
            <v>121.01</v>
          </cell>
        </row>
        <row r="326">
          <cell r="L326">
            <v>161</v>
          </cell>
        </row>
        <row r="327">
          <cell r="L327">
            <v>402</v>
          </cell>
        </row>
        <row r="328">
          <cell r="L328">
            <v>121.01</v>
          </cell>
        </row>
        <row r="329">
          <cell r="L329">
            <v>305</v>
          </cell>
        </row>
        <row r="330">
          <cell r="L330">
            <v>153</v>
          </cell>
        </row>
        <row r="331">
          <cell r="L331">
            <v>150</v>
          </cell>
        </row>
        <row r="332">
          <cell r="L332">
            <v>124.01</v>
          </cell>
        </row>
        <row r="333">
          <cell r="L333">
            <v>501.07</v>
          </cell>
        </row>
      </sheetData>
      <sheetData sheetId="8" refreshError="1">
        <row r="844">
          <cell r="O844">
            <v>154</v>
          </cell>
          <cell r="Q844">
            <v>508.93</v>
          </cell>
        </row>
        <row r="845">
          <cell r="O845">
            <v>511.07</v>
          </cell>
          <cell r="Q845">
            <v>4241.07</v>
          </cell>
        </row>
        <row r="846">
          <cell r="O846">
            <v>301</v>
          </cell>
          <cell r="P846">
            <v>4750</v>
          </cell>
        </row>
        <row r="857">
          <cell r="O857">
            <v>150</v>
          </cell>
          <cell r="P857">
            <v>16027</v>
          </cell>
        </row>
        <row r="858">
          <cell r="O858">
            <v>374</v>
          </cell>
          <cell r="Q858">
            <v>16027</v>
          </cell>
        </row>
        <row r="862">
          <cell r="O862">
            <v>388</v>
          </cell>
          <cell r="P862">
            <v>157191.07</v>
          </cell>
        </row>
        <row r="863">
          <cell r="O863">
            <v>154</v>
          </cell>
          <cell r="Q863">
            <v>15329.46</v>
          </cell>
        </row>
        <row r="864">
          <cell r="O864">
            <v>514.02</v>
          </cell>
          <cell r="Q864">
            <v>141861.60999999999</v>
          </cell>
        </row>
        <row r="866">
          <cell r="O866">
            <v>388</v>
          </cell>
          <cell r="P866">
            <v>475489.62</v>
          </cell>
        </row>
        <row r="867">
          <cell r="O867">
            <v>513.03</v>
          </cell>
          <cell r="Q867">
            <v>10176.75</v>
          </cell>
        </row>
        <row r="868">
          <cell r="O868">
            <v>525.14</v>
          </cell>
          <cell r="Q868">
            <v>117491.49</v>
          </cell>
        </row>
        <row r="869">
          <cell r="O869">
            <v>541.24</v>
          </cell>
          <cell r="Q869">
            <v>11066.48</v>
          </cell>
        </row>
        <row r="870">
          <cell r="O870">
            <v>511.07</v>
          </cell>
          <cell r="Q870">
            <v>270969.19</v>
          </cell>
        </row>
        <row r="871">
          <cell r="O871">
            <v>511.02</v>
          </cell>
          <cell r="Q871">
            <v>65785.710000000006</v>
          </cell>
        </row>
        <row r="873">
          <cell r="O873">
            <v>388</v>
          </cell>
          <cell r="P873">
            <v>905242.39</v>
          </cell>
        </row>
        <row r="874">
          <cell r="O874">
            <v>513.07000000000005</v>
          </cell>
          <cell r="Q874">
            <v>147057.24</v>
          </cell>
        </row>
        <row r="875">
          <cell r="O875">
            <v>514.02</v>
          </cell>
          <cell r="Q875">
            <v>52790.18</v>
          </cell>
        </row>
        <row r="876">
          <cell r="O876">
            <v>511.07</v>
          </cell>
          <cell r="Q876">
            <v>705394.97</v>
          </cell>
        </row>
        <row r="878">
          <cell r="O878">
            <v>388</v>
          </cell>
          <cell r="P878">
            <v>316887.5</v>
          </cell>
        </row>
        <row r="879">
          <cell r="O879">
            <v>513.07000000000005</v>
          </cell>
          <cell r="Q879">
            <v>316887.5</v>
          </cell>
        </row>
        <row r="881">
          <cell r="O881">
            <v>388</v>
          </cell>
          <cell r="P881">
            <v>161735.14000000001</v>
          </cell>
        </row>
        <row r="882">
          <cell r="O882">
            <v>525.45000000000005</v>
          </cell>
          <cell r="Q882">
            <v>67235.14</v>
          </cell>
        </row>
        <row r="883">
          <cell r="O883">
            <v>541.16</v>
          </cell>
          <cell r="Q883">
            <v>14500</v>
          </cell>
        </row>
        <row r="884">
          <cell r="O884">
            <v>541.52</v>
          </cell>
          <cell r="Q884">
            <v>80000</v>
          </cell>
        </row>
        <row r="888">
          <cell r="O888">
            <v>154</v>
          </cell>
          <cell r="P888">
            <v>291865.81</v>
          </cell>
        </row>
        <row r="889">
          <cell r="O889">
            <v>513.08000000000004</v>
          </cell>
          <cell r="P889">
            <v>6191.96</v>
          </cell>
        </row>
        <row r="890">
          <cell r="O890">
            <v>513.04999999999995</v>
          </cell>
          <cell r="P890">
            <v>387060</v>
          </cell>
        </row>
        <row r="891">
          <cell r="O891">
            <v>513.02</v>
          </cell>
          <cell r="P891">
            <v>14285.71</v>
          </cell>
        </row>
        <row r="892">
          <cell r="O892">
            <v>513.07000000000005</v>
          </cell>
          <cell r="P892">
            <v>2411737.36</v>
          </cell>
        </row>
        <row r="893">
          <cell r="O893">
            <v>302</v>
          </cell>
          <cell r="Q893">
            <v>3111140.84</v>
          </cell>
        </row>
        <row r="895">
          <cell r="O895">
            <v>154</v>
          </cell>
          <cell r="P895">
            <v>580822.61</v>
          </cell>
        </row>
        <row r="896">
          <cell r="O896">
            <v>514.02</v>
          </cell>
          <cell r="P896">
            <v>946437.01</v>
          </cell>
        </row>
        <row r="897">
          <cell r="O897">
            <v>511.03</v>
          </cell>
          <cell r="P897">
            <v>7703.57</v>
          </cell>
        </row>
        <row r="898">
          <cell r="O898">
            <v>511.08</v>
          </cell>
          <cell r="P898">
            <v>3530.8</v>
          </cell>
        </row>
        <row r="899">
          <cell r="O899">
            <v>511.02</v>
          </cell>
          <cell r="P899">
            <v>178865.81</v>
          </cell>
        </row>
        <row r="900">
          <cell r="O900">
            <v>511.07</v>
          </cell>
          <cell r="P900">
            <v>4328260.5999999996</v>
          </cell>
        </row>
        <row r="901">
          <cell r="O901">
            <v>541.16</v>
          </cell>
          <cell r="P901">
            <v>13720.54</v>
          </cell>
        </row>
        <row r="902">
          <cell r="O902">
            <v>301</v>
          </cell>
          <cell r="Q902">
            <v>6059340.9400000004</v>
          </cell>
        </row>
        <row r="906">
          <cell r="O906">
            <v>513.07000000000005</v>
          </cell>
          <cell r="P906">
            <v>82871.429999999993</v>
          </cell>
        </row>
        <row r="907">
          <cell r="O907">
            <v>388</v>
          </cell>
          <cell r="Q907">
            <v>82871.429999999993</v>
          </cell>
        </row>
        <row r="912">
          <cell r="O912">
            <v>525.45000000000005</v>
          </cell>
          <cell r="P912">
            <v>66046.34</v>
          </cell>
        </row>
        <row r="913">
          <cell r="O913">
            <v>388</v>
          </cell>
          <cell r="Q913">
            <v>66046.34</v>
          </cell>
        </row>
        <row r="923">
          <cell r="O923">
            <v>102.06</v>
          </cell>
          <cell r="P923">
            <v>130000</v>
          </cell>
        </row>
        <row r="924">
          <cell r="O924">
            <v>302</v>
          </cell>
          <cell r="Q924">
            <v>130000</v>
          </cell>
        </row>
        <row r="926">
          <cell r="O926">
            <v>102.06</v>
          </cell>
          <cell r="P926">
            <v>188968.73</v>
          </cell>
        </row>
        <row r="927">
          <cell r="O927">
            <v>302</v>
          </cell>
          <cell r="Q927">
            <v>260000</v>
          </cell>
        </row>
        <row r="928">
          <cell r="O928">
            <v>165</v>
          </cell>
          <cell r="P928">
            <v>45031.27</v>
          </cell>
        </row>
        <row r="929">
          <cell r="O929">
            <v>304</v>
          </cell>
          <cell r="P929">
            <v>26000</v>
          </cell>
        </row>
        <row r="932">
          <cell r="O932">
            <v>591</v>
          </cell>
          <cell r="P932">
            <v>60000</v>
          </cell>
        </row>
        <row r="933">
          <cell r="O933">
            <v>310</v>
          </cell>
          <cell r="Q933">
            <v>60000</v>
          </cell>
        </row>
        <row r="944">
          <cell r="O944">
            <v>593</v>
          </cell>
          <cell r="P944">
            <v>32375</v>
          </cell>
        </row>
        <row r="945">
          <cell r="O945">
            <v>310</v>
          </cell>
          <cell r="Q945">
            <v>32375</v>
          </cell>
        </row>
        <row r="956">
          <cell r="O956">
            <v>525.09</v>
          </cell>
          <cell r="P956">
            <v>21721.589999999997</v>
          </cell>
        </row>
        <row r="957">
          <cell r="O957">
            <v>541.09</v>
          </cell>
          <cell r="P957">
            <v>18675.009999999998</v>
          </cell>
        </row>
        <row r="958">
          <cell r="O958">
            <v>386</v>
          </cell>
          <cell r="Q958">
            <v>40396.6</v>
          </cell>
        </row>
        <row r="960">
          <cell r="O960">
            <v>154</v>
          </cell>
          <cell r="P960">
            <v>33.58</v>
          </cell>
        </row>
        <row r="961">
          <cell r="O961">
            <v>511.07</v>
          </cell>
          <cell r="P961">
            <v>279.81</v>
          </cell>
        </row>
        <row r="962">
          <cell r="O962">
            <v>301</v>
          </cell>
          <cell r="Q962">
            <v>313.39</v>
          </cell>
        </row>
        <row r="970">
          <cell r="O970">
            <v>154</v>
          </cell>
          <cell r="P970">
            <v>24288.75</v>
          </cell>
        </row>
        <row r="971">
          <cell r="O971">
            <v>511.07</v>
          </cell>
          <cell r="P971">
            <v>108013.39</v>
          </cell>
        </row>
        <row r="972">
          <cell r="O972">
            <v>511.07</v>
          </cell>
          <cell r="P972">
            <v>15625</v>
          </cell>
        </row>
        <row r="973">
          <cell r="O973">
            <v>511.07</v>
          </cell>
          <cell r="P973">
            <v>73142.86</v>
          </cell>
        </row>
        <row r="974">
          <cell r="O974">
            <v>514.02</v>
          </cell>
          <cell r="P974">
            <v>107725</v>
          </cell>
        </row>
        <row r="975">
          <cell r="O975">
            <v>301</v>
          </cell>
          <cell r="Q975">
            <v>328795</v>
          </cell>
        </row>
        <row r="978">
          <cell r="O978">
            <v>154</v>
          </cell>
          <cell r="P978">
            <v>103.39</v>
          </cell>
        </row>
        <row r="979">
          <cell r="O979">
            <v>511.07</v>
          </cell>
          <cell r="P979">
            <v>861.56</v>
          </cell>
        </row>
        <row r="980">
          <cell r="O980">
            <v>301</v>
          </cell>
          <cell r="Q980">
            <v>964.95</v>
          </cell>
        </row>
        <row r="992">
          <cell r="O992">
            <v>102.02</v>
          </cell>
          <cell r="P992">
            <v>81757.8</v>
          </cell>
        </row>
        <row r="993">
          <cell r="O993">
            <v>102.04</v>
          </cell>
          <cell r="Q993">
            <v>81757.8</v>
          </cell>
        </row>
        <row r="999">
          <cell r="O999">
            <v>102.02</v>
          </cell>
          <cell r="P999">
            <v>48971.81</v>
          </cell>
        </row>
        <row r="1000">
          <cell r="O1000">
            <v>154</v>
          </cell>
          <cell r="Q1000">
            <v>5294.25</v>
          </cell>
        </row>
        <row r="1001">
          <cell r="O1001">
            <v>511.07</v>
          </cell>
          <cell r="Q1001">
            <v>44118.75</v>
          </cell>
        </row>
        <row r="1002">
          <cell r="O1002">
            <v>374</v>
          </cell>
          <cell r="P1002">
            <v>441.19</v>
          </cell>
        </row>
        <row r="1004">
          <cell r="O1004">
            <v>309</v>
          </cell>
          <cell r="P1004">
            <v>143209.82</v>
          </cell>
        </row>
        <row r="1005">
          <cell r="O1005">
            <v>154</v>
          </cell>
          <cell r="Q1005">
            <v>15482.14</v>
          </cell>
        </row>
        <row r="1006">
          <cell r="O1006">
            <v>511.07</v>
          </cell>
          <cell r="Q1006">
            <v>129017.86</v>
          </cell>
        </row>
        <row r="1007">
          <cell r="O1007">
            <v>374</v>
          </cell>
          <cell r="P1007">
            <v>1290.18</v>
          </cell>
        </row>
        <row r="1011">
          <cell r="O1011">
            <v>102.06</v>
          </cell>
          <cell r="Q1011">
            <v>57258.93</v>
          </cell>
        </row>
        <row r="1012">
          <cell r="O1012">
            <v>102.06</v>
          </cell>
          <cell r="Q1012">
            <v>143544.10999999999</v>
          </cell>
        </row>
        <row r="1013">
          <cell r="O1013">
            <v>102.02</v>
          </cell>
          <cell r="P1013">
            <v>57258.93</v>
          </cell>
        </row>
        <row r="1014">
          <cell r="O1014">
            <v>102.02</v>
          </cell>
          <cell r="P1014">
            <v>143544.10999999999</v>
          </cell>
        </row>
        <row r="1016">
          <cell r="O1016">
            <v>591</v>
          </cell>
          <cell r="P1016">
            <v>20989.58</v>
          </cell>
        </row>
        <row r="1017">
          <cell r="O1017">
            <v>591</v>
          </cell>
          <cell r="P1017">
            <v>31439.67</v>
          </cell>
        </row>
        <row r="1018">
          <cell r="O1018">
            <v>102.02</v>
          </cell>
          <cell r="Q1018">
            <v>52429.25</v>
          </cell>
        </row>
        <row r="1020">
          <cell r="O1020">
            <v>541.32000000000005</v>
          </cell>
          <cell r="P1020">
            <v>40</v>
          </cell>
        </row>
        <row r="1021">
          <cell r="O1021">
            <v>102.02</v>
          </cell>
          <cell r="Q1021">
            <v>40</v>
          </cell>
        </row>
        <row r="1023">
          <cell r="O1023">
            <v>309</v>
          </cell>
          <cell r="P1023">
            <v>37144.39</v>
          </cell>
        </row>
        <row r="1024">
          <cell r="O1024">
            <v>309</v>
          </cell>
          <cell r="P1024">
            <v>1538265.54</v>
          </cell>
        </row>
        <row r="1025">
          <cell r="O1025">
            <v>102.02</v>
          </cell>
          <cell r="Q1025">
            <v>1575409.93</v>
          </cell>
        </row>
        <row r="1027">
          <cell r="O1027">
            <v>102.02</v>
          </cell>
          <cell r="P1027">
            <v>2807.7</v>
          </cell>
        </row>
        <row r="1028">
          <cell r="O1028">
            <v>511.07</v>
          </cell>
          <cell r="Q1028">
            <v>2807.7</v>
          </cell>
        </row>
        <row r="1030">
          <cell r="O1030">
            <v>102.02</v>
          </cell>
          <cell r="P1030">
            <v>20989.58</v>
          </cell>
        </row>
        <row r="1031">
          <cell r="O1031">
            <v>591</v>
          </cell>
          <cell r="Q1031">
            <v>20989.58</v>
          </cell>
        </row>
        <row r="1033">
          <cell r="O1033">
            <v>102.02</v>
          </cell>
          <cell r="P1033">
            <v>4720724.33</v>
          </cell>
        </row>
        <row r="1034">
          <cell r="O1034">
            <v>309</v>
          </cell>
          <cell r="Q1034">
            <v>4920724.33</v>
          </cell>
        </row>
        <row r="1035">
          <cell r="O1035">
            <v>102.04</v>
          </cell>
          <cell r="P1035">
            <v>200000</v>
          </cell>
        </row>
        <row r="1046">
          <cell r="O1046">
            <v>121.01</v>
          </cell>
          <cell r="P1046">
            <v>654585.11</v>
          </cell>
        </row>
        <row r="1047">
          <cell r="O1047">
            <v>501.05</v>
          </cell>
          <cell r="Q1047">
            <v>654585.11</v>
          </cell>
        </row>
        <row r="1048">
          <cell r="O1048">
            <v>516.04</v>
          </cell>
          <cell r="P1048">
            <v>70226.12</v>
          </cell>
        </row>
        <row r="1049">
          <cell r="O1049">
            <v>376</v>
          </cell>
          <cell r="Q1049">
            <v>70226.12</v>
          </cell>
        </row>
        <row r="1054">
          <cell r="O1054">
            <v>124.01</v>
          </cell>
          <cell r="P1054">
            <v>7763982.9100000001</v>
          </cell>
        </row>
        <row r="1055">
          <cell r="O1055">
            <v>121.01</v>
          </cell>
          <cell r="Q1055">
            <v>7763982.9100000001</v>
          </cell>
        </row>
        <row r="1057">
          <cell r="O1057">
            <v>305</v>
          </cell>
          <cell r="P1057">
            <v>7763982.9100000001</v>
          </cell>
        </row>
        <row r="1058">
          <cell r="O1058">
            <v>121.01</v>
          </cell>
          <cell r="Q1058">
            <v>7763982.9100000001</v>
          </cell>
        </row>
        <row r="1060">
          <cell r="O1060">
            <v>141</v>
          </cell>
          <cell r="P1060">
            <v>73950145.090000004</v>
          </cell>
        </row>
        <row r="1061">
          <cell r="O1061">
            <v>121.01</v>
          </cell>
          <cell r="Q1061">
            <v>73950145.090000004</v>
          </cell>
        </row>
        <row r="1063">
          <cell r="O1063">
            <v>121.01</v>
          </cell>
          <cell r="P1063">
            <v>77639829.049999997</v>
          </cell>
        </row>
        <row r="1064">
          <cell r="O1064">
            <v>141</v>
          </cell>
          <cell r="Q1064">
            <v>77639829.049999997</v>
          </cell>
        </row>
        <row r="1066">
          <cell r="O1066">
            <v>525.23</v>
          </cell>
          <cell r="P1066">
            <v>107002.76</v>
          </cell>
        </row>
        <row r="1067">
          <cell r="O1067">
            <v>121.01</v>
          </cell>
          <cell r="Q1067">
            <v>107002.76</v>
          </cell>
        </row>
        <row r="1069">
          <cell r="O1069">
            <v>121.01</v>
          </cell>
          <cell r="P1069">
            <v>3876615.94</v>
          </cell>
        </row>
        <row r="1070">
          <cell r="O1070">
            <v>141</v>
          </cell>
          <cell r="Q1070">
            <v>3876615.94</v>
          </cell>
        </row>
        <row r="1072">
          <cell r="O1072">
            <v>121.01</v>
          </cell>
          <cell r="Q1072">
            <v>955528.02</v>
          </cell>
        </row>
        <row r="1073">
          <cell r="O1073">
            <v>141</v>
          </cell>
          <cell r="P1073">
            <v>955528.02</v>
          </cell>
        </row>
        <row r="1079">
          <cell r="O1079">
            <v>141</v>
          </cell>
          <cell r="P1079">
            <v>6535453.8799999999</v>
          </cell>
        </row>
        <row r="1080">
          <cell r="O1080">
            <v>141</v>
          </cell>
          <cell r="P1080">
            <v>2500000</v>
          </cell>
        </row>
        <row r="1081">
          <cell r="O1081">
            <v>141</v>
          </cell>
          <cell r="P1081">
            <v>542116</v>
          </cell>
        </row>
        <row r="1082">
          <cell r="O1082">
            <v>141</v>
          </cell>
          <cell r="P1082">
            <v>106638.22</v>
          </cell>
        </row>
        <row r="1083">
          <cell r="O1083">
            <v>141</v>
          </cell>
          <cell r="P1083">
            <v>953000</v>
          </cell>
        </row>
        <row r="1084">
          <cell r="O1084">
            <v>501.07</v>
          </cell>
          <cell r="Q1084">
            <v>6535453.8799999999</v>
          </cell>
        </row>
        <row r="1085">
          <cell r="O1085">
            <v>503.07</v>
          </cell>
          <cell r="Q1085">
            <v>2500000</v>
          </cell>
        </row>
        <row r="1086">
          <cell r="O1086">
            <v>502.02</v>
          </cell>
          <cell r="Q1086">
            <v>542116</v>
          </cell>
        </row>
        <row r="1087">
          <cell r="O1087">
            <v>501.03</v>
          </cell>
          <cell r="Q1087">
            <v>106638.22</v>
          </cell>
        </row>
        <row r="1088">
          <cell r="O1088">
            <v>502.03</v>
          </cell>
          <cell r="Q1088">
            <v>953000</v>
          </cell>
        </row>
        <row r="1093">
          <cell r="O1093">
            <v>516.04</v>
          </cell>
          <cell r="P1093">
            <v>700227.2</v>
          </cell>
        </row>
        <row r="1094">
          <cell r="O1094">
            <v>516.04</v>
          </cell>
          <cell r="P1094">
            <v>267857.14</v>
          </cell>
        </row>
        <row r="1095">
          <cell r="O1095">
            <v>516.04</v>
          </cell>
          <cell r="P1095">
            <v>58083.86</v>
          </cell>
        </row>
        <row r="1096">
          <cell r="O1096">
            <v>516.04</v>
          </cell>
          <cell r="P1096">
            <v>11425.52</v>
          </cell>
        </row>
        <row r="1097">
          <cell r="O1097">
            <v>516.04</v>
          </cell>
          <cell r="P1097">
            <v>102107.14</v>
          </cell>
        </row>
        <row r="1098">
          <cell r="O1098">
            <v>376</v>
          </cell>
          <cell r="Q1098">
            <v>1139700.8600000001</v>
          </cell>
        </row>
        <row r="1142">
          <cell r="O1142">
            <v>154</v>
          </cell>
          <cell r="P1142">
            <v>14454.86</v>
          </cell>
        </row>
        <row r="1143">
          <cell r="O1143">
            <v>511.07</v>
          </cell>
          <cell r="P1143">
            <v>120457.14</v>
          </cell>
        </row>
        <row r="1144">
          <cell r="O1144">
            <v>374</v>
          </cell>
          <cell r="Q1144">
            <v>1204.57</v>
          </cell>
        </row>
        <row r="1145">
          <cell r="O1145">
            <v>102.06</v>
          </cell>
          <cell r="Q1145">
            <v>133707.43</v>
          </cell>
        </row>
        <row r="1149">
          <cell r="O1149">
            <v>152.06</v>
          </cell>
          <cell r="Q1149">
            <v>10000</v>
          </cell>
        </row>
        <row r="1150">
          <cell r="O1150">
            <v>102.02</v>
          </cell>
          <cell r="P1150">
            <v>10000</v>
          </cell>
        </row>
        <row r="1152">
          <cell r="O1152">
            <v>154</v>
          </cell>
          <cell r="P1152">
            <v>822.86</v>
          </cell>
        </row>
        <row r="1153">
          <cell r="O1153">
            <v>511.07</v>
          </cell>
          <cell r="P1153">
            <v>6857.14</v>
          </cell>
        </row>
        <row r="1154">
          <cell r="O1154">
            <v>301</v>
          </cell>
          <cell r="Q1154">
            <v>7680</v>
          </cell>
        </row>
        <row r="1161">
          <cell r="O1161">
            <v>163</v>
          </cell>
          <cell r="Q1161">
            <v>1435.1</v>
          </cell>
        </row>
        <row r="1162">
          <cell r="O1162">
            <v>165</v>
          </cell>
          <cell r="P1162">
            <v>1435.1</v>
          </cell>
        </row>
        <row r="1164">
          <cell r="O1164">
            <v>163</v>
          </cell>
          <cell r="P1164">
            <v>3500</v>
          </cell>
        </row>
        <row r="1165">
          <cell r="O1165">
            <v>165</v>
          </cell>
          <cell r="Q1165">
            <v>3500</v>
          </cell>
        </row>
        <row r="1167">
          <cell r="O1167">
            <v>163</v>
          </cell>
          <cell r="Q1167">
            <v>110000</v>
          </cell>
        </row>
        <row r="1168">
          <cell r="O1168">
            <v>165</v>
          </cell>
          <cell r="P1168">
            <v>110000</v>
          </cell>
        </row>
        <row r="1172">
          <cell r="O1172">
            <v>154</v>
          </cell>
          <cell r="P1172">
            <v>369659.29</v>
          </cell>
        </row>
        <row r="1173">
          <cell r="O1173">
            <v>513.07000000000005</v>
          </cell>
          <cell r="P1173">
            <v>3380308.69</v>
          </cell>
        </row>
        <row r="1174">
          <cell r="O1174">
            <v>302</v>
          </cell>
          <cell r="Q1174">
            <v>3749967.98</v>
          </cell>
        </row>
        <row r="1179">
          <cell r="O1179">
            <v>154</v>
          </cell>
          <cell r="P1179">
            <v>198127.01</v>
          </cell>
        </row>
        <row r="1180">
          <cell r="O1180">
            <v>514.02</v>
          </cell>
          <cell r="P1180">
            <v>422872.37</v>
          </cell>
        </row>
        <row r="1181">
          <cell r="O1181">
            <v>234.01</v>
          </cell>
          <cell r="P1181">
            <v>3392.63</v>
          </cell>
        </row>
        <row r="1182">
          <cell r="O1182">
            <v>511.07</v>
          </cell>
          <cell r="P1182">
            <v>1449103.15</v>
          </cell>
        </row>
        <row r="1183">
          <cell r="O1183">
            <v>301</v>
          </cell>
          <cell r="Q1183">
            <v>2073495.16</v>
          </cell>
        </row>
        <row r="1185">
          <cell r="O1185">
            <v>301</v>
          </cell>
          <cell r="P1185">
            <v>70574.2</v>
          </cell>
        </row>
        <row r="1186">
          <cell r="O1186">
            <v>154</v>
          </cell>
          <cell r="Q1186">
            <v>7561.52</v>
          </cell>
        </row>
        <row r="1187">
          <cell r="O1187">
            <v>511.07</v>
          </cell>
          <cell r="Q1187">
            <v>63012.68</v>
          </cell>
        </row>
        <row r="1189">
          <cell r="O1189">
            <v>301</v>
          </cell>
          <cell r="P1189">
            <v>7920</v>
          </cell>
        </row>
        <row r="1190">
          <cell r="O1190">
            <v>154</v>
          </cell>
          <cell r="Q1190">
            <v>848.57</v>
          </cell>
        </row>
        <row r="1191">
          <cell r="O1191">
            <v>511.07</v>
          </cell>
          <cell r="Q1191">
            <v>7071.43</v>
          </cell>
        </row>
        <row r="1193">
          <cell r="O1193">
            <v>301</v>
          </cell>
          <cell r="P1193">
            <v>4220.7700000000004</v>
          </cell>
        </row>
        <row r="1194">
          <cell r="O1194">
            <v>374</v>
          </cell>
          <cell r="Q1194">
            <v>221.38</v>
          </cell>
        </row>
        <row r="1195">
          <cell r="O1195">
            <v>511.07</v>
          </cell>
          <cell r="P1195">
            <v>301.83</v>
          </cell>
        </row>
        <row r="1196">
          <cell r="O1196">
            <v>514.02</v>
          </cell>
          <cell r="Q1196">
            <v>4337.8</v>
          </cell>
        </row>
        <row r="1197">
          <cell r="O1197">
            <v>154</v>
          </cell>
          <cell r="P1197">
            <v>36.58</v>
          </cell>
        </row>
        <row r="1204">
          <cell r="O1204">
            <v>302</v>
          </cell>
          <cell r="Q1204">
            <v>37100</v>
          </cell>
        </row>
        <row r="1205">
          <cell r="O1205">
            <v>154</v>
          </cell>
          <cell r="P1205">
            <v>3975</v>
          </cell>
        </row>
        <row r="1206">
          <cell r="O1206">
            <v>514.02</v>
          </cell>
          <cell r="P1206">
            <v>33125</v>
          </cell>
        </row>
        <row r="1211">
          <cell r="O1211">
            <v>121.01</v>
          </cell>
          <cell r="P1211">
            <v>1059638.22</v>
          </cell>
        </row>
        <row r="1212">
          <cell r="O1212">
            <v>141</v>
          </cell>
          <cell r="Q1212">
            <v>106638.22</v>
          </cell>
        </row>
        <row r="1213">
          <cell r="O1213">
            <v>141</v>
          </cell>
          <cell r="Q1213">
            <v>953000</v>
          </cell>
        </row>
        <row r="1215">
          <cell r="O1215">
            <v>121.01</v>
          </cell>
          <cell r="P1215">
            <v>542116</v>
          </cell>
        </row>
        <row r="1216">
          <cell r="O1216">
            <v>141</v>
          </cell>
          <cell r="Q1216">
            <v>542116</v>
          </cell>
        </row>
        <row r="1218">
          <cell r="O1218">
            <v>141</v>
          </cell>
          <cell r="P1218">
            <v>2313520</v>
          </cell>
        </row>
        <row r="1219">
          <cell r="O1219">
            <v>121.01</v>
          </cell>
          <cell r="Q1219">
            <v>2313520</v>
          </cell>
        </row>
        <row r="1224">
          <cell r="O1224">
            <v>121.01</v>
          </cell>
          <cell r="P1224">
            <v>2313829</v>
          </cell>
        </row>
        <row r="1225">
          <cell r="O1225">
            <v>141</v>
          </cell>
          <cell r="Q1225">
            <v>2313829</v>
          </cell>
        </row>
        <row r="1227">
          <cell r="O1227">
            <v>124.01</v>
          </cell>
          <cell r="P1227">
            <v>231382.86</v>
          </cell>
        </row>
        <row r="1228">
          <cell r="O1228">
            <v>305</v>
          </cell>
          <cell r="P1228">
            <v>697156.31</v>
          </cell>
        </row>
        <row r="1229">
          <cell r="O1229">
            <v>121.01</v>
          </cell>
          <cell r="Q1229">
            <v>928539.17</v>
          </cell>
        </row>
        <row r="1231">
          <cell r="O1231">
            <v>525.23</v>
          </cell>
          <cell r="P1231">
            <v>2230.58</v>
          </cell>
        </row>
        <row r="1232">
          <cell r="O1232">
            <v>121.01</v>
          </cell>
          <cell r="Q1232">
            <v>2230.58</v>
          </cell>
        </row>
        <row r="1234">
          <cell r="O1234">
            <v>121.01</v>
          </cell>
          <cell r="P1234">
            <v>2301860.87</v>
          </cell>
        </row>
        <row r="1235">
          <cell r="O1235">
            <v>525.23</v>
          </cell>
          <cell r="P1235">
            <v>2055.3000000000002</v>
          </cell>
        </row>
        <row r="1236">
          <cell r="O1236">
            <v>141</v>
          </cell>
          <cell r="Q1236">
            <v>2303916.17</v>
          </cell>
        </row>
        <row r="1239">
          <cell r="O1239">
            <v>591</v>
          </cell>
          <cell r="P1239">
            <v>60000</v>
          </cell>
        </row>
        <row r="1240">
          <cell r="O1240">
            <v>310</v>
          </cell>
          <cell r="Q1240">
            <v>60000</v>
          </cell>
        </row>
        <row r="1251">
          <cell r="O1251">
            <v>593</v>
          </cell>
          <cell r="P1251">
            <v>32375</v>
          </cell>
        </row>
        <row r="1252">
          <cell r="O1252">
            <v>310</v>
          </cell>
          <cell r="Q1252">
            <v>32375</v>
          </cell>
        </row>
        <row r="1268">
          <cell r="O1268">
            <v>154</v>
          </cell>
          <cell r="P1268">
            <v>113625.88</v>
          </cell>
        </row>
        <row r="1269">
          <cell r="O1269">
            <v>513.11</v>
          </cell>
          <cell r="P1269">
            <v>15300</v>
          </cell>
        </row>
        <row r="1270">
          <cell r="O1270">
            <v>513.1</v>
          </cell>
          <cell r="P1270">
            <v>531000</v>
          </cell>
        </row>
        <row r="1271">
          <cell r="O1271">
            <v>513.07000000000005</v>
          </cell>
          <cell r="P1271">
            <v>988807.18</v>
          </cell>
        </row>
        <row r="1272">
          <cell r="O1272">
            <v>302</v>
          </cell>
          <cell r="Q1272">
            <v>1648733.06</v>
          </cell>
        </row>
        <row r="1275">
          <cell r="O1275">
            <v>154</v>
          </cell>
          <cell r="P1275">
            <v>81154.11</v>
          </cell>
        </row>
        <row r="1276">
          <cell r="O1276">
            <v>514.02</v>
          </cell>
          <cell r="P1276">
            <v>470449.93</v>
          </cell>
        </row>
        <row r="1277">
          <cell r="O1277">
            <v>511.1</v>
          </cell>
          <cell r="P1277">
            <v>60687.5</v>
          </cell>
        </row>
        <row r="1278">
          <cell r="O1278">
            <v>511.07</v>
          </cell>
          <cell r="P1278">
            <v>365472.28</v>
          </cell>
        </row>
        <row r="1279">
          <cell r="O1279">
            <v>541.16</v>
          </cell>
          <cell r="P1279">
            <v>19354.02</v>
          </cell>
        </row>
        <row r="1280">
          <cell r="O1280">
            <v>525.42999999999995</v>
          </cell>
          <cell r="P1280">
            <v>26000.85</v>
          </cell>
        </row>
        <row r="1281">
          <cell r="O1281">
            <v>174.01</v>
          </cell>
          <cell r="P1281">
            <v>4375</v>
          </cell>
        </row>
        <row r="1282">
          <cell r="O1282">
            <v>301</v>
          </cell>
          <cell r="Q1282">
            <v>1027493.69</v>
          </cell>
        </row>
        <row r="1285">
          <cell r="O1285">
            <v>591</v>
          </cell>
          <cell r="P1285">
            <v>60000</v>
          </cell>
        </row>
        <row r="1286">
          <cell r="O1286">
            <v>310</v>
          </cell>
          <cell r="Q1286">
            <v>60000</v>
          </cell>
        </row>
        <row r="1297">
          <cell r="O1297">
            <v>593</v>
          </cell>
          <cell r="P1297">
            <v>32375</v>
          </cell>
        </row>
        <row r="1298">
          <cell r="O1298">
            <v>310</v>
          </cell>
          <cell r="Q1298">
            <v>32375</v>
          </cell>
        </row>
        <row r="1309">
          <cell r="O1309">
            <v>301</v>
          </cell>
          <cell r="P1309">
            <v>33264</v>
          </cell>
        </row>
        <row r="1310">
          <cell r="O1310">
            <v>511.07</v>
          </cell>
          <cell r="Q1310">
            <v>29700</v>
          </cell>
        </row>
        <row r="1311">
          <cell r="O1311">
            <v>154</v>
          </cell>
          <cell r="Q1311">
            <v>3564</v>
          </cell>
        </row>
        <row r="1316">
          <cell r="O1316">
            <v>511.07</v>
          </cell>
          <cell r="P1316">
            <v>1499.15</v>
          </cell>
        </row>
        <row r="1317">
          <cell r="O1317">
            <v>301</v>
          </cell>
          <cell r="Q1317">
            <v>1499.15</v>
          </cell>
        </row>
        <row r="1327">
          <cell r="O1327">
            <v>121.01</v>
          </cell>
          <cell r="P1327">
            <v>5536206.7400000002</v>
          </cell>
        </row>
        <row r="1328">
          <cell r="O1328">
            <v>501.07</v>
          </cell>
          <cell r="Q1328">
            <v>4482275.71</v>
          </cell>
        </row>
        <row r="1329">
          <cell r="O1329">
            <v>503.07</v>
          </cell>
          <cell r="Q1329">
            <v>1003931.03</v>
          </cell>
        </row>
        <row r="1330">
          <cell r="O1330">
            <v>502.09</v>
          </cell>
          <cell r="Q1330">
            <v>50000</v>
          </cell>
        </row>
        <row r="1332">
          <cell r="O1332">
            <v>501.1</v>
          </cell>
          <cell r="Q1332">
            <v>8476446.1899999995</v>
          </cell>
        </row>
        <row r="1333">
          <cell r="O1333">
            <v>501.11</v>
          </cell>
          <cell r="Q1333">
            <v>1651721.18</v>
          </cell>
        </row>
        <row r="1334">
          <cell r="O1334">
            <v>121.01</v>
          </cell>
          <cell r="P1334">
            <v>10128167.369999999</v>
          </cell>
        </row>
        <row r="1341">
          <cell r="O1341">
            <v>516.04</v>
          </cell>
          <cell r="P1341">
            <v>480243.83</v>
          </cell>
        </row>
        <row r="1342">
          <cell r="O1342">
            <v>516.04</v>
          </cell>
          <cell r="P1342">
            <v>107564.04</v>
          </cell>
        </row>
        <row r="1343">
          <cell r="O1343">
            <v>516.04</v>
          </cell>
          <cell r="P1343">
            <v>0</v>
          </cell>
        </row>
        <row r="1344">
          <cell r="O1344">
            <v>516.04</v>
          </cell>
          <cell r="P1344">
            <v>5357.14</v>
          </cell>
        </row>
        <row r="1345">
          <cell r="O1345">
            <v>516.04</v>
          </cell>
          <cell r="P1345">
            <v>1526.83</v>
          </cell>
        </row>
        <row r="1346">
          <cell r="O1346">
            <v>376</v>
          </cell>
          <cell r="Q1346">
            <v>594691.83999999997</v>
          </cell>
        </row>
        <row r="1350">
          <cell r="O1350">
            <v>516.04</v>
          </cell>
          <cell r="P1350">
            <v>908190.66</v>
          </cell>
        </row>
        <row r="1351">
          <cell r="O1351">
            <v>516.04</v>
          </cell>
          <cell r="P1351">
            <v>176970.13</v>
          </cell>
        </row>
        <row r="1352">
          <cell r="O1352">
            <v>376</v>
          </cell>
          <cell r="Q1352">
            <v>1085160.79</v>
          </cell>
        </row>
        <row r="1359">
          <cell r="O1359">
            <v>502.02</v>
          </cell>
          <cell r="Q1359">
            <v>309</v>
          </cell>
        </row>
        <row r="1360">
          <cell r="O1360">
            <v>141</v>
          </cell>
          <cell r="P1360">
            <v>309</v>
          </cell>
        </row>
        <row r="1365">
          <cell r="O1365">
            <v>121.01</v>
          </cell>
          <cell r="P1365">
            <v>2500000</v>
          </cell>
        </row>
        <row r="1366">
          <cell r="O1366">
            <v>141</v>
          </cell>
          <cell r="Q1366">
            <v>2500000</v>
          </cell>
        </row>
        <row r="1368">
          <cell r="O1368">
            <v>121.01</v>
          </cell>
          <cell r="P1368">
            <v>955528.02</v>
          </cell>
        </row>
        <row r="1369">
          <cell r="O1369">
            <v>141</v>
          </cell>
          <cell r="Q1369">
            <v>955528.02</v>
          </cell>
        </row>
        <row r="1371">
          <cell r="O1371">
            <v>121.01</v>
          </cell>
          <cell r="Q1371">
            <v>3334762.19</v>
          </cell>
        </row>
        <row r="1372">
          <cell r="O1372">
            <v>141</v>
          </cell>
          <cell r="P1372">
            <v>3334762.19</v>
          </cell>
        </row>
        <row r="1378">
          <cell r="O1378">
            <v>513.07000000000005</v>
          </cell>
          <cell r="P1378">
            <v>42857.14</v>
          </cell>
        </row>
        <row r="1379">
          <cell r="O1379">
            <v>388</v>
          </cell>
          <cell r="Q1379">
            <v>42857.14</v>
          </cell>
        </row>
        <row r="1382">
          <cell r="O1382">
            <v>513.03</v>
          </cell>
          <cell r="P1382">
            <v>32142.86</v>
          </cell>
        </row>
        <row r="1383">
          <cell r="O1383">
            <v>388</v>
          </cell>
          <cell r="Q1383">
            <v>32142.86</v>
          </cell>
        </row>
        <row r="1388">
          <cell r="O1388">
            <v>513.08000000000004</v>
          </cell>
          <cell r="Q1388">
            <v>358222.32</v>
          </cell>
        </row>
        <row r="1389">
          <cell r="O1389">
            <v>388</v>
          </cell>
          <cell r="P1389">
            <v>358222.32</v>
          </cell>
        </row>
        <row r="1391">
          <cell r="O1391">
            <v>513.07000000000005</v>
          </cell>
          <cell r="Q1391">
            <v>82871.429999999993</v>
          </cell>
        </row>
        <row r="1392">
          <cell r="O1392">
            <v>388</v>
          </cell>
          <cell r="P1392">
            <v>148917.76999999999</v>
          </cell>
        </row>
        <row r="1393">
          <cell r="O1393">
            <v>525.45000000000005</v>
          </cell>
          <cell r="Q1393">
            <v>66046.34</v>
          </cell>
        </row>
        <row r="1395">
          <cell r="O1395">
            <v>511.1</v>
          </cell>
          <cell r="P1395">
            <v>8303.57</v>
          </cell>
        </row>
        <row r="1396">
          <cell r="O1396">
            <v>199</v>
          </cell>
          <cell r="Q1396">
            <v>8303.57</v>
          </cell>
        </row>
        <row r="1398">
          <cell r="O1398">
            <v>102.04</v>
          </cell>
          <cell r="Q1398">
            <v>200000</v>
          </cell>
        </row>
        <row r="1399">
          <cell r="O1399">
            <v>309</v>
          </cell>
          <cell r="P1399">
            <v>200000</v>
          </cell>
        </row>
        <row r="1401">
          <cell r="O1401">
            <v>592</v>
          </cell>
          <cell r="P1401">
            <v>52429.25</v>
          </cell>
        </row>
        <row r="1402">
          <cell r="O1402">
            <v>582</v>
          </cell>
          <cell r="P1402">
            <v>1700</v>
          </cell>
        </row>
        <row r="1403">
          <cell r="O1403">
            <v>309</v>
          </cell>
          <cell r="P1403">
            <v>257868.72</v>
          </cell>
        </row>
        <row r="1404">
          <cell r="O1404">
            <v>541.46</v>
          </cell>
          <cell r="Q1404">
            <v>0.02</v>
          </cell>
        </row>
        <row r="1405">
          <cell r="O1405">
            <v>102.02</v>
          </cell>
          <cell r="Q1405">
            <v>311997.95</v>
          </cell>
        </row>
        <row r="1407">
          <cell r="O1407">
            <v>102.06</v>
          </cell>
          <cell r="Q1407">
            <v>25000</v>
          </cell>
        </row>
        <row r="1408">
          <cell r="O1408">
            <v>102.02</v>
          </cell>
          <cell r="P1408">
            <v>25000</v>
          </cell>
        </row>
        <row r="1410">
          <cell r="O1410">
            <v>525.14</v>
          </cell>
          <cell r="P1410">
            <v>251410.16</v>
          </cell>
        </row>
        <row r="1411">
          <cell r="O1411">
            <v>511.1</v>
          </cell>
          <cell r="P1411">
            <v>229576.94</v>
          </cell>
        </row>
        <row r="1412">
          <cell r="O1412">
            <v>512.07000000000005</v>
          </cell>
          <cell r="P1412">
            <v>52930.63</v>
          </cell>
        </row>
        <row r="1413">
          <cell r="O1413">
            <v>512.08000000000004</v>
          </cell>
          <cell r="P1413">
            <v>16737.189999999999</v>
          </cell>
        </row>
        <row r="1414">
          <cell r="O1414">
            <v>512.1</v>
          </cell>
          <cell r="P1414">
            <v>269241</v>
          </cell>
        </row>
        <row r="1415">
          <cell r="O1415">
            <v>512.11</v>
          </cell>
          <cell r="P1415">
            <v>22355</v>
          </cell>
        </row>
        <row r="1416">
          <cell r="O1416">
            <v>513.07000000000005</v>
          </cell>
          <cell r="P1416">
            <v>5512</v>
          </cell>
        </row>
        <row r="1417">
          <cell r="O1417">
            <v>514.02</v>
          </cell>
          <cell r="P1417">
            <v>185450</v>
          </cell>
        </row>
        <row r="1418">
          <cell r="O1418">
            <v>388</v>
          </cell>
          <cell r="Q1418">
            <v>1033212.92</v>
          </cell>
        </row>
        <row r="1420">
          <cell r="O1420">
            <v>513.08000000000004</v>
          </cell>
          <cell r="P1420">
            <v>301209</v>
          </cell>
        </row>
        <row r="1421">
          <cell r="O1421">
            <v>388</v>
          </cell>
          <cell r="Q1421">
            <v>301209</v>
          </cell>
        </row>
        <row r="1423">
          <cell r="O1423">
            <v>514.02</v>
          </cell>
          <cell r="P1423">
            <v>1222169.33</v>
          </cell>
        </row>
        <row r="1424">
          <cell r="O1424">
            <v>388</v>
          </cell>
          <cell r="Q1424">
            <v>1222169.33</v>
          </cell>
        </row>
        <row r="1426">
          <cell r="O1426">
            <v>511.1</v>
          </cell>
          <cell r="P1426">
            <v>410526.8</v>
          </cell>
        </row>
        <row r="1427">
          <cell r="O1427">
            <v>513.1</v>
          </cell>
          <cell r="P1427">
            <v>298679.28999999998</v>
          </cell>
        </row>
        <row r="1428">
          <cell r="O1428">
            <v>514.02</v>
          </cell>
          <cell r="P1428">
            <v>275647.32</v>
          </cell>
        </row>
        <row r="1429">
          <cell r="O1429">
            <v>388</v>
          </cell>
          <cell r="Q1429">
            <v>984853.41</v>
          </cell>
        </row>
      </sheetData>
      <sheetData sheetId="9" refreshError="1">
        <row r="6576">
          <cell r="G6576">
            <v>161</v>
          </cell>
        </row>
        <row r="6577">
          <cell r="G6577">
            <v>102.02</v>
          </cell>
        </row>
        <row r="6579">
          <cell r="G6579">
            <v>541.1</v>
          </cell>
        </row>
        <row r="6580">
          <cell r="G6580">
            <v>541.38</v>
          </cell>
        </row>
        <row r="6581">
          <cell r="G6581">
            <v>541.46</v>
          </cell>
        </row>
        <row r="6582">
          <cell r="G6582">
            <v>541.09</v>
          </cell>
        </row>
        <row r="6583">
          <cell r="G6583">
            <v>541.09</v>
          </cell>
        </row>
        <row r="6584">
          <cell r="G6584">
            <v>541.38</v>
          </cell>
        </row>
        <row r="6585">
          <cell r="G6585">
            <v>541.26</v>
          </cell>
        </row>
        <row r="6586">
          <cell r="G6586">
            <v>541.52</v>
          </cell>
        </row>
        <row r="6587">
          <cell r="G6587">
            <v>541.32000000000005</v>
          </cell>
        </row>
        <row r="6588">
          <cell r="G6588">
            <v>541.25</v>
          </cell>
        </row>
        <row r="6589">
          <cell r="G6589">
            <v>541.17999999999995</v>
          </cell>
        </row>
        <row r="6590">
          <cell r="G6590">
            <v>154</v>
          </cell>
        </row>
        <row r="6591">
          <cell r="G6591">
            <v>525.17999999999995</v>
          </cell>
        </row>
        <row r="6592">
          <cell r="G6592">
            <v>525.17999999999995</v>
          </cell>
        </row>
        <row r="6593">
          <cell r="G6593">
            <v>525.44000000000005</v>
          </cell>
        </row>
        <row r="6594">
          <cell r="G6594">
            <v>525.17999999999995</v>
          </cell>
        </row>
        <row r="6595">
          <cell r="G6595">
            <v>525.25</v>
          </cell>
        </row>
        <row r="6596">
          <cell r="G6596">
            <v>521.01</v>
          </cell>
        </row>
        <row r="6597">
          <cell r="G6597">
            <v>511.07</v>
          </cell>
        </row>
        <row r="6598">
          <cell r="G6598">
            <v>161</v>
          </cell>
        </row>
        <row r="6599">
          <cell r="G6599">
            <v>102.02</v>
          </cell>
        </row>
        <row r="6602">
          <cell r="G6602">
            <v>402</v>
          </cell>
        </row>
        <row r="6603">
          <cell r="G6603">
            <v>102.02</v>
          </cell>
        </row>
        <row r="6605">
          <cell r="G6605">
            <v>163</v>
          </cell>
        </row>
        <row r="6606">
          <cell r="G6606">
            <v>102.06</v>
          </cell>
        </row>
        <row r="6612">
          <cell r="G6612">
            <v>301</v>
          </cell>
        </row>
        <row r="6613">
          <cell r="G6613">
            <v>374</v>
          </cell>
        </row>
        <row r="6614">
          <cell r="G6614">
            <v>102.06</v>
          </cell>
        </row>
        <row r="6616">
          <cell r="G6616">
            <v>513.03</v>
          </cell>
        </row>
        <row r="6617">
          <cell r="G6617">
            <v>304</v>
          </cell>
        </row>
        <row r="6618">
          <cell r="G6618">
            <v>102.04</v>
          </cell>
        </row>
        <row r="6620">
          <cell r="G6620">
            <v>525.14</v>
          </cell>
        </row>
        <row r="6621">
          <cell r="G6621">
            <v>102.02</v>
          </cell>
        </row>
        <row r="6623">
          <cell r="G6623">
            <v>154</v>
          </cell>
        </row>
        <row r="6624">
          <cell r="G6624">
            <v>161</v>
          </cell>
        </row>
        <row r="6625">
          <cell r="G6625">
            <v>541.24</v>
          </cell>
        </row>
        <row r="6626">
          <cell r="G6626">
            <v>102.02</v>
          </cell>
        </row>
        <row r="6636">
          <cell r="G6636">
            <v>154</v>
          </cell>
        </row>
        <row r="6637">
          <cell r="G6637">
            <v>161</v>
          </cell>
        </row>
        <row r="6638">
          <cell r="G6638">
            <v>541.24</v>
          </cell>
        </row>
        <row r="6639">
          <cell r="G6639">
            <v>102.02</v>
          </cell>
        </row>
        <row r="6648">
          <cell r="G6648">
            <v>301</v>
          </cell>
        </row>
        <row r="6649">
          <cell r="G6649">
            <v>374</v>
          </cell>
        </row>
        <row r="6650">
          <cell r="G6650">
            <v>102.06</v>
          </cell>
        </row>
        <row r="6652">
          <cell r="G6652">
            <v>541.04</v>
          </cell>
        </row>
        <row r="6653">
          <cell r="G6653">
            <v>341.02</v>
          </cell>
        </row>
        <row r="6654">
          <cell r="G6654">
            <v>102.02</v>
          </cell>
        </row>
        <row r="6656">
          <cell r="G6656">
            <v>341.06</v>
          </cell>
        </row>
        <row r="6657">
          <cell r="G6657">
            <v>102.02</v>
          </cell>
        </row>
        <row r="6659">
          <cell r="G6659">
            <v>373</v>
          </cell>
        </row>
        <row r="6660">
          <cell r="G6660">
            <v>102.02</v>
          </cell>
        </row>
        <row r="6662">
          <cell r="G6662">
            <v>541.04</v>
          </cell>
        </row>
        <row r="6663">
          <cell r="G6663">
            <v>541.04</v>
          </cell>
        </row>
        <row r="6664">
          <cell r="G6664">
            <v>102.02</v>
          </cell>
        </row>
        <row r="6666">
          <cell r="G6666">
            <v>154</v>
          </cell>
        </row>
        <row r="6667">
          <cell r="G6667">
            <v>511.07</v>
          </cell>
        </row>
        <row r="6668">
          <cell r="G6668">
            <v>514.04</v>
          </cell>
        </row>
        <row r="6669">
          <cell r="G6669">
            <v>525.25</v>
          </cell>
        </row>
        <row r="6670">
          <cell r="G6670">
            <v>525.17999999999995</v>
          </cell>
        </row>
        <row r="6671">
          <cell r="G6671">
            <v>525.44000000000005</v>
          </cell>
        </row>
        <row r="6672">
          <cell r="G6672">
            <v>525.42999999999995</v>
          </cell>
        </row>
        <row r="6673">
          <cell r="G6673">
            <v>525.4</v>
          </cell>
        </row>
        <row r="6674">
          <cell r="G6674">
            <v>525.25</v>
          </cell>
        </row>
        <row r="6675">
          <cell r="G6675">
            <v>525.1</v>
          </cell>
        </row>
        <row r="6676">
          <cell r="G6676">
            <v>525.38</v>
          </cell>
        </row>
        <row r="6677">
          <cell r="G6677">
            <v>525.26</v>
          </cell>
        </row>
        <row r="6678">
          <cell r="G6678">
            <v>102.02</v>
          </cell>
        </row>
        <row r="6680">
          <cell r="G6680">
            <v>163</v>
          </cell>
        </row>
        <row r="6681">
          <cell r="G6681">
            <v>102.06</v>
          </cell>
        </row>
        <row r="6683">
          <cell r="G6683">
            <v>301</v>
          </cell>
        </row>
        <row r="6684">
          <cell r="G6684">
            <v>374</v>
          </cell>
        </row>
        <row r="6685">
          <cell r="G6685">
            <v>102.06</v>
          </cell>
        </row>
        <row r="6691">
          <cell r="G6691">
            <v>301</v>
          </cell>
        </row>
        <row r="6692">
          <cell r="G6692">
            <v>154</v>
          </cell>
        </row>
        <row r="6693">
          <cell r="G6693">
            <v>236.01</v>
          </cell>
        </row>
        <row r="6694">
          <cell r="G6694">
            <v>374</v>
          </cell>
        </row>
        <row r="6695">
          <cell r="G6695">
            <v>102.06</v>
          </cell>
        </row>
        <row r="6704">
          <cell r="G6704">
            <v>511.07</v>
          </cell>
        </row>
        <row r="6705">
          <cell r="G6705">
            <v>301</v>
          </cell>
        </row>
        <row r="6706">
          <cell r="G6706">
            <v>374</v>
          </cell>
        </row>
        <row r="6707">
          <cell r="G6707">
            <v>102.06</v>
          </cell>
        </row>
        <row r="6711">
          <cell r="G6711">
            <v>513.07000000000005</v>
          </cell>
        </row>
        <row r="6712">
          <cell r="G6712">
            <v>174.01</v>
          </cell>
        </row>
        <row r="6713">
          <cell r="G6713">
            <v>304</v>
          </cell>
        </row>
        <row r="6714">
          <cell r="G6714">
            <v>374</v>
          </cell>
        </row>
        <row r="6715">
          <cell r="G6715">
            <v>102.02</v>
          </cell>
        </row>
        <row r="6717">
          <cell r="G6717">
            <v>513.07000000000005</v>
          </cell>
        </row>
        <row r="6718">
          <cell r="G6718">
            <v>304</v>
          </cell>
        </row>
        <row r="6719">
          <cell r="G6719">
            <v>374</v>
          </cell>
        </row>
        <row r="6720">
          <cell r="G6720">
            <v>102.02</v>
          </cell>
        </row>
        <row r="6722">
          <cell r="G6722">
            <v>513.07000000000005</v>
          </cell>
        </row>
        <row r="6723">
          <cell r="G6723">
            <v>174.01</v>
          </cell>
        </row>
        <row r="6724">
          <cell r="G6724">
            <v>304</v>
          </cell>
        </row>
        <row r="6725">
          <cell r="G6725">
            <v>374</v>
          </cell>
        </row>
        <row r="6726">
          <cell r="G6726">
            <v>102.02</v>
          </cell>
        </row>
        <row r="6728">
          <cell r="G6728">
            <v>154</v>
          </cell>
        </row>
        <row r="6729">
          <cell r="G6729">
            <v>541.24</v>
          </cell>
        </row>
        <row r="6730">
          <cell r="G6730">
            <v>541.25</v>
          </cell>
        </row>
        <row r="6731">
          <cell r="G6731">
            <v>541.38</v>
          </cell>
        </row>
        <row r="6732">
          <cell r="G6732">
            <v>541.17999999999995</v>
          </cell>
        </row>
        <row r="6733">
          <cell r="G6733">
            <v>541.25</v>
          </cell>
        </row>
        <row r="6734">
          <cell r="G6734">
            <v>541.25</v>
          </cell>
        </row>
        <row r="6735">
          <cell r="G6735">
            <v>541.33000000000004</v>
          </cell>
        </row>
        <row r="6736">
          <cell r="G6736">
            <v>541.33000000000004</v>
          </cell>
        </row>
        <row r="6737">
          <cell r="G6737">
            <v>541.33000000000004</v>
          </cell>
        </row>
        <row r="6738">
          <cell r="G6738">
            <v>541.17999999999995</v>
          </cell>
        </row>
        <row r="6739">
          <cell r="G6739">
            <v>541.42999999999995</v>
          </cell>
        </row>
        <row r="6740">
          <cell r="G6740">
            <v>541.42999999999995</v>
          </cell>
        </row>
        <row r="6741">
          <cell r="G6741">
            <v>541.16</v>
          </cell>
        </row>
        <row r="6742">
          <cell r="G6742">
            <v>541.49</v>
          </cell>
        </row>
        <row r="6743">
          <cell r="G6743">
            <v>541.25</v>
          </cell>
        </row>
        <row r="6744">
          <cell r="G6744">
            <v>541.52</v>
          </cell>
        </row>
        <row r="6745">
          <cell r="G6745">
            <v>541.33000000000004</v>
          </cell>
        </row>
        <row r="6746">
          <cell r="G6746">
            <v>541.17999999999995</v>
          </cell>
        </row>
        <row r="6747">
          <cell r="G6747">
            <v>541.33000000000004</v>
          </cell>
        </row>
        <row r="6748">
          <cell r="G6748">
            <v>541.17999999999995</v>
          </cell>
        </row>
        <row r="6749">
          <cell r="G6749">
            <v>541.25</v>
          </cell>
        </row>
        <row r="6750">
          <cell r="G6750">
            <v>525.25</v>
          </cell>
        </row>
        <row r="6751">
          <cell r="G6751">
            <v>163</v>
          </cell>
        </row>
        <row r="6752">
          <cell r="G6752">
            <v>542.25</v>
          </cell>
        </row>
        <row r="6753">
          <cell r="G6753">
            <v>102.02</v>
          </cell>
        </row>
        <row r="6755">
          <cell r="G6755">
            <v>512.07000000000005</v>
          </cell>
        </row>
        <row r="6756">
          <cell r="G6756">
            <v>512.02</v>
          </cell>
        </row>
        <row r="6757">
          <cell r="G6757">
            <v>165</v>
          </cell>
        </row>
        <row r="6758">
          <cell r="G6758">
            <v>174.01</v>
          </cell>
        </row>
        <row r="6759">
          <cell r="G6759">
            <v>102.02</v>
          </cell>
        </row>
        <row r="6763">
          <cell r="G6763">
            <v>154</v>
          </cell>
        </row>
        <row r="6764">
          <cell r="G6764">
            <v>511.07</v>
          </cell>
        </row>
        <row r="6765">
          <cell r="G6765">
            <v>514.04</v>
          </cell>
        </row>
        <row r="6766">
          <cell r="G6766">
            <v>512.07000000000005</v>
          </cell>
        </row>
        <row r="6767">
          <cell r="G6767">
            <v>525.44000000000005</v>
          </cell>
        </row>
        <row r="6768">
          <cell r="G6768">
            <v>525.41999999999996</v>
          </cell>
        </row>
        <row r="6769">
          <cell r="G6769">
            <v>525.4</v>
          </cell>
        </row>
        <row r="6770">
          <cell r="G6770">
            <v>525.17999999999995</v>
          </cell>
        </row>
        <row r="6771">
          <cell r="G6771">
            <v>525.38</v>
          </cell>
        </row>
        <row r="6772">
          <cell r="G6772">
            <v>525.42999999999995</v>
          </cell>
        </row>
        <row r="6773">
          <cell r="G6773">
            <v>525.24</v>
          </cell>
        </row>
        <row r="6774">
          <cell r="G6774">
            <v>525.25</v>
          </cell>
        </row>
        <row r="6775">
          <cell r="G6775">
            <v>525.26</v>
          </cell>
        </row>
        <row r="6776">
          <cell r="G6776">
            <v>525.29</v>
          </cell>
        </row>
        <row r="6777">
          <cell r="G6777">
            <v>102.02</v>
          </cell>
        </row>
        <row r="6779">
          <cell r="G6779">
            <v>525.20000000000005</v>
          </cell>
        </row>
        <row r="6780">
          <cell r="G6780">
            <v>525.23</v>
          </cell>
        </row>
        <row r="6781">
          <cell r="G6781">
            <v>102.02</v>
          </cell>
        </row>
        <row r="6783">
          <cell r="G6783">
            <v>154</v>
          </cell>
        </row>
        <row r="6784">
          <cell r="G6784">
            <v>511.07</v>
          </cell>
        </row>
        <row r="6785">
          <cell r="G6785">
            <v>514.04</v>
          </cell>
        </row>
        <row r="6786">
          <cell r="G6786">
            <v>525.17999999999995</v>
          </cell>
        </row>
        <row r="6787">
          <cell r="G6787">
            <v>525.4</v>
          </cell>
        </row>
        <row r="6788">
          <cell r="G6788">
            <v>525.24</v>
          </cell>
        </row>
        <row r="6789">
          <cell r="G6789">
            <v>525.44000000000005</v>
          </cell>
        </row>
        <row r="6790">
          <cell r="G6790">
            <v>525.45000000000005</v>
          </cell>
        </row>
        <row r="6791">
          <cell r="G6791">
            <v>525.23</v>
          </cell>
        </row>
        <row r="6792">
          <cell r="G6792">
            <v>525.52</v>
          </cell>
        </row>
        <row r="6793">
          <cell r="G6793">
            <v>525.26</v>
          </cell>
        </row>
        <row r="6794">
          <cell r="G6794">
            <v>102.02</v>
          </cell>
        </row>
        <row r="6796">
          <cell r="G6796">
            <v>541.85</v>
          </cell>
        </row>
        <row r="6797">
          <cell r="G6797">
            <v>102.02</v>
          </cell>
        </row>
        <row r="6799">
          <cell r="G6799">
            <v>525.32000000000005</v>
          </cell>
        </row>
        <row r="6800">
          <cell r="G6800">
            <v>525.4</v>
          </cell>
        </row>
        <row r="6801">
          <cell r="G6801">
            <v>543.44000000000005</v>
          </cell>
        </row>
        <row r="6802">
          <cell r="G6802">
            <v>154</v>
          </cell>
        </row>
        <row r="6803">
          <cell r="G6803">
            <v>541.44000000000005</v>
          </cell>
        </row>
        <row r="6804">
          <cell r="G6804">
            <v>541.17999999999995</v>
          </cell>
        </row>
        <row r="6805">
          <cell r="G6805">
            <v>541.38</v>
          </cell>
        </row>
        <row r="6806">
          <cell r="G6806">
            <v>541.4</v>
          </cell>
        </row>
        <row r="6807">
          <cell r="G6807">
            <v>541.23</v>
          </cell>
        </row>
        <row r="6808">
          <cell r="G6808">
            <v>541.24</v>
          </cell>
        </row>
        <row r="6809">
          <cell r="G6809">
            <v>541.32000000000005</v>
          </cell>
        </row>
        <row r="6810">
          <cell r="G6810">
            <v>541.37</v>
          </cell>
        </row>
        <row r="6811">
          <cell r="G6811">
            <v>102.02</v>
          </cell>
        </row>
        <row r="6814">
          <cell r="G6814">
            <v>301</v>
          </cell>
        </row>
        <row r="6815">
          <cell r="G6815">
            <v>163</v>
          </cell>
        </row>
        <row r="6816">
          <cell r="G6816">
            <v>374</v>
          </cell>
        </row>
        <row r="6817">
          <cell r="G6817">
            <v>102.06</v>
          </cell>
        </row>
        <row r="6819">
          <cell r="G6819">
            <v>513.03</v>
          </cell>
        </row>
        <row r="6820">
          <cell r="G6820">
            <v>304</v>
          </cell>
        </row>
        <row r="6821">
          <cell r="G6821">
            <v>102.02</v>
          </cell>
        </row>
        <row r="6828">
          <cell r="G6828">
            <v>301</v>
          </cell>
        </row>
        <row r="6829">
          <cell r="G6829">
            <v>302</v>
          </cell>
        </row>
        <row r="6830">
          <cell r="G6830">
            <v>374</v>
          </cell>
        </row>
        <row r="6831">
          <cell r="G6831">
            <v>102.06</v>
          </cell>
        </row>
        <row r="6833">
          <cell r="G6833">
            <v>374</v>
          </cell>
        </row>
        <row r="6834">
          <cell r="G6834">
            <v>102.02</v>
          </cell>
        </row>
        <row r="6836">
          <cell r="G6836">
            <v>302</v>
          </cell>
        </row>
        <row r="6837">
          <cell r="G6837">
            <v>174.01</v>
          </cell>
        </row>
        <row r="6838">
          <cell r="G6838">
            <v>165</v>
          </cell>
        </row>
        <row r="6839">
          <cell r="G6839">
            <v>304</v>
          </cell>
        </row>
        <row r="6840">
          <cell r="G6840">
            <v>374</v>
          </cell>
        </row>
        <row r="6841">
          <cell r="G6841">
            <v>102.06</v>
          </cell>
        </row>
        <row r="6842">
          <cell r="G6842">
            <v>513.07000000000005</v>
          </cell>
        </row>
        <row r="6844">
          <cell r="G6844">
            <v>154</v>
          </cell>
        </row>
        <row r="6845">
          <cell r="G6845">
            <v>541.15</v>
          </cell>
        </row>
        <row r="6846">
          <cell r="G6846">
            <v>541.17999999999995</v>
          </cell>
        </row>
        <row r="6847">
          <cell r="G6847">
            <v>541.38</v>
          </cell>
        </row>
        <row r="6848">
          <cell r="G6848">
            <v>541.4</v>
          </cell>
        </row>
        <row r="6849">
          <cell r="G6849">
            <v>541.44000000000005</v>
          </cell>
        </row>
        <row r="6850">
          <cell r="G6850">
            <v>525.25</v>
          </cell>
        </row>
        <row r="6851">
          <cell r="G6851">
            <v>525.28</v>
          </cell>
        </row>
        <row r="6852">
          <cell r="G6852">
            <v>525.17999999999995</v>
          </cell>
        </row>
        <row r="6853">
          <cell r="G6853">
            <v>525.42999999999995</v>
          </cell>
        </row>
        <row r="6854">
          <cell r="G6854">
            <v>525.17999999999995</v>
          </cell>
        </row>
        <row r="6855">
          <cell r="G6855">
            <v>542.25</v>
          </cell>
        </row>
        <row r="6856">
          <cell r="G6856">
            <v>304</v>
          </cell>
        </row>
        <row r="6857">
          <cell r="G6857">
            <v>161</v>
          </cell>
        </row>
        <row r="6858">
          <cell r="G6858">
            <v>102.02</v>
          </cell>
        </row>
        <row r="6860">
          <cell r="G6860">
            <v>154</v>
          </cell>
        </row>
        <row r="6861">
          <cell r="G6861">
            <v>511.07</v>
          </cell>
        </row>
        <row r="6862">
          <cell r="G6862">
            <v>514.04</v>
          </cell>
        </row>
        <row r="6863">
          <cell r="G6863">
            <v>525.1</v>
          </cell>
        </row>
        <row r="6864">
          <cell r="G6864">
            <v>525.17999999999995</v>
          </cell>
        </row>
        <row r="6865">
          <cell r="G6865">
            <v>525.23</v>
          </cell>
        </row>
        <row r="6866">
          <cell r="G6866">
            <v>525.24</v>
          </cell>
        </row>
        <row r="6867">
          <cell r="G6867">
            <v>525.25</v>
          </cell>
        </row>
        <row r="6868">
          <cell r="G6868">
            <v>525.26</v>
          </cell>
        </row>
        <row r="6869">
          <cell r="G6869">
            <v>525.38</v>
          </cell>
        </row>
        <row r="6870">
          <cell r="G6870">
            <v>525.4</v>
          </cell>
        </row>
        <row r="6871">
          <cell r="G6871">
            <v>525.44000000000005</v>
          </cell>
        </row>
        <row r="6872">
          <cell r="G6872">
            <v>165</v>
          </cell>
        </row>
        <row r="6873">
          <cell r="G6873">
            <v>512.07000000000005</v>
          </cell>
        </row>
        <row r="6874">
          <cell r="G6874">
            <v>514.04999999999995</v>
          </cell>
        </row>
        <row r="6875">
          <cell r="G6875">
            <v>512.07000000000005</v>
          </cell>
        </row>
        <row r="6876">
          <cell r="G6876">
            <v>514.04999999999995</v>
          </cell>
        </row>
        <row r="6877">
          <cell r="G6877">
            <v>514.04999999999995</v>
          </cell>
        </row>
        <row r="6878">
          <cell r="G6878">
            <v>102.02</v>
          </cell>
        </row>
        <row r="6880">
          <cell r="G6880">
            <v>154</v>
          </cell>
        </row>
        <row r="6881">
          <cell r="G6881">
            <v>511.07</v>
          </cell>
        </row>
        <row r="6882">
          <cell r="G6882">
            <v>374</v>
          </cell>
        </row>
        <row r="6883">
          <cell r="G6883">
            <v>102.06</v>
          </cell>
        </row>
        <row r="6885">
          <cell r="G6885">
            <v>154</v>
          </cell>
        </row>
        <row r="6886">
          <cell r="G6886">
            <v>541.25</v>
          </cell>
        </row>
        <row r="6887">
          <cell r="G6887">
            <v>541.16999999999996</v>
          </cell>
        </row>
        <row r="6888">
          <cell r="G6888">
            <v>102.02</v>
          </cell>
        </row>
        <row r="6890">
          <cell r="G6890">
            <v>541.01</v>
          </cell>
        </row>
        <row r="6891">
          <cell r="G6891">
            <v>161</v>
          </cell>
        </row>
        <row r="6892">
          <cell r="G6892">
            <v>341.02</v>
          </cell>
        </row>
        <row r="6893">
          <cell r="G6893">
            <v>341.06</v>
          </cell>
        </row>
        <row r="6894">
          <cell r="G6894">
            <v>373</v>
          </cell>
        </row>
        <row r="6895">
          <cell r="G6895">
            <v>102.02</v>
          </cell>
        </row>
        <row r="6906">
          <cell r="G6906">
            <v>521.01</v>
          </cell>
        </row>
        <row r="6907">
          <cell r="G6907">
            <v>541.01</v>
          </cell>
        </row>
        <row r="6908">
          <cell r="G6908">
            <v>543.01</v>
          </cell>
        </row>
        <row r="6909">
          <cell r="G6909">
            <v>544.01</v>
          </cell>
        </row>
        <row r="6910">
          <cell r="G6910">
            <v>161</v>
          </cell>
        </row>
        <row r="6911">
          <cell r="G6911">
            <v>341.02</v>
          </cell>
        </row>
        <row r="6912">
          <cell r="G6912">
            <v>341.06</v>
          </cell>
        </row>
        <row r="6913">
          <cell r="G6913">
            <v>373</v>
          </cell>
        </row>
        <row r="6914">
          <cell r="G6914">
            <v>102.02</v>
          </cell>
        </row>
        <row r="6916">
          <cell r="G6916">
            <v>512.02</v>
          </cell>
        </row>
        <row r="6917">
          <cell r="G6917">
            <v>512.07000000000005</v>
          </cell>
        </row>
        <row r="6918">
          <cell r="G6918">
            <v>521.01</v>
          </cell>
        </row>
        <row r="6919">
          <cell r="G6919">
            <v>341.02</v>
          </cell>
        </row>
        <row r="6920">
          <cell r="G6920">
            <v>373</v>
          </cell>
        </row>
        <row r="6921">
          <cell r="G6921">
            <v>102.02</v>
          </cell>
        </row>
        <row r="6923">
          <cell r="G6923">
            <v>512.03</v>
          </cell>
        </row>
        <row r="6924">
          <cell r="G6924">
            <v>341.02</v>
          </cell>
        </row>
        <row r="6925">
          <cell r="G6925">
            <v>373</v>
          </cell>
        </row>
        <row r="6926">
          <cell r="G6926">
            <v>102.02</v>
          </cell>
        </row>
        <row r="6928">
          <cell r="G6928">
            <v>402</v>
          </cell>
        </row>
        <row r="6929">
          <cell r="G6929">
            <v>102.02</v>
          </cell>
        </row>
        <row r="6931">
          <cell r="G6931">
            <v>154</v>
          </cell>
        </row>
        <row r="6932">
          <cell r="G6932">
            <v>525.45000000000005</v>
          </cell>
        </row>
        <row r="6933">
          <cell r="G6933">
            <v>374</v>
          </cell>
        </row>
        <row r="6934">
          <cell r="G6934">
            <v>102.06</v>
          </cell>
        </row>
        <row r="6936">
          <cell r="G6936">
            <v>301</v>
          </cell>
        </row>
        <row r="6937">
          <cell r="G6937">
            <v>102.06</v>
          </cell>
        </row>
        <row r="6939">
          <cell r="G6939">
            <v>301</v>
          </cell>
        </row>
        <row r="6940">
          <cell r="G6940">
            <v>163</v>
          </cell>
        </row>
        <row r="6941">
          <cell r="G6941">
            <v>374</v>
          </cell>
        </row>
        <row r="6942">
          <cell r="G6942">
            <v>102.06</v>
          </cell>
        </row>
        <row r="6944">
          <cell r="G6944">
            <v>512.02</v>
          </cell>
        </row>
        <row r="6945">
          <cell r="G6945">
            <v>512.07000000000005</v>
          </cell>
        </row>
        <row r="6946">
          <cell r="G6946">
            <v>165</v>
          </cell>
        </row>
        <row r="6947">
          <cell r="G6947">
            <v>102.02</v>
          </cell>
        </row>
        <row r="6954">
          <cell r="G6954">
            <v>513.07000000000005</v>
          </cell>
        </row>
        <row r="6955">
          <cell r="G6955">
            <v>304</v>
          </cell>
        </row>
        <row r="6956">
          <cell r="G6956">
            <v>374</v>
          </cell>
        </row>
        <row r="6957">
          <cell r="G6957">
            <v>102.02</v>
          </cell>
        </row>
        <row r="6959">
          <cell r="G6959">
            <v>165</v>
          </cell>
        </row>
        <row r="6960">
          <cell r="G6960">
            <v>102.02</v>
          </cell>
        </row>
        <row r="6963">
          <cell r="G6963">
            <v>165</v>
          </cell>
        </row>
        <row r="6964">
          <cell r="G6964">
            <v>102.02</v>
          </cell>
        </row>
        <row r="6971">
          <cell r="G6971">
            <v>154</v>
          </cell>
        </row>
        <row r="6972">
          <cell r="G6972">
            <v>513.07000000000005</v>
          </cell>
        </row>
        <row r="6973">
          <cell r="G6973">
            <v>174.01</v>
          </cell>
        </row>
        <row r="6974">
          <cell r="G6974">
            <v>304</v>
          </cell>
        </row>
        <row r="6975">
          <cell r="G6975">
            <v>374</v>
          </cell>
        </row>
        <row r="6976">
          <cell r="G6976">
            <v>102.02</v>
          </cell>
        </row>
        <row r="6978">
          <cell r="G6978">
            <v>513.07000000000005</v>
          </cell>
        </row>
        <row r="6979">
          <cell r="G6979">
            <v>304</v>
          </cell>
        </row>
        <row r="6980">
          <cell r="G6980">
            <v>374</v>
          </cell>
        </row>
        <row r="6981">
          <cell r="G6981">
            <v>102.02</v>
          </cell>
        </row>
        <row r="6983">
          <cell r="G6983">
            <v>165</v>
          </cell>
        </row>
        <row r="6984">
          <cell r="G6984">
            <v>102.06</v>
          </cell>
        </row>
        <row r="6988">
          <cell r="G6988">
            <v>154</v>
          </cell>
        </row>
        <row r="6989">
          <cell r="G6989">
            <v>513.07000000000005</v>
          </cell>
        </row>
        <row r="6990">
          <cell r="G6990">
            <v>165</v>
          </cell>
        </row>
        <row r="6991">
          <cell r="G6991">
            <v>174.01</v>
          </cell>
        </row>
        <row r="6992">
          <cell r="G6992">
            <v>304</v>
          </cell>
        </row>
        <row r="6993">
          <cell r="G6993">
            <v>374</v>
          </cell>
        </row>
        <row r="6994">
          <cell r="G6994">
            <v>102.06</v>
          </cell>
        </row>
        <row r="6996">
          <cell r="G6996">
            <v>154</v>
          </cell>
        </row>
        <row r="6997">
          <cell r="G6997">
            <v>511.03</v>
          </cell>
        </row>
        <row r="6998">
          <cell r="G6998">
            <v>512.03</v>
          </cell>
        </row>
        <row r="6999">
          <cell r="G6999">
            <v>304</v>
          </cell>
        </row>
        <row r="7000">
          <cell r="G7000">
            <v>163</v>
          </cell>
        </row>
        <row r="7001">
          <cell r="G7001">
            <v>161</v>
          </cell>
        </row>
        <row r="7002">
          <cell r="G7002">
            <v>102.02</v>
          </cell>
        </row>
        <row r="7003">
          <cell r="G7003">
            <v>525.17999999999995</v>
          </cell>
        </row>
        <row r="7004">
          <cell r="G7004">
            <v>525.23</v>
          </cell>
        </row>
        <row r="7005">
          <cell r="G7005">
            <v>525.24</v>
          </cell>
        </row>
        <row r="7006">
          <cell r="G7006">
            <v>525.28</v>
          </cell>
        </row>
        <row r="7007">
          <cell r="G7007">
            <v>525.29999999999995</v>
          </cell>
        </row>
        <row r="7008">
          <cell r="G7008">
            <v>525.33000000000004</v>
          </cell>
        </row>
        <row r="7009">
          <cell r="G7009">
            <v>525.38</v>
          </cell>
        </row>
        <row r="7010">
          <cell r="G7010">
            <v>525.4</v>
          </cell>
        </row>
        <row r="7011">
          <cell r="G7011">
            <v>525.44000000000005</v>
          </cell>
        </row>
        <row r="7013">
          <cell r="G7013">
            <v>513.03</v>
          </cell>
        </row>
        <row r="7014">
          <cell r="G7014">
            <v>304</v>
          </cell>
        </row>
        <row r="7015">
          <cell r="G7015">
            <v>102.02</v>
          </cell>
        </row>
        <row r="7026">
          <cell r="G7026">
            <v>163</v>
          </cell>
        </row>
        <row r="7027">
          <cell r="G7027">
            <v>102.06</v>
          </cell>
        </row>
        <row r="7030">
          <cell r="G7030">
            <v>302</v>
          </cell>
        </row>
        <row r="7031">
          <cell r="G7031">
            <v>374</v>
          </cell>
        </row>
        <row r="7032">
          <cell r="G7032">
            <v>102.06</v>
          </cell>
        </row>
        <row r="7034">
          <cell r="G7034">
            <v>301</v>
          </cell>
        </row>
        <row r="7035">
          <cell r="G7035">
            <v>374</v>
          </cell>
        </row>
        <row r="7036">
          <cell r="G7036">
            <v>102.06</v>
          </cell>
        </row>
        <row r="7038">
          <cell r="G7038">
            <v>154</v>
          </cell>
        </row>
        <row r="7039">
          <cell r="G7039">
            <v>511.07</v>
          </cell>
        </row>
        <row r="7040">
          <cell r="G7040">
            <v>163</v>
          </cell>
        </row>
        <row r="7041">
          <cell r="G7041">
            <v>374</v>
          </cell>
        </row>
        <row r="7042">
          <cell r="G7042">
            <v>102.06</v>
          </cell>
        </row>
        <row r="7044">
          <cell r="G7044">
            <v>302</v>
          </cell>
        </row>
        <row r="7045">
          <cell r="G7045">
            <v>165</v>
          </cell>
        </row>
        <row r="7046">
          <cell r="G7046">
            <v>304</v>
          </cell>
        </row>
        <row r="7047">
          <cell r="G7047">
            <v>374</v>
          </cell>
        </row>
        <row r="7048">
          <cell r="G7048">
            <v>102.06</v>
          </cell>
        </row>
        <row r="7050">
          <cell r="G7050">
            <v>301</v>
          </cell>
        </row>
        <row r="7051">
          <cell r="G7051">
            <v>374</v>
          </cell>
        </row>
        <row r="7052">
          <cell r="G7052">
            <v>163</v>
          </cell>
        </row>
        <row r="7053">
          <cell r="G7053">
            <v>102.06</v>
          </cell>
        </row>
        <row r="7055">
          <cell r="G7055">
            <v>154</v>
          </cell>
        </row>
        <row r="7056">
          <cell r="G7056">
            <v>541.16</v>
          </cell>
        </row>
        <row r="7057">
          <cell r="G7057">
            <v>541.42999999999995</v>
          </cell>
        </row>
        <row r="7058">
          <cell r="G7058">
            <v>541.17999999999995</v>
          </cell>
        </row>
        <row r="7059">
          <cell r="G7059">
            <v>541.25</v>
          </cell>
        </row>
        <row r="7060">
          <cell r="G7060">
            <v>541.17999999999995</v>
          </cell>
        </row>
        <row r="7061">
          <cell r="G7061">
            <v>541.38</v>
          </cell>
        </row>
        <row r="7062">
          <cell r="G7062">
            <v>541.42999999999995</v>
          </cell>
        </row>
        <row r="7063">
          <cell r="G7063">
            <v>541.46</v>
          </cell>
        </row>
        <row r="7064">
          <cell r="G7064">
            <v>541.17999999999995</v>
          </cell>
        </row>
        <row r="7065">
          <cell r="G7065">
            <v>541.26</v>
          </cell>
        </row>
        <row r="7066">
          <cell r="G7066">
            <v>541.44000000000005</v>
          </cell>
        </row>
        <row r="7067">
          <cell r="G7067">
            <v>541.4</v>
          </cell>
        </row>
        <row r="7068">
          <cell r="G7068">
            <v>541.25</v>
          </cell>
        </row>
        <row r="7069">
          <cell r="G7069">
            <v>541.17999999999995</v>
          </cell>
        </row>
        <row r="7070">
          <cell r="G7070">
            <v>521.01</v>
          </cell>
        </row>
        <row r="7071">
          <cell r="G7071">
            <v>174.01</v>
          </cell>
        </row>
        <row r="7072">
          <cell r="G7072">
            <v>543.01</v>
          </cell>
        </row>
        <row r="7073">
          <cell r="G7073">
            <v>161</v>
          </cell>
        </row>
        <row r="7074">
          <cell r="G7074">
            <v>542.25</v>
          </cell>
        </row>
        <row r="7075">
          <cell r="G7075">
            <v>542.44000000000005</v>
          </cell>
        </row>
        <row r="7076">
          <cell r="G7076">
            <v>525.42999999999995</v>
          </cell>
        </row>
        <row r="7077">
          <cell r="G7077">
            <v>525.44000000000005</v>
          </cell>
        </row>
        <row r="7078">
          <cell r="G7078">
            <v>525.25</v>
          </cell>
        </row>
        <row r="7079">
          <cell r="G7079">
            <v>525.44000000000005</v>
          </cell>
        </row>
        <row r="7080">
          <cell r="G7080">
            <v>525.39</v>
          </cell>
        </row>
        <row r="7081">
          <cell r="G7081">
            <v>525.25</v>
          </cell>
        </row>
        <row r="7082">
          <cell r="G7082">
            <v>525.25</v>
          </cell>
        </row>
        <row r="7083">
          <cell r="G7083">
            <v>102.02</v>
          </cell>
        </row>
        <row r="7085">
          <cell r="G7085">
            <v>301</v>
          </cell>
        </row>
        <row r="7086">
          <cell r="G7086">
            <v>374</v>
          </cell>
        </row>
        <row r="7087">
          <cell r="G7087">
            <v>102.06</v>
          </cell>
        </row>
        <row r="7090">
          <cell r="G7090">
            <v>541.99</v>
          </cell>
        </row>
        <row r="7091">
          <cell r="G7091">
            <v>102.02</v>
          </cell>
        </row>
        <row r="7098">
          <cell r="G7098">
            <v>402</v>
          </cell>
        </row>
        <row r="7099">
          <cell r="G7099">
            <v>102.02</v>
          </cell>
        </row>
        <row r="7102">
          <cell r="G7102">
            <v>163</v>
          </cell>
        </row>
        <row r="7103">
          <cell r="G7103">
            <v>102.02</v>
          </cell>
        </row>
        <row r="7105">
          <cell r="G7105">
            <v>154</v>
          </cell>
        </row>
        <row r="7106">
          <cell r="G7106">
            <v>511.07</v>
          </cell>
        </row>
        <row r="7107">
          <cell r="G7107">
            <v>525.1</v>
          </cell>
        </row>
        <row r="7108">
          <cell r="G7108">
            <v>525.17999999999995</v>
          </cell>
        </row>
        <row r="7109">
          <cell r="G7109">
            <v>525.25</v>
          </cell>
        </row>
        <row r="7110">
          <cell r="G7110">
            <v>525.38</v>
          </cell>
        </row>
        <row r="7111">
          <cell r="G7111">
            <v>525.4</v>
          </cell>
        </row>
        <row r="7112">
          <cell r="G7112">
            <v>525.44000000000005</v>
          </cell>
        </row>
        <row r="7113">
          <cell r="G7113">
            <v>514.04999999999995</v>
          </cell>
        </row>
        <row r="7114">
          <cell r="G7114">
            <v>514.04</v>
          </cell>
        </row>
        <row r="7115">
          <cell r="G7115">
            <v>102.02</v>
          </cell>
        </row>
        <row r="7117">
          <cell r="G7117">
            <v>154</v>
          </cell>
        </row>
        <row r="7118">
          <cell r="G7118">
            <v>511.07</v>
          </cell>
        </row>
        <row r="7119">
          <cell r="G7119">
            <v>514.04</v>
          </cell>
        </row>
        <row r="7120">
          <cell r="G7120">
            <v>525.25</v>
          </cell>
        </row>
        <row r="7121">
          <cell r="G7121">
            <v>525.44000000000005</v>
          </cell>
        </row>
        <row r="7122">
          <cell r="G7122">
            <v>525.17999999999995</v>
          </cell>
        </row>
        <row r="7123">
          <cell r="G7123">
            <v>514.04999999999995</v>
          </cell>
        </row>
        <row r="7124">
          <cell r="G7124">
            <v>102.02</v>
          </cell>
        </row>
        <row r="7127">
          <cell r="G7127">
            <v>163</v>
          </cell>
        </row>
        <row r="7128">
          <cell r="G7128">
            <v>102.02</v>
          </cell>
        </row>
        <row r="7130">
          <cell r="G7130">
            <v>163</v>
          </cell>
        </row>
        <row r="7131">
          <cell r="G7131">
            <v>102.02</v>
          </cell>
        </row>
        <row r="7133">
          <cell r="G7133">
            <v>154</v>
          </cell>
        </row>
        <row r="7134">
          <cell r="G7134">
            <v>511.07</v>
          </cell>
        </row>
        <row r="7135">
          <cell r="G7135">
            <v>374</v>
          </cell>
        </row>
        <row r="7136">
          <cell r="G7136">
            <v>102.02</v>
          </cell>
        </row>
        <row r="7140">
          <cell r="G7140">
            <v>161</v>
          </cell>
        </row>
        <row r="7141">
          <cell r="G7141">
            <v>102.02</v>
          </cell>
        </row>
        <row r="7143">
          <cell r="G7143">
            <v>591</v>
          </cell>
        </row>
        <row r="7144">
          <cell r="G7144">
            <v>102.02</v>
          </cell>
        </row>
        <row r="7152">
          <cell r="G7152">
            <v>163</v>
          </cell>
        </row>
        <row r="7153">
          <cell r="G7153">
            <v>102.02</v>
          </cell>
        </row>
        <row r="7158">
          <cell r="G7158">
            <v>163</v>
          </cell>
        </row>
        <row r="7159">
          <cell r="G7159">
            <v>102.02</v>
          </cell>
        </row>
        <row r="7161">
          <cell r="G7161">
            <v>301</v>
          </cell>
        </row>
        <row r="7162">
          <cell r="G7162">
            <v>165</v>
          </cell>
        </row>
        <row r="7163">
          <cell r="G7163">
            <v>374</v>
          </cell>
        </row>
        <row r="7164">
          <cell r="G7164">
            <v>102.02</v>
          </cell>
        </row>
        <row r="7166">
          <cell r="G7166">
            <v>301</v>
          </cell>
        </row>
        <row r="7167">
          <cell r="G7167">
            <v>374</v>
          </cell>
        </row>
        <row r="7168">
          <cell r="G7168">
            <v>102.06</v>
          </cell>
        </row>
        <row r="7170">
          <cell r="G7170">
            <v>301</v>
          </cell>
        </row>
        <row r="7171">
          <cell r="G7171">
            <v>374</v>
          </cell>
        </row>
        <row r="7172">
          <cell r="G7172">
            <v>102.02</v>
          </cell>
        </row>
        <row r="7174">
          <cell r="G7174">
            <v>302</v>
          </cell>
        </row>
        <row r="7175">
          <cell r="G7175">
            <v>165</v>
          </cell>
        </row>
        <row r="7176">
          <cell r="G7176">
            <v>304</v>
          </cell>
        </row>
        <row r="7177">
          <cell r="G7177">
            <v>374</v>
          </cell>
        </row>
        <row r="7178">
          <cell r="G7178">
            <v>102.02</v>
          </cell>
        </row>
        <row r="7184">
          <cell r="G7184">
            <v>301</v>
          </cell>
        </row>
        <row r="7185">
          <cell r="G7185">
            <v>163</v>
          </cell>
        </row>
        <row r="7186">
          <cell r="G7186">
            <v>374</v>
          </cell>
        </row>
        <row r="7187">
          <cell r="G7187">
            <v>102.02</v>
          </cell>
        </row>
        <row r="7189">
          <cell r="G7189">
            <v>302</v>
          </cell>
        </row>
        <row r="7190">
          <cell r="G7190">
            <v>165</v>
          </cell>
        </row>
        <row r="7191">
          <cell r="G7191">
            <v>174.01</v>
          </cell>
        </row>
        <row r="7192">
          <cell r="G7192">
            <v>304</v>
          </cell>
        </row>
        <row r="7193">
          <cell r="G7193">
            <v>374</v>
          </cell>
        </row>
        <row r="7194">
          <cell r="G7194">
            <v>102.02</v>
          </cell>
        </row>
        <row r="7196">
          <cell r="G7196">
            <v>165</v>
          </cell>
        </row>
        <row r="7197">
          <cell r="G7197">
            <v>301</v>
          </cell>
        </row>
        <row r="7198">
          <cell r="G7198">
            <v>102.02</v>
          </cell>
        </row>
        <row r="7202">
          <cell r="G7202">
            <v>301</v>
          </cell>
        </row>
        <row r="7203">
          <cell r="G7203">
            <v>163</v>
          </cell>
        </row>
        <row r="7204">
          <cell r="G7204">
            <v>374</v>
          </cell>
        </row>
        <row r="7205">
          <cell r="G7205">
            <v>102.02</v>
          </cell>
        </row>
        <row r="7210">
          <cell r="G7210">
            <v>512.07000000000005</v>
          </cell>
        </row>
        <row r="7211">
          <cell r="G7211">
            <v>102.02</v>
          </cell>
        </row>
        <row r="7213">
          <cell r="G7213">
            <v>301</v>
          </cell>
        </row>
        <row r="7214">
          <cell r="G7214">
            <v>374</v>
          </cell>
        </row>
        <row r="7215">
          <cell r="G7215">
            <v>102.06</v>
          </cell>
        </row>
        <row r="7218">
          <cell r="G7218">
            <v>302</v>
          </cell>
        </row>
        <row r="7219">
          <cell r="G7219">
            <v>165</v>
          </cell>
        </row>
        <row r="7220">
          <cell r="G7220">
            <v>174.01</v>
          </cell>
        </row>
        <row r="7221">
          <cell r="G7221">
            <v>304</v>
          </cell>
        </row>
        <row r="7222">
          <cell r="G7222">
            <v>374</v>
          </cell>
        </row>
        <row r="7223">
          <cell r="G7223">
            <v>102.02</v>
          </cell>
        </row>
        <row r="7225">
          <cell r="G7225">
            <v>541.52</v>
          </cell>
        </row>
        <row r="7226">
          <cell r="G7226">
            <v>102.02</v>
          </cell>
        </row>
        <row r="7233">
          <cell r="G7233">
            <v>302</v>
          </cell>
        </row>
        <row r="7234">
          <cell r="G7234">
            <v>163</v>
          </cell>
        </row>
        <row r="7235">
          <cell r="G7235">
            <v>304</v>
          </cell>
        </row>
        <row r="7236">
          <cell r="G7236">
            <v>309</v>
          </cell>
        </row>
        <row r="7237">
          <cell r="G7237">
            <v>374</v>
          </cell>
        </row>
        <row r="7238">
          <cell r="G7238">
            <v>102.02</v>
          </cell>
        </row>
        <row r="7240">
          <cell r="G7240">
            <v>309</v>
          </cell>
        </row>
        <row r="7241">
          <cell r="G7241">
            <v>102.02</v>
          </cell>
        </row>
        <row r="7247">
          <cell r="G7247">
            <v>154</v>
          </cell>
        </row>
        <row r="7248">
          <cell r="G7248">
            <v>541.25</v>
          </cell>
        </row>
        <row r="7249">
          <cell r="G7249">
            <v>511.07</v>
          </cell>
        </row>
        <row r="7250">
          <cell r="G7250">
            <v>511.03</v>
          </cell>
        </row>
        <row r="7251">
          <cell r="G7251">
            <v>525.25</v>
          </cell>
        </row>
        <row r="7252">
          <cell r="G7252">
            <v>542.25</v>
          </cell>
        </row>
        <row r="7253">
          <cell r="G7253">
            <v>374</v>
          </cell>
        </row>
        <row r="7254">
          <cell r="G7254">
            <v>102.02</v>
          </cell>
        </row>
        <row r="7256">
          <cell r="G7256">
            <v>513.07000000000005</v>
          </cell>
        </row>
        <row r="7257">
          <cell r="G7257">
            <v>304</v>
          </cell>
        </row>
        <row r="7258">
          <cell r="G7258">
            <v>374</v>
          </cell>
        </row>
        <row r="7259">
          <cell r="G7259">
            <v>102.02</v>
          </cell>
        </row>
        <row r="7265">
          <cell r="G7265">
            <v>302</v>
          </cell>
        </row>
        <row r="7266">
          <cell r="G7266">
            <v>165</v>
          </cell>
        </row>
        <row r="7267">
          <cell r="G7267">
            <v>374</v>
          </cell>
        </row>
        <row r="7268">
          <cell r="G7268">
            <v>102.02</v>
          </cell>
        </row>
        <row r="7274">
          <cell r="G7274">
            <v>512.07000000000005</v>
          </cell>
        </row>
        <row r="7275">
          <cell r="G7275">
            <v>512.02</v>
          </cell>
        </row>
        <row r="7276">
          <cell r="G7276">
            <v>512.04999999999995</v>
          </cell>
        </row>
        <row r="7277">
          <cell r="G7277">
            <v>165</v>
          </cell>
        </row>
        <row r="7278">
          <cell r="G7278">
            <v>102.02</v>
          </cell>
        </row>
        <row r="7282">
          <cell r="G7282">
            <v>512.03</v>
          </cell>
        </row>
        <row r="7283">
          <cell r="G7283">
            <v>304</v>
          </cell>
        </row>
        <row r="7284">
          <cell r="G7284">
            <v>102.02</v>
          </cell>
        </row>
        <row r="7295">
          <cell r="G7295">
            <v>154</v>
          </cell>
        </row>
        <row r="7296">
          <cell r="G7296">
            <v>161</v>
          </cell>
        </row>
        <row r="7297">
          <cell r="G7297">
            <v>541.24</v>
          </cell>
        </row>
        <row r="7298">
          <cell r="G7298">
            <v>102.02</v>
          </cell>
        </row>
        <row r="7306">
          <cell r="G7306">
            <v>161</v>
          </cell>
        </row>
        <row r="7307">
          <cell r="G7307">
            <v>102.02</v>
          </cell>
        </row>
        <row r="7309">
          <cell r="G7309">
            <v>161</v>
          </cell>
        </row>
        <row r="7310">
          <cell r="G7310">
            <v>102.02</v>
          </cell>
        </row>
        <row r="7312">
          <cell r="G7312">
            <v>301</v>
          </cell>
        </row>
        <row r="7313">
          <cell r="G7313">
            <v>374</v>
          </cell>
        </row>
        <row r="7314">
          <cell r="G7314">
            <v>102.02</v>
          </cell>
        </row>
        <row r="7318">
          <cell r="G7318">
            <v>513.07000000000005</v>
          </cell>
        </row>
        <row r="7319">
          <cell r="G7319">
            <v>304</v>
          </cell>
        </row>
        <row r="7320">
          <cell r="G7320">
            <v>374</v>
          </cell>
        </row>
        <row r="7321">
          <cell r="G7321">
            <v>102.02</v>
          </cell>
        </row>
        <row r="7323">
          <cell r="G7323">
            <v>154</v>
          </cell>
        </row>
        <row r="7324">
          <cell r="G7324">
            <v>511.07</v>
          </cell>
        </row>
        <row r="7325">
          <cell r="G7325">
            <v>514.04</v>
          </cell>
        </row>
        <row r="7326">
          <cell r="G7326">
            <v>525.25</v>
          </cell>
        </row>
        <row r="7327">
          <cell r="G7327">
            <v>165</v>
          </cell>
        </row>
        <row r="7328">
          <cell r="G7328">
            <v>525.17999999999995</v>
          </cell>
        </row>
        <row r="7329">
          <cell r="G7329">
            <v>525.23</v>
          </cell>
        </row>
        <row r="7330">
          <cell r="G7330">
            <v>525.24</v>
          </cell>
        </row>
        <row r="7331">
          <cell r="G7331">
            <v>525.25</v>
          </cell>
        </row>
        <row r="7332">
          <cell r="G7332">
            <v>525.38</v>
          </cell>
        </row>
        <row r="7333">
          <cell r="G7333">
            <v>525.4</v>
          </cell>
        </row>
        <row r="7334">
          <cell r="G7334">
            <v>525.44000000000005</v>
          </cell>
        </row>
        <row r="7335">
          <cell r="G7335">
            <v>161</v>
          </cell>
        </row>
        <row r="7336">
          <cell r="G7336">
            <v>102.02</v>
          </cell>
        </row>
        <row r="7338">
          <cell r="G7338">
            <v>161</v>
          </cell>
        </row>
        <row r="7339">
          <cell r="G7339">
            <v>102.06</v>
          </cell>
        </row>
        <row r="7344">
          <cell r="G7344">
            <v>541.16</v>
          </cell>
        </row>
        <row r="7345">
          <cell r="G7345">
            <v>163</v>
          </cell>
        </row>
        <row r="7346">
          <cell r="G7346">
            <v>102.02</v>
          </cell>
        </row>
        <row r="7349">
          <cell r="G7349">
            <v>541.16</v>
          </cell>
        </row>
        <row r="7350">
          <cell r="G7350">
            <v>102.02</v>
          </cell>
        </row>
        <row r="7352">
          <cell r="G7352">
            <v>154</v>
          </cell>
        </row>
        <row r="7353">
          <cell r="G7353">
            <v>511.07</v>
          </cell>
        </row>
        <row r="7354">
          <cell r="G7354">
            <v>163</v>
          </cell>
        </row>
        <row r="7355">
          <cell r="G7355">
            <v>374</v>
          </cell>
        </row>
        <row r="7356">
          <cell r="G7356">
            <v>102.06</v>
          </cell>
        </row>
        <row r="7358">
          <cell r="G7358">
            <v>154</v>
          </cell>
        </row>
        <row r="7359">
          <cell r="G7359">
            <v>541.23</v>
          </cell>
        </row>
        <row r="7360">
          <cell r="G7360">
            <v>102.02</v>
          </cell>
        </row>
        <row r="7362">
          <cell r="G7362">
            <v>154</v>
          </cell>
        </row>
        <row r="7363">
          <cell r="G7363">
            <v>511.07</v>
          </cell>
        </row>
        <row r="7364">
          <cell r="G7364">
            <v>541.44000000000005</v>
          </cell>
        </row>
        <row r="7365">
          <cell r="G7365">
            <v>541.17999999999995</v>
          </cell>
        </row>
        <row r="7366">
          <cell r="G7366">
            <v>541.38</v>
          </cell>
        </row>
        <row r="7367">
          <cell r="G7367">
            <v>541.4</v>
          </cell>
        </row>
        <row r="7368">
          <cell r="G7368">
            <v>541.41999999999996</v>
          </cell>
        </row>
        <row r="7369">
          <cell r="G7369">
            <v>541.29</v>
          </cell>
        </row>
        <row r="7370">
          <cell r="G7370">
            <v>541.1</v>
          </cell>
        </row>
        <row r="7371">
          <cell r="G7371">
            <v>541.28</v>
          </cell>
        </row>
        <row r="7372">
          <cell r="G7372">
            <v>541.15</v>
          </cell>
        </row>
        <row r="7373">
          <cell r="G7373">
            <v>541.26</v>
          </cell>
        </row>
        <row r="7374">
          <cell r="G7374">
            <v>525.4</v>
          </cell>
        </row>
        <row r="7375">
          <cell r="G7375">
            <v>525.4</v>
          </cell>
        </row>
        <row r="7376">
          <cell r="G7376">
            <v>525.32000000000005</v>
          </cell>
        </row>
        <row r="7377">
          <cell r="G7377">
            <v>525.17999999999995</v>
          </cell>
        </row>
        <row r="7378">
          <cell r="G7378">
            <v>525.30999999999995</v>
          </cell>
        </row>
        <row r="7379">
          <cell r="G7379">
            <v>525.17999999999995</v>
          </cell>
        </row>
        <row r="7380">
          <cell r="G7380">
            <v>525.4</v>
          </cell>
        </row>
        <row r="7381">
          <cell r="G7381">
            <v>525.44000000000005</v>
          </cell>
        </row>
        <row r="7382">
          <cell r="G7382">
            <v>543.44000000000005</v>
          </cell>
        </row>
        <row r="7383">
          <cell r="G7383">
            <v>165</v>
          </cell>
        </row>
        <row r="7384">
          <cell r="G7384">
            <v>542.25</v>
          </cell>
        </row>
        <row r="7385">
          <cell r="G7385">
            <v>543.44000000000005</v>
          </cell>
        </row>
        <row r="7386">
          <cell r="G7386">
            <v>102.02</v>
          </cell>
        </row>
        <row r="7388">
          <cell r="G7388">
            <v>513.07000000000005</v>
          </cell>
        </row>
        <row r="7389">
          <cell r="G7389">
            <v>304</v>
          </cell>
        </row>
        <row r="7390">
          <cell r="G7390">
            <v>374</v>
          </cell>
        </row>
        <row r="7391">
          <cell r="G7391">
            <v>102.02</v>
          </cell>
        </row>
        <row r="7393">
          <cell r="G7393">
            <v>163</v>
          </cell>
        </row>
        <row r="7394">
          <cell r="G7394">
            <v>102.02</v>
          </cell>
        </row>
        <row r="7396">
          <cell r="G7396">
            <v>154</v>
          </cell>
        </row>
        <row r="7397">
          <cell r="G7397">
            <v>511.07</v>
          </cell>
        </row>
        <row r="7398">
          <cell r="G7398">
            <v>374</v>
          </cell>
        </row>
        <row r="7399">
          <cell r="G7399">
            <v>102.02</v>
          </cell>
        </row>
        <row r="7401">
          <cell r="G7401">
            <v>163</v>
          </cell>
        </row>
        <row r="7402">
          <cell r="G7402">
            <v>102.02</v>
          </cell>
        </row>
        <row r="7404">
          <cell r="G7404">
            <v>163</v>
          </cell>
        </row>
        <row r="7405">
          <cell r="G7405">
            <v>102.02</v>
          </cell>
        </row>
        <row r="7408">
          <cell r="G7408">
            <v>163</v>
          </cell>
        </row>
        <row r="7409">
          <cell r="G7409">
            <v>102.02</v>
          </cell>
        </row>
        <row r="7411">
          <cell r="G7411">
            <v>302</v>
          </cell>
        </row>
        <row r="7412">
          <cell r="G7412">
            <v>165</v>
          </cell>
        </row>
        <row r="7413">
          <cell r="G7413">
            <v>174.01</v>
          </cell>
        </row>
        <row r="7414">
          <cell r="G7414">
            <v>304</v>
          </cell>
        </row>
        <row r="7415">
          <cell r="G7415">
            <v>374</v>
          </cell>
        </row>
        <row r="7416">
          <cell r="G7416">
            <v>102.02</v>
          </cell>
        </row>
        <row r="7418">
          <cell r="G7418">
            <v>541.85</v>
          </cell>
        </row>
        <row r="7419">
          <cell r="G7419">
            <v>102.02</v>
          </cell>
        </row>
        <row r="7421">
          <cell r="G7421">
            <v>302</v>
          </cell>
        </row>
        <row r="7422">
          <cell r="G7422">
            <v>304</v>
          </cell>
        </row>
        <row r="7423">
          <cell r="G7423">
            <v>165</v>
          </cell>
        </row>
        <row r="7424">
          <cell r="G7424">
            <v>374</v>
          </cell>
        </row>
        <row r="7425">
          <cell r="G7425">
            <v>102.02</v>
          </cell>
        </row>
        <row r="7427">
          <cell r="G7427">
            <v>301</v>
          </cell>
        </row>
        <row r="7428">
          <cell r="G7428">
            <v>102.02</v>
          </cell>
        </row>
        <row r="7430">
          <cell r="G7430">
            <v>512.07000000000005</v>
          </cell>
        </row>
        <row r="7431">
          <cell r="G7431">
            <v>512.04999999999995</v>
          </cell>
        </row>
        <row r="7432">
          <cell r="G7432">
            <v>102.02</v>
          </cell>
        </row>
        <row r="7433">
          <cell r="G7433">
            <v>165</v>
          </cell>
        </row>
        <row r="7435">
          <cell r="G7435">
            <v>302</v>
          </cell>
        </row>
        <row r="7436">
          <cell r="G7436">
            <v>165</v>
          </cell>
        </row>
        <row r="7437">
          <cell r="G7437">
            <v>304</v>
          </cell>
        </row>
        <row r="7438">
          <cell r="G7438">
            <v>374</v>
          </cell>
        </row>
        <row r="7439">
          <cell r="G7439">
            <v>102.02</v>
          </cell>
        </row>
        <row r="7441">
          <cell r="G7441">
            <v>301</v>
          </cell>
        </row>
        <row r="7442">
          <cell r="G7442">
            <v>374</v>
          </cell>
        </row>
        <row r="7443">
          <cell r="G7443">
            <v>102.02</v>
          </cell>
        </row>
        <row r="7445">
          <cell r="G7445">
            <v>301</v>
          </cell>
        </row>
        <row r="7446">
          <cell r="G7446">
            <v>374</v>
          </cell>
        </row>
        <row r="7447">
          <cell r="G7447">
            <v>102.02</v>
          </cell>
        </row>
        <row r="7451">
          <cell r="G7451">
            <v>165</v>
          </cell>
        </row>
        <row r="7452">
          <cell r="G7452">
            <v>374</v>
          </cell>
        </row>
        <row r="7453">
          <cell r="G7453">
            <v>102.02</v>
          </cell>
        </row>
        <row r="7455">
          <cell r="G7455">
            <v>541.01</v>
          </cell>
        </row>
        <row r="7456">
          <cell r="G7456">
            <v>161</v>
          </cell>
        </row>
        <row r="7457">
          <cell r="G7457">
            <v>341.02</v>
          </cell>
        </row>
        <row r="7458">
          <cell r="G7458">
            <v>341.04</v>
          </cell>
        </row>
        <row r="7459">
          <cell r="G7459">
            <v>341.06</v>
          </cell>
        </row>
        <row r="7460">
          <cell r="G7460">
            <v>373</v>
          </cell>
        </row>
        <row r="7461">
          <cell r="G7461">
            <v>102.02</v>
          </cell>
        </row>
        <row r="7463">
          <cell r="G7463">
            <v>521.01</v>
          </cell>
        </row>
        <row r="7464">
          <cell r="G7464">
            <v>541.01</v>
          </cell>
        </row>
        <row r="7465">
          <cell r="G7465">
            <v>543.01</v>
          </cell>
        </row>
        <row r="7466">
          <cell r="G7466">
            <v>544.01</v>
          </cell>
        </row>
        <row r="7467">
          <cell r="G7467">
            <v>161</v>
          </cell>
        </row>
        <row r="7468">
          <cell r="G7468">
            <v>341.02</v>
          </cell>
        </row>
        <row r="7469">
          <cell r="G7469">
            <v>341.04</v>
          </cell>
        </row>
        <row r="7470">
          <cell r="G7470">
            <v>341.06</v>
          </cell>
        </row>
        <row r="7471">
          <cell r="G7471">
            <v>373</v>
          </cell>
        </row>
        <row r="7472">
          <cell r="G7472">
            <v>525.24</v>
          </cell>
        </row>
        <row r="7473">
          <cell r="G7473">
            <v>102.02</v>
          </cell>
        </row>
        <row r="7475">
          <cell r="G7475">
            <v>512.07000000000005</v>
          </cell>
        </row>
        <row r="7476">
          <cell r="G7476">
            <v>521.01</v>
          </cell>
        </row>
        <row r="7477">
          <cell r="G7477">
            <v>341.02</v>
          </cell>
        </row>
        <row r="7478">
          <cell r="G7478">
            <v>341.04</v>
          </cell>
        </row>
        <row r="7479">
          <cell r="G7479">
            <v>373</v>
          </cell>
        </row>
        <row r="7480">
          <cell r="G7480">
            <v>102.02</v>
          </cell>
        </row>
        <row r="7482">
          <cell r="G7482">
            <v>512.03</v>
          </cell>
        </row>
        <row r="7483">
          <cell r="G7483">
            <v>341.02</v>
          </cell>
        </row>
        <row r="7484">
          <cell r="G7484">
            <v>161</v>
          </cell>
        </row>
        <row r="7485">
          <cell r="G7485">
            <v>102.02</v>
          </cell>
        </row>
        <row r="7489">
          <cell r="G7489">
            <v>161</v>
          </cell>
        </row>
        <row r="7490">
          <cell r="G7490">
            <v>102.02</v>
          </cell>
        </row>
        <row r="7493">
          <cell r="G7493">
            <v>541.52</v>
          </cell>
        </row>
        <row r="7494">
          <cell r="G7494">
            <v>102.04</v>
          </cell>
        </row>
        <row r="7496">
          <cell r="G7496">
            <v>513.03</v>
          </cell>
        </row>
        <row r="7497">
          <cell r="G7497">
            <v>304</v>
          </cell>
        </row>
        <row r="7498">
          <cell r="G7498">
            <v>102.02</v>
          </cell>
        </row>
        <row r="7509">
          <cell r="G7509">
            <v>154</v>
          </cell>
        </row>
        <row r="7510">
          <cell r="G7510">
            <v>511.07</v>
          </cell>
        </row>
        <row r="7511">
          <cell r="G7511">
            <v>514.04</v>
          </cell>
        </row>
        <row r="7512">
          <cell r="G7512">
            <v>150</v>
          </cell>
        </row>
        <row r="7513">
          <cell r="G7513">
            <v>514.02</v>
          </cell>
        </row>
        <row r="7514">
          <cell r="G7514">
            <v>525.1</v>
          </cell>
        </row>
        <row r="7515">
          <cell r="G7515">
            <v>525.17999999999995</v>
          </cell>
        </row>
        <row r="7516">
          <cell r="G7516">
            <v>525.24</v>
          </cell>
        </row>
        <row r="7517">
          <cell r="G7517">
            <v>525.25</v>
          </cell>
        </row>
        <row r="7518">
          <cell r="G7518">
            <v>525.26</v>
          </cell>
        </row>
        <row r="7519">
          <cell r="G7519">
            <v>525.28</v>
          </cell>
        </row>
        <row r="7520">
          <cell r="G7520">
            <v>525.38</v>
          </cell>
        </row>
        <row r="7521">
          <cell r="G7521">
            <v>525.4</v>
          </cell>
        </row>
        <row r="7522">
          <cell r="G7522">
            <v>525.41999999999996</v>
          </cell>
        </row>
        <row r="7523">
          <cell r="G7523">
            <v>525.44000000000005</v>
          </cell>
        </row>
        <row r="7524">
          <cell r="G7524">
            <v>102.02</v>
          </cell>
        </row>
        <row r="7526">
          <cell r="G7526">
            <v>154</v>
          </cell>
        </row>
        <row r="7527">
          <cell r="G7527">
            <v>541.26</v>
          </cell>
        </row>
        <row r="7528">
          <cell r="G7528">
            <v>541.28</v>
          </cell>
        </row>
        <row r="7529">
          <cell r="G7529">
            <v>541.17999999999995</v>
          </cell>
        </row>
        <row r="7530">
          <cell r="G7530">
            <v>525.25</v>
          </cell>
        </row>
        <row r="7531">
          <cell r="G7531">
            <v>525.44000000000005</v>
          </cell>
        </row>
        <row r="7532">
          <cell r="G7532">
            <v>525.44000000000005</v>
          </cell>
        </row>
        <row r="7533">
          <cell r="G7533">
            <v>542.25</v>
          </cell>
        </row>
        <row r="7534">
          <cell r="G7534">
            <v>102.02</v>
          </cell>
        </row>
        <row r="7539">
          <cell r="G7539">
            <v>102.04</v>
          </cell>
        </row>
        <row r="7540">
          <cell r="G7540">
            <v>102.02</v>
          </cell>
        </row>
        <row r="7542">
          <cell r="G7542">
            <v>525.20000000000005</v>
          </cell>
        </row>
        <row r="7543">
          <cell r="G7543">
            <v>102.02</v>
          </cell>
        </row>
        <row r="7545">
          <cell r="G7545">
            <v>310</v>
          </cell>
        </row>
        <row r="7546">
          <cell r="G7546">
            <v>161</v>
          </cell>
        </row>
        <row r="7547">
          <cell r="G7547">
            <v>374</v>
          </cell>
        </row>
        <row r="7548">
          <cell r="G7548">
            <v>102.02</v>
          </cell>
        </row>
        <row r="7550">
          <cell r="G7550">
            <v>541.16</v>
          </cell>
        </row>
        <row r="7551">
          <cell r="G7551">
            <v>102.02</v>
          </cell>
        </row>
        <row r="7553">
          <cell r="G7553">
            <v>154</v>
          </cell>
        </row>
        <row r="7554">
          <cell r="G7554">
            <v>541.16</v>
          </cell>
        </row>
        <row r="7555">
          <cell r="G7555">
            <v>102.02</v>
          </cell>
        </row>
        <row r="7557">
          <cell r="G7557">
            <v>154</v>
          </cell>
        </row>
        <row r="7558">
          <cell r="G7558">
            <v>511.03</v>
          </cell>
        </row>
        <row r="7559">
          <cell r="G7559">
            <v>161</v>
          </cell>
        </row>
        <row r="7560">
          <cell r="G7560">
            <v>165</v>
          </cell>
        </row>
        <row r="7561">
          <cell r="G7561">
            <v>525.44000000000005</v>
          </cell>
        </row>
        <row r="7562">
          <cell r="G7562">
            <v>525.4</v>
          </cell>
        </row>
        <row r="7563">
          <cell r="G7563">
            <v>525.28</v>
          </cell>
        </row>
        <row r="7564">
          <cell r="G7564">
            <v>525.24</v>
          </cell>
        </row>
        <row r="7565">
          <cell r="G7565">
            <v>525.44000000000005</v>
          </cell>
        </row>
        <row r="7566">
          <cell r="G7566">
            <v>525.24</v>
          </cell>
        </row>
        <row r="7567">
          <cell r="G7567">
            <v>525.24</v>
          </cell>
        </row>
        <row r="7568">
          <cell r="G7568">
            <v>525.24</v>
          </cell>
        </row>
        <row r="7569">
          <cell r="G7569">
            <v>525.44000000000005</v>
          </cell>
        </row>
        <row r="7570">
          <cell r="G7570">
            <v>525.33000000000004</v>
          </cell>
        </row>
        <row r="7571">
          <cell r="G7571">
            <v>525.45000000000005</v>
          </cell>
        </row>
        <row r="7572">
          <cell r="G7572">
            <v>525.24</v>
          </cell>
        </row>
        <row r="7573">
          <cell r="G7573">
            <v>525.20000000000005</v>
          </cell>
        </row>
        <row r="7574">
          <cell r="G7574">
            <v>525.4</v>
          </cell>
        </row>
        <row r="7575">
          <cell r="G7575">
            <v>525.44000000000005</v>
          </cell>
        </row>
        <row r="7576">
          <cell r="G7576">
            <v>525.4</v>
          </cell>
        </row>
        <row r="7577">
          <cell r="G7577">
            <v>525.24</v>
          </cell>
        </row>
        <row r="7578">
          <cell r="G7578">
            <v>525.38</v>
          </cell>
        </row>
        <row r="7579">
          <cell r="G7579">
            <v>525.44000000000005</v>
          </cell>
        </row>
        <row r="7580">
          <cell r="G7580">
            <v>102.02</v>
          </cell>
        </row>
        <row r="7582">
          <cell r="G7582">
            <v>402</v>
          </cell>
        </row>
        <row r="7583">
          <cell r="G7583">
            <v>591</v>
          </cell>
        </row>
        <row r="7584">
          <cell r="G7584">
            <v>102.02</v>
          </cell>
        </row>
        <row r="7586">
          <cell r="G7586">
            <v>302</v>
          </cell>
        </row>
        <row r="7587">
          <cell r="G7587">
            <v>165</v>
          </cell>
        </row>
        <row r="7588">
          <cell r="G7588">
            <v>304</v>
          </cell>
        </row>
        <row r="7589">
          <cell r="G7589">
            <v>374</v>
          </cell>
        </row>
        <row r="7590">
          <cell r="G7590">
            <v>102.02</v>
          </cell>
        </row>
        <row r="7592">
          <cell r="G7592">
            <v>301</v>
          </cell>
        </row>
        <row r="7593">
          <cell r="G7593">
            <v>163</v>
          </cell>
        </row>
        <row r="7594">
          <cell r="G7594">
            <v>374</v>
          </cell>
        </row>
        <row r="7595">
          <cell r="G7595">
            <v>102.02</v>
          </cell>
        </row>
        <row r="7597">
          <cell r="G7597">
            <v>301</v>
          </cell>
        </row>
        <row r="7598">
          <cell r="G7598">
            <v>163</v>
          </cell>
        </row>
        <row r="7599">
          <cell r="G7599">
            <v>374</v>
          </cell>
        </row>
        <row r="7600">
          <cell r="G7600">
            <v>102.02</v>
          </cell>
        </row>
        <row r="7602">
          <cell r="G7602">
            <v>302</v>
          </cell>
        </row>
        <row r="7603">
          <cell r="G7603">
            <v>165</v>
          </cell>
        </row>
        <row r="7604">
          <cell r="G7604">
            <v>174.01</v>
          </cell>
        </row>
        <row r="7605">
          <cell r="G7605">
            <v>304</v>
          </cell>
        </row>
        <row r="7606">
          <cell r="G7606">
            <v>374</v>
          </cell>
        </row>
        <row r="7607">
          <cell r="G7607">
            <v>102.02</v>
          </cell>
        </row>
        <row r="7609">
          <cell r="G7609">
            <v>302</v>
          </cell>
        </row>
        <row r="7610">
          <cell r="G7610">
            <v>374</v>
          </cell>
        </row>
        <row r="7611">
          <cell r="G7611">
            <v>102.02</v>
          </cell>
        </row>
        <row r="7615">
          <cell r="G7615">
            <v>154</v>
          </cell>
        </row>
        <row r="7616">
          <cell r="G7616">
            <v>161</v>
          </cell>
        </row>
        <row r="7617">
          <cell r="G7617">
            <v>541.24</v>
          </cell>
        </row>
        <row r="7618">
          <cell r="G7618">
            <v>102.02</v>
          </cell>
        </row>
        <row r="7624">
          <cell r="G7624">
            <v>301</v>
          </cell>
        </row>
        <row r="7625">
          <cell r="G7625">
            <v>163</v>
          </cell>
        </row>
        <row r="7626">
          <cell r="G7626">
            <v>525.44000000000005</v>
          </cell>
        </row>
        <row r="7627">
          <cell r="G7627">
            <v>374</v>
          </cell>
        </row>
        <row r="7628">
          <cell r="G7628">
            <v>102.02</v>
          </cell>
        </row>
        <row r="7630">
          <cell r="G7630">
            <v>301</v>
          </cell>
        </row>
        <row r="7631">
          <cell r="G7631">
            <v>374</v>
          </cell>
        </row>
        <row r="7632">
          <cell r="G7632">
            <v>102.02</v>
          </cell>
        </row>
        <row r="7636">
          <cell r="G7636">
            <v>525.14</v>
          </cell>
        </row>
        <row r="7637">
          <cell r="G7637">
            <v>102.02</v>
          </cell>
        </row>
        <row r="7639">
          <cell r="G7639">
            <v>301</v>
          </cell>
        </row>
        <row r="7640">
          <cell r="G7640">
            <v>374</v>
          </cell>
        </row>
        <row r="7641">
          <cell r="G7641">
            <v>102.02</v>
          </cell>
        </row>
        <row r="7643">
          <cell r="G7643">
            <v>154</v>
          </cell>
        </row>
        <row r="7644">
          <cell r="G7644">
            <v>525.45000000000005</v>
          </cell>
        </row>
        <row r="7645">
          <cell r="G7645">
            <v>374</v>
          </cell>
        </row>
        <row r="7646">
          <cell r="G7646">
            <v>102.02</v>
          </cell>
        </row>
        <row r="7648">
          <cell r="G7648">
            <v>302</v>
          </cell>
        </row>
        <row r="7649">
          <cell r="G7649">
            <v>174.01</v>
          </cell>
        </row>
        <row r="7650">
          <cell r="G7650">
            <v>374</v>
          </cell>
        </row>
        <row r="7651">
          <cell r="G7651">
            <v>102.02</v>
          </cell>
        </row>
        <row r="7653">
          <cell r="G7653">
            <v>301</v>
          </cell>
        </row>
        <row r="7654">
          <cell r="G7654">
            <v>163</v>
          </cell>
        </row>
        <row r="7655">
          <cell r="G7655">
            <v>374</v>
          </cell>
        </row>
        <row r="7656">
          <cell r="G7656">
            <v>102.02</v>
          </cell>
        </row>
        <row r="7660">
          <cell r="G7660">
            <v>301</v>
          </cell>
        </row>
        <row r="7661">
          <cell r="G7661">
            <v>374</v>
          </cell>
        </row>
        <row r="7662">
          <cell r="G7662">
            <v>102.02</v>
          </cell>
        </row>
        <row r="7664">
          <cell r="G7664">
            <v>402</v>
          </cell>
        </row>
        <row r="7665">
          <cell r="G7665">
            <v>102.02</v>
          </cell>
        </row>
        <row r="7667">
          <cell r="G7667">
            <v>163</v>
          </cell>
        </row>
        <row r="7668">
          <cell r="G7668">
            <v>102.02</v>
          </cell>
        </row>
        <row r="7674">
          <cell r="G7674">
            <v>301</v>
          </cell>
        </row>
        <row r="7675">
          <cell r="G7675">
            <v>374</v>
          </cell>
        </row>
        <row r="7676">
          <cell r="G7676">
            <v>102.02</v>
          </cell>
        </row>
        <row r="7678">
          <cell r="G7678">
            <v>301</v>
          </cell>
        </row>
        <row r="7679">
          <cell r="G7679">
            <v>374</v>
          </cell>
        </row>
        <row r="7680">
          <cell r="G7680">
            <v>102.02</v>
          </cell>
        </row>
        <row r="7682">
          <cell r="G7682">
            <v>301</v>
          </cell>
        </row>
        <row r="7683">
          <cell r="G7683">
            <v>374</v>
          </cell>
        </row>
        <row r="7684">
          <cell r="G7684">
            <v>102.02</v>
          </cell>
        </row>
        <row r="7686">
          <cell r="G7686">
            <v>301</v>
          </cell>
        </row>
        <row r="7687">
          <cell r="G7687">
            <v>163</v>
          </cell>
        </row>
        <row r="7688">
          <cell r="G7688">
            <v>374</v>
          </cell>
        </row>
        <row r="7689">
          <cell r="G7689">
            <v>102.02</v>
          </cell>
        </row>
        <row r="7691">
          <cell r="G7691">
            <v>301</v>
          </cell>
        </row>
        <row r="7692">
          <cell r="G7692">
            <v>374</v>
          </cell>
        </row>
        <row r="7693">
          <cell r="G7693">
            <v>102.02</v>
          </cell>
        </row>
        <row r="7699">
          <cell r="G7699">
            <v>301</v>
          </cell>
        </row>
        <row r="7700">
          <cell r="G7700">
            <v>374</v>
          </cell>
        </row>
        <row r="7701">
          <cell r="G7701">
            <v>102.02</v>
          </cell>
        </row>
        <row r="7709">
          <cell r="G7709">
            <v>302</v>
          </cell>
        </row>
        <row r="7710">
          <cell r="G7710">
            <v>165</v>
          </cell>
        </row>
        <row r="7711">
          <cell r="G7711">
            <v>304</v>
          </cell>
        </row>
        <row r="7712">
          <cell r="G7712">
            <v>374</v>
          </cell>
        </row>
        <row r="7713">
          <cell r="G7713">
            <v>102.02</v>
          </cell>
        </row>
        <row r="7715">
          <cell r="G7715">
            <v>302</v>
          </cell>
        </row>
        <row r="7716">
          <cell r="G7716">
            <v>165</v>
          </cell>
        </row>
        <row r="7717">
          <cell r="G7717">
            <v>304</v>
          </cell>
        </row>
        <row r="7718">
          <cell r="G7718">
            <v>374</v>
          </cell>
        </row>
        <row r="7719">
          <cell r="G7719">
            <v>102.02</v>
          </cell>
        </row>
        <row r="7721">
          <cell r="G7721">
            <v>302</v>
          </cell>
        </row>
        <row r="7722">
          <cell r="G7722">
            <v>374</v>
          </cell>
        </row>
        <row r="7723">
          <cell r="G7723">
            <v>102.06</v>
          </cell>
        </row>
        <row r="7725">
          <cell r="G7725">
            <v>301</v>
          </cell>
        </row>
        <row r="7726">
          <cell r="G7726">
            <v>374</v>
          </cell>
        </row>
        <row r="7727">
          <cell r="G7727">
            <v>102.02</v>
          </cell>
        </row>
        <row r="7729">
          <cell r="G7729">
            <v>301</v>
          </cell>
        </row>
        <row r="7730">
          <cell r="G7730">
            <v>102.02</v>
          </cell>
        </row>
        <row r="7732">
          <cell r="G7732">
            <v>301</v>
          </cell>
        </row>
        <row r="7733">
          <cell r="G7733">
            <v>374</v>
          </cell>
        </row>
        <row r="7734">
          <cell r="G7734">
            <v>102.02</v>
          </cell>
        </row>
        <row r="7736">
          <cell r="G7736">
            <v>302</v>
          </cell>
        </row>
        <row r="7737">
          <cell r="G7737">
            <v>374</v>
          </cell>
        </row>
        <row r="7738">
          <cell r="G7738">
            <v>102.02</v>
          </cell>
        </row>
        <row r="7740">
          <cell r="G7740">
            <v>301</v>
          </cell>
        </row>
        <row r="7741">
          <cell r="G7741">
            <v>374</v>
          </cell>
        </row>
        <row r="7742">
          <cell r="G7742">
            <v>102.02</v>
          </cell>
        </row>
        <row r="7744">
          <cell r="G7744">
            <v>301</v>
          </cell>
        </row>
        <row r="7745">
          <cell r="G7745">
            <v>163</v>
          </cell>
        </row>
        <row r="7746">
          <cell r="G7746">
            <v>374</v>
          </cell>
        </row>
        <row r="7747">
          <cell r="G7747">
            <v>102.02</v>
          </cell>
        </row>
        <row r="7749">
          <cell r="G7749">
            <v>301</v>
          </cell>
        </row>
        <row r="7750">
          <cell r="G7750">
            <v>163</v>
          </cell>
        </row>
        <row r="7751">
          <cell r="G7751">
            <v>374</v>
          </cell>
        </row>
        <row r="7752">
          <cell r="G7752">
            <v>102.02</v>
          </cell>
        </row>
        <row r="7754">
          <cell r="G7754">
            <v>301</v>
          </cell>
        </row>
        <row r="7755">
          <cell r="G7755">
            <v>374</v>
          </cell>
        </row>
        <row r="7756">
          <cell r="G7756">
            <v>102.02</v>
          </cell>
        </row>
        <row r="7758">
          <cell r="G7758">
            <v>301</v>
          </cell>
        </row>
        <row r="7759">
          <cell r="G7759">
            <v>374</v>
          </cell>
        </row>
        <row r="7760">
          <cell r="G7760">
            <v>102.02</v>
          </cell>
        </row>
        <row r="7762">
          <cell r="G7762">
            <v>512.07000000000005</v>
          </cell>
        </row>
        <row r="7763">
          <cell r="G7763">
            <v>165</v>
          </cell>
        </row>
        <row r="7764">
          <cell r="G7764">
            <v>102.02</v>
          </cell>
        </row>
        <row r="7768">
          <cell r="G7768">
            <v>301</v>
          </cell>
        </row>
        <row r="7769">
          <cell r="G7769">
            <v>163</v>
          </cell>
        </row>
        <row r="7770">
          <cell r="G7770">
            <v>374</v>
          </cell>
        </row>
        <row r="7771">
          <cell r="G7771">
            <v>102.06</v>
          </cell>
        </row>
        <row r="7773">
          <cell r="G7773">
            <v>301</v>
          </cell>
        </row>
        <row r="7774">
          <cell r="G7774">
            <v>374</v>
          </cell>
        </row>
        <row r="7775">
          <cell r="G7775">
            <v>102.02</v>
          </cell>
        </row>
        <row r="7777">
          <cell r="G7777">
            <v>402</v>
          </cell>
        </row>
        <row r="7778">
          <cell r="G7778">
            <v>102.02</v>
          </cell>
        </row>
        <row r="7780">
          <cell r="G7780">
            <v>301</v>
          </cell>
        </row>
        <row r="7781">
          <cell r="G7781">
            <v>374</v>
          </cell>
        </row>
        <row r="7782">
          <cell r="G7782">
            <v>102.02</v>
          </cell>
        </row>
        <row r="7784">
          <cell r="G7784">
            <v>154</v>
          </cell>
        </row>
        <row r="7785">
          <cell r="G7785">
            <v>521.01</v>
          </cell>
        </row>
        <row r="7786">
          <cell r="G7786">
            <v>541.24</v>
          </cell>
        </row>
        <row r="7787">
          <cell r="G7787">
            <v>541.16</v>
          </cell>
        </row>
        <row r="7788">
          <cell r="G7788">
            <v>541.44000000000005</v>
          </cell>
        </row>
        <row r="7789">
          <cell r="G7789">
            <v>541.44000000000005</v>
          </cell>
        </row>
        <row r="7790">
          <cell r="G7790">
            <v>541.38</v>
          </cell>
        </row>
        <row r="7791">
          <cell r="G7791">
            <v>541.41999999999996</v>
          </cell>
        </row>
        <row r="7792">
          <cell r="G7792">
            <v>541.38</v>
          </cell>
        </row>
        <row r="7793">
          <cell r="G7793">
            <v>541.33000000000004</v>
          </cell>
        </row>
        <row r="7794">
          <cell r="G7794">
            <v>541.33000000000004</v>
          </cell>
        </row>
        <row r="7795">
          <cell r="G7795">
            <v>541.99</v>
          </cell>
        </row>
        <row r="7796">
          <cell r="G7796">
            <v>541.36</v>
          </cell>
        </row>
        <row r="7797">
          <cell r="G7797">
            <v>541.36</v>
          </cell>
        </row>
        <row r="7798">
          <cell r="G7798">
            <v>511.07</v>
          </cell>
        </row>
        <row r="7799">
          <cell r="G7799">
            <v>543.01</v>
          </cell>
        </row>
        <row r="7800">
          <cell r="G7800">
            <v>542.25</v>
          </cell>
        </row>
        <row r="7801">
          <cell r="G7801">
            <v>525.52</v>
          </cell>
        </row>
        <row r="7802">
          <cell r="G7802">
            <v>525.52</v>
          </cell>
        </row>
        <row r="7803">
          <cell r="G7803">
            <v>525.52</v>
          </cell>
        </row>
        <row r="7804">
          <cell r="G7804">
            <v>525.17999999999995</v>
          </cell>
        </row>
        <row r="7805">
          <cell r="G7805">
            <v>525.44000000000005</v>
          </cell>
        </row>
        <row r="7806">
          <cell r="G7806">
            <v>525.25</v>
          </cell>
        </row>
        <row r="7807">
          <cell r="G7807">
            <v>525.33000000000004</v>
          </cell>
        </row>
        <row r="7808">
          <cell r="G7808">
            <v>525.17999999999995</v>
          </cell>
        </row>
        <row r="7809">
          <cell r="G7809">
            <v>525.44000000000005</v>
          </cell>
        </row>
        <row r="7810">
          <cell r="G7810">
            <v>525.25</v>
          </cell>
        </row>
        <row r="7811">
          <cell r="G7811">
            <v>525.44000000000005</v>
          </cell>
        </row>
        <row r="7812">
          <cell r="G7812">
            <v>525.44000000000005</v>
          </cell>
        </row>
        <row r="7813">
          <cell r="G7813">
            <v>525.44000000000005</v>
          </cell>
        </row>
        <row r="7814">
          <cell r="G7814">
            <v>525.4</v>
          </cell>
        </row>
        <row r="7815">
          <cell r="G7815">
            <v>525.4</v>
          </cell>
        </row>
        <row r="7816">
          <cell r="G7816">
            <v>525.4</v>
          </cell>
        </row>
        <row r="7817">
          <cell r="G7817">
            <v>525.42999999999995</v>
          </cell>
        </row>
        <row r="7818">
          <cell r="G7818">
            <v>525.52</v>
          </cell>
        </row>
        <row r="7819">
          <cell r="G7819">
            <v>525.52</v>
          </cell>
        </row>
        <row r="7820">
          <cell r="G7820">
            <v>525.42999999999995</v>
          </cell>
        </row>
        <row r="7821">
          <cell r="G7821">
            <v>161</v>
          </cell>
        </row>
        <row r="7822">
          <cell r="G7822">
            <v>102.02</v>
          </cell>
        </row>
        <row r="7824">
          <cell r="G7824">
            <v>302</v>
          </cell>
        </row>
        <row r="7825">
          <cell r="G7825">
            <v>304</v>
          </cell>
        </row>
        <row r="7826">
          <cell r="G7826">
            <v>165</v>
          </cell>
        </row>
        <row r="7827">
          <cell r="G7827">
            <v>374</v>
          </cell>
        </row>
        <row r="7828">
          <cell r="G7828">
            <v>102.02</v>
          </cell>
        </row>
        <row r="7830">
          <cell r="G7830">
            <v>513.07000000000005</v>
          </cell>
        </row>
        <row r="7831">
          <cell r="G7831">
            <v>304</v>
          </cell>
        </row>
        <row r="7832">
          <cell r="G7832">
            <v>374</v>
          </cell>
        </row>
        <row r="7833">
          <cell r="G7833">
            <v>102.02</v>
          </cell>
        </row>
        <row r="7839">
          <cell r="G7839">
            <v>511.07</v>
          </cell>
        </row>
        <row r="7840">
          <cell r="G7840">
            <v>514.04</v>
          </cell>
        </row>
        <row r="7841">
          <cell r="G7841">
            <v>514.02</v>
          </cell>
        </row>
        <row r="7842">
          <cell r="G7842">
            <v>154</v>
          </cell>
        </row>
        <row r="7843">
          <cell r="G7843">
            <v>102.02</v>
          </cell>
        </row>
        <row r="7844">
          <cell r="G7844">
            <v>525.24</v>
          </cell>
        </row>
        <row r="7845">
          <cell r="G7845">
            <v>525.38</v>
          </cell>
        </row>
        <row r="7846">
          <cell r="G7846">
            <v>525.17999999999995</v>
          </cell>
        </row>
        <row r="7847">
          <cell r="G7847">
            <v>525.23</v>
          </cell>
        </row>
        <row r="7848">
          <cell r="G7848">
            <v>525.4</v>
          </cell>
        </row>
        <row r="7849">
          <cell r="G7849">
            <v>525.4</v>
          </cell>
        </row>
        <row r="7850">
          <cell r="G7850">
            <v>525.44000000000005</v>
          </cell>
        </row>
        <row r="7851">
          <cell r="G7851">
            <v>525.4</v>
          </cell>
        </row>
        <row r="7852">
          <cell r="G7852">
            <v>525.17999999999995</v>
          </cell>
        </row>
        <row r="7853">
          <cell r="G7853">
            <v>525.44000000000005</v>
          </cell>
        </row>
        <row r="7854">
          <cell r="G7854">
            <v>525.44000000000005</v>
          </cell>
        </row>
        <row r="7855">
          <cell r="G7855">
            <v>525.17999999999995</v>
          </cell>
        </row>
        <row r="7856">
          <cell r="G7856">
            <v>525.44000000000005</v>
          </cell>
        </row>
        <row r="7857">
          <cell r="G7857">
            <v>525.41999999999996</v>
          </cell>
        </row>
        <row r="7858">
          <cell r="G7858">
            <v>525.38</v>
          </cell>
        </row>
        <row r="7859">
          <cell r="G7859">
            <v>525.25</v>
          </cell>
        </row>
        <row r="7860">
          <cell r="G7860">
            <v>525.44000000000005</v>
          </cell>
        </row>
        <row r="7861">
          <cell r="G7861">
            <v>525.44000000000005</v>
          </cell>
        </row>
        <row r="7862">
          <cell r="G7862">
            <v>525.44000000000005</v>
          </cell>
        </row>
        <row r="7863">
          <cell r="G7863">
            <v>525.44000000000005</v>
          </cell>
        </row>
        <row r="7864">
          <cell r="G7864">
            <v>525.4</v>
          </cell>
        </row>
        <row r="7865">
          <cell r="G7865">
            <v>525.44000000000005</v>
          </cell>
        </row>
        <row r="7866">
          <cell r="G7866">
            <v>525.4</v>
          </cell>
        </row>
        <row r="7867">
          <cell r="G7867">
            <v>525.4</v>
          </cell>
        </row>
        <row r="7868">
          <cell r="G7868">
            <v>525.4</v>
          </cell>
        </row>
        <row r="7869">
          <cell r="G7869">
            <v>525.4</v>
          </cell>
        </row>
        <row r="7870">
          <cell r="G7870">
            <v>525.4</v>
          </cell>
        </row>
        <row r="7871">
          <cell r="G7871">
            <v>525.4</v>
          </cell>
        </row>
        <row r="7872">
          <cell r="G7872">
            <v>525.42999999999995</v>
          </cell>
        </row>
        <row r="7873">
          <cell r="G7873">
            <v>525.17999999999995</v>
          </cell>
        </row>
        <row r="7874">
          <cell r="G7874">
            <v>525.1</v>
          </cell>
        </row>
        <row r="7875">
          <cell r="G7875">
            <v>525.44000000000005</v>
          </cell>
        </row>
        <row r="7876">
          <cell r="G7876">
            <v>525.1</v>
          </cell>
        </row>
        <row r="7877">
          <cell r="G7877">
            <v>525.1</v>
          </cell>
        </row>
        <row r="7878">
          <cell r="G7878">
            <v>525.1</v>
          </cell>
        </row>
        <row r="7879">
          <cell r="G7879">
            <v>525.44000000000005</v>
          </cell>
        </row>
        <row r="7880">
          <cell r="G7880">
            <v>525.44000000000005</v>
          </cell>
        </row>
        <row r="7881">
          <cell r="G7881">
            <v>525.4</v>
          </cell>
        </row>
        <row r="7882">
          <cell r="G7882">
            <v>525.44000000000005</v>
          </cell>
        </row>
        <row r="7883">
          <cell r="G7883">
            <v>525.4</v>
          </cell>
        </row>
        <row r="7884">
          <cell r="G7884">
            <v>525.17999999999995</v>
          </cell>
        </row>
        <row r="7888">
          <cell r="G7888">
            <v>513.03</v>
          </cell>
        </row>
        <row r="7889">
          <cell r="G7889">
            <v>304</v>
          </cell>
        </row>
        <row r="7890">
          <cell r="G7890">
            <v>102.04</v>
          </cell>
        </row>
        <row r="7898">
          <cell r="G7898">
            <v>161</v>
          </cell>
        </row>
        <row r="7899">
          <cell r="G7899">
            <v>102.02</v>
          </cell>
        </row>
        <row r="7901">
          <cell r="G7901">
            <v>165</v>
          </cell>
        </row>
        <row r="7902">
          <cell r="G7902">
            <v>102.02</v>
          </cell>
        </row>
        <row r="7904">
          <cell r="G7904">
            <v>541.04</v>
          </cell>
        </row>
        <row r="7905">
          <cell r="G7905">
            <v>341.02</v>
          </cell>
        </row>
        <row r="7906">
          <cell r="G7906">
            <v>102.02</v>
          </cell>
        </row>
        <row r="7908">
          <cell r="G7908">
            <v>341.06</v>
          </cell>
        </row>
        <row r="7909">
          <cell r="G7909">
            <v>102.02</v>
          </cell>
        </row>
        <row r="7911">
          <cell r="G7911">
            <v>373</v>
          </cell>
        </row>
        <row r="7912">
          <cell r="G7912">
            <v>102.02</v>
          </cell>
        </row>
        <row r="7914">
          <cell r="G7914">
            <v>541.04</v>
          </cell>
        </row>
        <row r="7915">
          <cell r="G7915">
            <v>341.04</v>
          </cell>
        </row>
        <row r="7916">
          <cell r="G7916">
            <v>102.02</v>
          </cell>
        </row>
        <row r="7918">
          <cell r="G7918">
            <v>374</v>
          </cell>
        </row>
        <row r="7919">
          <cell r="G7919">
            <v>102.02</v>
          </cell>
        </row>
        <row r="7921">
          <cell r="G7921">
            <v>541.28</v>
          </cell>
        </row>
        <row r="7922">
          <cell r="G7922">
            <v>541.28</v>
          </cell>
        </row>
        <row r="7923">
          <cell r="G7923">
            <v>541.44000000000005</v>
          </cell>
        </row>
        <row r="7924">
          <cell r="G7924">
            <v>541.15</v>
          </cell>
        </row>
        <row r="7925">
          <cell r="G7925">
            <v>541.38</v>
          </cell>
        </row>
        <row r="7926">
          <cell r="G7926">
            <v>541.17999999999995</v>
          </cell>
        </row>
        <row r="7927">
          <cell r="G7927">
            <v>541.38</v>
          </cell>
        </row>
        <row r="7928">
          <cell r="G7928">
            <v>541.25</v>
          </cell>
        </row>
        <row r="7929">
          <cell r="G7929">
            <v>541.17999999999995</v>
          </cell>
        </row>
        <row r="7930">
          <cell r="G7930">
            <v>154</v>
          </cell>
        </row>
        <row r="7931">
          <cell r="G7931">
            <v>525.25</v>
          </cell>
        </row>
        <row r="7932">
          <cell r="G7932">
            <v>525.42999999999995</v>
          </cell>
        </row>
        <row r="7933">
          <cell r="G7933">
            <v>525.26</v>
          </cell>
        </row>
        <row r="7934">
          <cell r="G7934">
            <v>525.17999999999995</v>
          </cell>
        </row>
        <row r="7935">
          <cell r="G7935">
            <v>542.25</v>
          </cell>
        </row>
        <row r="7936">
          <cell r="G7936">
            <v>165</v>
          </cell>
        </row>
        <row r="7937">
          <cell r="G7937">
            <v>512.04999999999995</v>
          </cell>
        </row>
        <row r="7938">
          <cell r="G7938">
            <v>102.04</v>
          </cell>
        </row>
        <row r="7940">
          <cell r="G7940">
            <v>511.02</v>
          </cell>
        </row>
        <row r="7941">
          <cell r="G7941">
            <v>102.02</v>
          </cell>
        </row>
        <row r="7943">
          <cell r="G7943">
            <v>154</v>
          </cell>
        </row>
        <row r="7944">
          <cell r="G7944">
            <v>511.07</v>
          </cell>
        </row>
        <row r="7945">
          <cell r="G7945">
            <v>304</v>
          </cell>
        </row>
        <row r="7946">
          <cell r="G7946">
            <v>374</v>
          </cell>
        </row>
        <row r="7947">
          <cell r="G7947">
            <v>309</v>
          </cell>
        </row>
        <row r="7948">
          <cell r="G7948">
            <v>102.06</v>
          </cell>
        </row>
        <row r="7950">
          <cell r="G7950">
            <v>302</v>
          </cell>
        </row>
        <row r="7951">
          <cell r="G7951">
            <v>374</v>
          </cell>
        </row>
        <row r="7952">
          <cell r="G7952">
            <v>102.06</v>
          </cell>
        </row>
        <row r="7959">
          <cell r="G7959">
            <v>513.07000000000005</v>
          </cell>
        </row>
        <row r="7960">
          <cell r="G7960">
            <v>165</v>
          </cell>
        </row>
        <row r="7961">
          <cell r="G7961">
            <v>304</v>
          </cell>
        </row>
        <row r="7962">
          <cell r="G7962">
            <v>374</v>
          </cell>
        </row>
        <row r="7963">
          <cell r="G7963">
            <v>102.04</v>
          </cell>
        </row>
        <row r="7965">
          <cell r="G7965">
            <v>154</v>
          </cell>
        </row>
        <row r="7966">
          <cell r="G7966">
            <v>513.07000000000005</v>
          </cell>
        </row>
        <row r="7967">
          <cell r="G7967">
            <v>304</v>
          </cell>
        </row>
        <row r="7968">
          <cell r="G7968">
            <v>374</v>
          </cell>
        </row>
        <row r="7969">
          <cell r="G7969">
            <v>102.06</v>
          </cell>
        </row>
        <row r="7971">
          <cell r="G7971">
            <v>163</v>
          </cell>
        </row>
        <row r="7972">
          <cell r="G7972">
            <v>102.06</v>
          </cell>
        </row>
        <row r="7974">
          <cell r="G7974">
            <v>154</v>
          </cell>
        </row>
        <row r="7975">
          <cell r="G7975">
            <v>511.07</v>
          </cell>
        </row>
        <row r="7976">
          <cell r="G7976">
            <v>514.04</v>
          </cell>
        </row>
        <row r="7977">
          <cell r="G7977">
            <v>525.17999999999995</v>
          </cell>
        </row>
        <row r="7978">
          <cell r="G7978">
            <v>525.24</v>
          </cell>
        </row>
        <row r="7979">
          <cell r="G7979">
            <v>525.25</v>
          </cell>
        </row>
        <row r="7980">
          <cell r="G7980">
            <v>525.26</v>
          </cell>
        </row>
        <row r="7981">
          <cell r="G7981">
            <v>525.29</v>
          </cell>
        </row>
        <row r="7982">
          <cell r="G7982">
            <v>525.38</v>
          </cell>
        </row>
        <row r="7983">
          <cell r="G7983">
            <v>525.4</v>
          </cell>
        </row>
        <row r="7984">
          <cell r="G7984">
            <v>525.44000000000005</v>
          </cell>
        </row>
        <row r="7985">
          <cell r="G7985">
            <v>102.04</v>
          </cell>
        </row>
        <row r="7989">
          <cell r="G7989">
            <v>513.07000000000005</v>
          </cell>
        </row>
        <row r="7990">
          <cell r="G7990">
            <v>304</v>
          </cell>
        </row>
        <row r="7991">
          <cell r="G7991">
            <v>102.04</v>
          </cell>
        </row>
        <row r="7997">
          <cell r="G7997">
            <v>302</v>
          </cell>
        </row>
        <row r="7998">
          <cell r="G7998">
            <v>304</v>
          </cell>
        </row>
        <row r="7999">
          <cell r="G7999">
            <v>165</v>
          </cell>
        </row>
        <row r="8000">
          <cell r="G8000">
            <v>374</v>
          </cell>
        </row>
        <row r="8001">
          <cell r="G8001">
            <v>102.02</v>
          </cell>
        </row>
        <row r="8003">
          <cell r="G8003">
            <v>302</v>
          </cell>
        </row>
        <row r="8004">
          <cell r="G8004">
            <v>374</v>
          </cell>
        </row>
        <row r="8005">
          <cell r="G8005">
            <v>102.02</v>
          </cell>
        </row>
        <row r="8007">
          <cell r="G8007">
            <v>541.01</v>
          </cell>
        </row>
        <row r="8008">
          <cell r="G8008">
            <v>373</v>
          </cell>
        </row>
        <row r="8009">
          <cell r="G8009">
            <v>341.02</v>
          </cell>
        </row>
        <row r="8010">
          <cell r="G8010">
            <v>341.06</v>
          </cell>
        </row>
        <row r="8011">
          <cell r="G8011">
            <v>102.02</v>
          </cell>
        </row>
        <row r="8018">
          <cell r="G8018">
            <v>541.85</v>
          </cell>
        </row>
        <row r="8019">
          <cell r="G8019">
            <v>102.02</v>
          </cell>
        </row>
        <row r="8021">
          <cell r="G8021">
            <v>402</v>
          </cell>
        </row>
        <row r="8022">
          <cell r="G8022">
            <v>591</v>
          </cell>
        </row>
        <row r="8023">
          <cell r="G8023">
            <v>102.02</v>
          </cell>
        </row>
        <row r="8025">
          <cell r="G8025">
            <v>154</v>
          </cell>
        </row>
        <row r="8026">
          <cell r="G8026">
            <v>511.03</v>
          </cell>
        </row>
        <row r="8027">
          <cell r="G8027">
            <v>525.45000000000005</v>
          </cell>
        </row>
        <row r="8028">
          <cell r="G8028">
            <v>525.33000000000004</v>
          </cell>
        </row>
        <row r="8029">
          <cell r="G8029">
            <v>525.24</v>
          </cell>
        </row>
        <row r="8030">
          <cell r="G8030">
            <v>525.24</v>
          </cell>
        </row>
        <row r="8031">
          <cell r="G8031">
            <v>525.44000000000005</v>
          </cell>
        </row>
        <row r="8032">
          <cell r="G8032">
            <v>525.44000000000005</v>
          </cell>
        </row>
        <row r="8033">
          <cell r="G8033">
            <v>525.23</v>
          </cell>
        </row>
        <row r="8034">
          <cell r="G8034">
            <v>525.4</v>
          </cell>
        </row>
        <row r="8035">
          <cell r="G8035">
            <v>525.4</v>
          </cell>
        </row>
        <row r="8036">
          <cell r="G8036">
            <v>525.24</v>
          </cell>
        </row>
        <row r="8037">
          <cell r="G8037">
            <v>525.4</v>
          </cell>
        </row>
        <row r="8038">
          <cell r="G8038">
            <v>525.4</v>
          </cell>
        </row>
        <row r="8039">
          <cell r="G8039">
            <v>525.44000000000005</v>
          </cell>
        </row>
        <row r="8040">
          <cell r="G8040">
            <v>525.1</v>
          </cell>
        </row>
        <row r="8041">
          <cell r="G8041">
            <v>525.44000000000005</v>
          </cell>
        </row>
        <row r="8042">
          <cell r="G8042">
            <v>525.29999999999995</v>
          </cell>
        </row>
        <row r="8043">
          <cell r="G8043">
            <v>525.4</v>
          </cell>
        </row>
        <row r="8044">
          <cell r="G8044">
            <v>165</v>
          </cell>
        </row>
        <row r="8045">
          <cell r="G8045">
            <v>102.02</v>
          </cell>
        </row>
        <row r="8047">
          <cell r="G8047">
            <v>154</v>
          </cell>
        </row>
        <row r="8048">
          <cell r="G8048">
            <v>161</v>
          </cell>
        </row>
        <row r="8049">
          <cell r="G8049">
            <v>541.24</v>
          </cell>
        </row>
        <row r="8050">
          <cell r="G8050">
            <v>374</v>
          </cell>
        </row>
        <row r="8051">
          <cell r="G8051">
            <v>102.06</v>
          </cell>
        </row>
        <row r="8055">
          <cell r="G8055">
            <v>163</v>
          </cell>
        </row>
        <row r="8056">
          <cell r="G8056">
            <v>102.06</v>
          </cell>
        </row>
        <row r="8059">
          <cell r="G8059">
            <v>521.01</v>
          </cell>
        </row>
        <row r="8060">
          <cell r="G8060">
            <v>541.01</v>
          </cell>
        </row>
        <row r="8061">
          <cell r="G8061">
            <v>543.01</v>
          </cell>
        </row>
        <row r="8062">
          <cell r="G8062">
            <v>544.01</v>
          </cell>
        </row>
        <row r="8063">
          <cell r="G8063">
            <v>161</v>
          </cell>
        </row>
        <row r="8064">
          <cell r="G8064">
            <v>341.02</v>
          </cell>
        </row>
        <row r="8065">
          <cell r="G8065">
            <v>341.06</v>
          </cell>
        </row>
        <row r="8066">
          <cell r="G8066">
            <v>373</v>
          </cell>
        </row>
        <row r="8067">
          <cell r="G8067">
            <v>102.02</v>
          </cell>
        </row>
        <row r="8069">
          <cell r="G8069">
            <v>512.07000000000005</v>
          </cell>
        </row>
        <row r="8070">
          <cell r="G8070">
            <v>521.01</v>
          </cell>
        </row>
        <row r="8071">
          <cell r="G8071">
            <v>341.02</v>
          </cell>
        </row>
        <row r="8072">
          <cell r="G8072">
            <v>341.06</v>
          </cell>
        </row>
        <row r="8073">
          <cell r="G8073">
            <v>373</v>
          </cell>
        </row>
        <row r="8074">
          <cell r="G8074">
            <v>102.02</v>
          </cell>
        </row>
        <row r="8076">
          <cell r="G8076">
            <v>512.03</v>
          </cell>
        </row>
        <row r="8077">
          <cell r="G8077">
            <v>102.02</v>
          </cell>
        </row>
        <row r="8079">
          <cell r="G8079">
            <v>302</v>
          </cell>
        </row>
        <row r="8080">
          <cell r="G8080">
            <v>165</v>
          </cell>
        </row>
        <row r="8081">
          <cell r="G8081">
            <v>304</v>
          </cell>
        </row>
        <row r="8082">
          <cell r="G8082">
            <v>374</v>
          </cell>
        </row>
        <row r="8083">
          <cell r="G8083">
            <v>309</v>
          </cell>
        </row>
        <row r="8084">
          <cell r="G8084">
            <v>102.06</v>
          </cell>
        </row>
        <row r="8086">
          <cell r="G8086">
            <v>402</v>
          </cell>
        </row>
        <row r="8087">
          <cell r="G8087">
            <v>591</v>
          </cell>
        </row>
        <row r="8088">
          <cell r="G8088">
            <v>102.02</v>
          </cell>
        </row>
        <row r="8090">
          <cell r="G8090">
            <v>301</v>
          </cell>
        </row>
        <row r="8091">
          <cell r="G8091">
            <v>374</v>
          </cell>
        </row>
        <row r="8092">
          <cell r="G8092">
            <v>102.06</v>
          </cell>
        </row>
        <row r="8094">
          <cell r="G8094">
            <v>154</v>
          </cell>
        </row>
        <row r="8095">
          <cell r="G8095">
            <v>541.4</v>
          </cell>
        </row>
        <row r="8096">
          <cell r="G8096">
            <v>541.16</v>
          </cell>
        </row>
        <row r="8097">
          <cell r="G8097">
            <v>541.17999999999995</v>
          </cell>
        </row>
        <row r="8098">
          <cell r="G8098">
            <v>541.26</v>
          </cell>
        </row>
        <row r="8099">
          <cell r="G8099">
            <v>541.25</v>
          </cell>
        </row>
        <row r="8100">
          <cell r="G8100">
            <v>541.17999999999995</v>
          </cell>
        </row>
        <row r="8101">
          <cell r="G8101">
            <v>541.38</v>
          </cell>
        </row>
        <row r="8102">
          <cell r="G8102">
            <v>541.44000000000005</v>
          </cell>
        </row>
        <row r="8103">
          <cell r="G8103">
            <v>541.15</v>
          </cell>
        </row>
        <row r="8104">
          <cell r="G8104">
            <v>541.17999999999995</v>
          </cell>
        </row>
        <row r="8105">
          <cell r="G8105">
            <v>541.26</v>
          </cell>
        </row>
        <row r="8106">
          <cell r="G8106">
            <v>512.07000000000005</v>
          </cell>
        </row>
        <row r="8107">
          <cell r="G8107">
            <v>512.03</v>
          </cell>
        </row>
        <row r="8108">
          <cell r="G8108">
            <v>542.25</v>
          </cell>
        </row>
        <row r="8109">
          <cell r="G8109">
            <v>525.44000000000005</v>
          </cell>
        </row>
        <row r="8110">
          <cell r="G8110">
            <v>525.1</v>
          </cell>
        </row>
        <row r="8111">
          <cell r="G8111">
            <v>525.25</v>
          </cell>
        </row>
        <row r="8112">
          <cell r="G8112">
            <v>525.25</v>
          </cell>
        </row>
        <row r="8113">
          <cell r="G8113">
            <v>525.25</v>
          </cell>
        </row>
        <row r="8114">
          <cell r="G8114">
            <v>525.44000000000005</v>
          </cell>
        </row>
        <row r="8115">
          <cell r="G8115">
            <v>525.30999999999995</v>
          </cell>
        </row>
        <row r="8116">
          <cell r="G8116">
            <v>525.17999999999995</v>
          </cell>
        </row>
        <row r="8117">
          <cell r="G8117">
            <v>102.02</v>
          </cell>
        </row>
        <row r="8118">
          <cell r="G8118">
            <v>511.03</v>
          </cell>
        </row>
        <row r="8120">
          <cell r="G8120">
            <v>163</v>
          </cell>
        </row>
        <row r="8121">
          <cell r="G8121">
            <v>102.02</v>
          </cell>
        </row>
        <row r="8124">
          <cell r="G8124">
            <v>309</v>
          </cell>
        </row>
        <row r="8125">
          <cell r="G8125">
            <v>102.06</v>
          </cell>
        </row>
        <row r="8127">
          <cell r="G8127">
            <v>525.20000000000005</v>
          </cell>
        </row>
        <row r="8128">
          <cell r="G8128">
            <v>525.23</v>
          </cell>
        </row>
        <row r="8129">
          <cell r="G8129">
            <v>102.02</v>
          </cell>
        </row>
        <row r="8133">
          <cell r="G8133">
            <v>154</v>
          </cell>
        </row>
        <row r="8134">
          <cell r="G8134">
            <v>511.07</v>
          </cell>
        </row>
        <row r="8135">
          <cell r="G8135">
            <v>374</v>
          </cell>
        </row>
        <row r="8136">
          <cell r="G8136">
            <v>102.06</v>
          </cell>
        </row>
        <row r="8138">
          <cell r="G8138">
            <v>525.14</v>
          </cell>
        </row>
        <row r="8139">
          <cell r="G8139">
            <v>102.02</v>
          </cell>
        </row>
        <row r="8141">
          <cell r="G8141">
            <v>541.16</v>
          </cell>
        </row>
        <row r="8142">
          <cell r="G8142">
            <v>541.16</v>
          </cell>
        </row>
        <row r="8143">
          <cell r="G8143">
            <v>541.46</v>
          </cell>
        </row>
        <row r="8144">
          <cell r="G8144">
            <v>154</v>
          </cell>
        </row>
        <row r="8145">
          <cell r="G8145">
            <v>514.04</v>
          </cell>
        </row>
        <row r="8146">
          <cell r="G8146">
            <v>161</v>
          </cell>
        </row>
        <row r="8147">
          <cell r="G8147">
            <v>542.25</v>
          </cell>
        </row>
        <row r="8148">
          <cell r="G8148">
            <v>543.01</v>
          </cell>
        </row>
        <row r="8149">
          <cell r="G8149">
            <v>521.01</v>
          </cell>
        </row>
        <row r="8150">
          <cell r="G8150">
            <v>525.4</v>
          </cell>
        </row>
        <row r="8151">
          <cell r="G8151">
            <v>525.1</v>
          </cell>
        </row>
        <row r="8152">
          <cell r="G8152">
            <v>525.33000000000004</v>
          </cell>
        </row>
        <row r="8153">
          <cell r="G8153">
            <v>525.38</v>
          </cell>
        </row>
        <row r="8154">
          <cell r="G8154">
            <v>525.17999999999995</v>
          </cell>
        </row>
        <row r="8155">
          <cell r="G8155">
            <v>525.38</v>
          </cell>
        </row>
        <row r="8156">
          <cell r="G8156">
            <v>525.4</v>
          </cell>
        </row>
        <row r="8157">
          <cell r="G8157">
            <v>525.44000000000005</v>
          </cell>
        </row>
        <row r="8158">
          <cell r="G8158">
            <v>525.17999999999995</v>
          </cell>
        </row>
        <row r="8159">
          <cell r="G8159">
            <v>525.17999999999995</v>
          </cell>
        </row>
        <row r="8160">
          <cell r="G8160">
            <v>525.25</v>
          </cell>
        </row>
        <row r="8161">
          <cell r="G8161">
            <v>525.25</v>
          </cell>
        </row>
        <row r="8162">
          <cell r="G8162">
            <v>525.44000000000005</v>
          </cell>
        </row>
        <row r="8163">
          <cell r="G8163">
            <v>102.02</v>
          </cell>
        </row>
        <row r="8164">
          <cell r="G8164">
            <v>511.07</v>
          </cell>
        </row>
        <row r="8166">
          <cell r="G8166">
            <v>301</v>
          </cell>
        </row>
        <row r="8167">
          <cell r="G8167">
            <v>374</v>
          </cell>
        </row>
        <row r="8168">
          <cell r="G8168">
            <v>102.02</v>
          </cell>
        </row>
        <row r="8170">
          <cell r="G8170">
            <v>154</v>
          </cell>
        </row>
        <row r="8171">
          <cell r="G8171">
            <v>511.07</v>
          </cell>
        </row>
        <row r="8172">
          <cell r="G8172">
            <v>514.04</v>
          </cell>
        </row>
        <row r="8173">
          <cell r="G8173">
            <v>525.1</v>
          </cell>
        </row>
        <row r="8174">
          <cell r="G8174">
            <v>525.17999999999995</v>
          </cell>
        </row>
        <row r="8175">
          <cell r="G8175">
            <v>525.23</v>
          </cell>
        </row>
        <row r="8176">
          <cell r="G8176">
            <v>525.24</v>
          </cell>
        </row>
        <row r="8177">
          <cell r="G8177">
            <v>525.25</v>
          </cell>
        </row>
        <row r="8178">
          <cell r="G8178">
            <v>525.26</v>
          </cell>
        </row>
        <row r="8179">
          <cell r="G8179">
            <v>525.29</v>
          </cell>
        </row>
        <row r="8180">
          <cell r="G8180">
            <v>525.38</v>
          </cell>
        </row>
        <row r="8181">
          <cell r="G8181">
            <v>525.4</v>
          </cell>
        </row>
        <row r="8182">
          <cell r="G8182">
            <v>525.41999999999996</v>
          </cell>
        </row>
        <row r="8183">
          <cell r="G8183">
            <v>525.42999999999995</v>
          </cell>
        </row>
        <row r="8184">
          <cell r="G8184">
            <v>525.44000000000005</v>
          </cell>
        </row>
        <row r="8185">
          <cell r="G8185">
            <v>102.02</v>
          </cell>
        </row>
        <row r="8187">
          <cell r="G8187">
            <v>154</v>
          </cell>
        </row>
        <row r="8188">
          <cell r="G8188">
            <v>525.45000000000005</v>
          </cell>
        </row>
        <row r="8189">
          <cell r="G8189">
            <v>374</v>
          </cell>
        </row>
        <row r="8190">
          <cell r="G8190">
            <v>102.06</v>
          </cell>
        </row>
        <row r="8192">
          <cell r="G8192">
            <v>301</v>
          </cell>
        </row>
        <row r="8193">
          <cell r="G8193">
            <v>374</v>
          </cell>
        </row>
        <row r="8194">
          <cell r="G8194">
            <v>102.02</v>
          </cell>
        </row>
        <row r="8196">
          <cell r="G8196">
            <v>301</v>
          </cell>
        </row>
        <row r="8197">
          <cell r="G8197">
            <v>374</v>
          </cell>
        </row>
        <row r="8198">
          <cell r="G8198">
            <v>102.06</v>
          </cell>
        </row>
        <row r="8200">
          <cell r="G8200">
            <v>302</v>
          </cell>
        </row>
        <row r="8201">
          <cell r="G8201">
            <v>165</v>
          </cell>
        </row>
        <row r="8202">
          <cell r="G8202">
            <v>304</v>
          </cell>
        </row>
        <row r="8203">
          <cell r="G8203">
            <v>374</v>
          </cell>
        </row>
        <row r="8204">
          <cell r="G8204">
            <v>102.02</v>
          </cell>
        </row>
        <row r="8206">
          <cell r="G8206">
            <v>302</v>
          </cell>
        </row>
        <row r="8207">
          <cell r="G8207">
            <v>304</v>
          </cell>
        </row>
        <row r="8208">
          <cell r="G8208">
            <v>165</v>
          </cell>
        </row>
        <row r="8209">
          <cell r="G8209">
            <v>374</v>
          </cell>
        </row>
        <row r="8210">
          <cell r="G8210">
            <v>102.02</v>
          </cell>
        </row>
        <row r="8212">
          <cell r="G8212">
            <v>301</v>
          </cell>
        </row>
        <row r="8213">
          <cell r="G8213">
            <v>174.01</v>
          </cell>
        </row>
        <row r="8214">
          <cell r="G8214">
            <v>102.02</v>
          </cell>
        </row>
        <row r="8216">
          <cell r="G8216">
            <v>301</v>
          </cell>
        </row>
        <row r="8217">
          <cell r="G8217">
            <v>374</v>
          </cell>
        </row>
        <row r="8218">
          <cell r="G8218">
            <v>102.02</v>
          </cell>
        </row>
        <row r="8220">
          <cell r="G8220">
            <v>301</v>
          </cell>
        </row>
        <row r="8221">
          <cell r="G8221">
            <v>374</v>
          </cell>
        </row>
        <row r="8222">
          <cell r="G8222">
            <v>102.02</v>
          </cell>
        </row>
        <row r="8224">
          <cell r="G8224">
            <v>301</v>
          </cell>
        </row>
        <row r="8225">
          <cell r="G8225">
            <v>374</v>
          </cell>
        </row>
        <row r="8226">
          <cell r="G8226">
            <v>102.02</v>
          </cell>
        </row>
        <row r="8228">
          <cell r="G8228">
            <v>301</v>
          </cell>
        </row>
        <row r="8229">
          <cell r="G8229">
            <v>374</v>
          </cell>
        </row>
        <row r="8230">
          <cell r="G8230">
            <v>102.02</v>
          </cell>
        </row>
        <row r="8232">
          <cell r="G8232">
            <v>301</v>
          </cell>
        </row>
        <row r="8233">
          <cell r="G8233">
            <v>374</v>
          </cell>
        </row>
        <row r="8234">
          <cell r="G8234">
            <v>102.02</v>
          </cell>
        </row>
        <row r="8236">
          <cell r="G8236">
            <v>301</v>
          </cell>
        </row>
        <row r="8237">
          <cell r="G8237">
            <v>163</v>
          </cell>
        </row>
        <row r="8238">
          <cell r="G8238">
            <v>374</v>
          </cell>
        </row>
        <row r="8239">
          <cell r="G8239">
            <v>102.02</v>
          </cell>
        </row>
        <row r="8241">
          <cell r="G8241">
            <v>301</v>
          </cell>
        </row>
        <row r="8242">
          <cell r="G8242">
            <v>374</v>
          </cell>
        </row>
        <row r="8243">
          <cell r="G8243">
            <v>102.02</v>
          </cell>
        </row>
        <row r="8245">
          <cell r="G8245">
            <v>301</v>
          </cell>
        </row>
        <row r="8246">
          <cell r="G8246">
            <v>374</v>
          </cell>
        </row>
        <row r="8247">
          <cell r="G8247">
            <v>102.02</v>
          </cell>
        </row>
        <row r="8249">
          <cell r="G8249">
            <v>302</v>
          </cell>
        </row>
        <row r="8250">
          <cell r="G8250">
            <v>374</v>
          </cell>
        </row>
        <row r="8251">
          <cell r="G8251">
            <v>102.02</v>
          </cell>
        </row>
        <row r="8253">
          <cell r="G8253">
            <v>301</v>
          </cell>
        </row>
        <row r="8254">
          <cell r="G8254">
            <v>374</v>
          </cell>
        </row>
        <row r="8255">
          <cell r="G8255">
            <v>102.02</v>
          </cell>
        </row>
        <row r="8257">
          <cell r="G8257">
            <v>301</v>
          </cell>
        </row>
        <row r="8258">
          <cell r="G8258">
            <v>374</v>
          </cell>
        </row>
        <row r="8259">
          <cell r="G8259">
            <v>102.02</v>
          </cell>
        </row>
        <row r="8261">
          <cell r="G8261">
            <v>301</v>
          </cell>
        </row>
        <row r="8262">
          <cell r="G8262">
            <v>374</v>
          </cell>
        </row>
        <row r="8263">
          <cell r="G8263">
            <v>102.02</v>
          </cell>
        </row>
        <row r="8265">
          <cell r="G8265">
            <v>301</v>
          </cell>
        </row>
        <row r="8266">
          <cell r="G8266">
            <v>163</v>
          </cell>
        </row>
        <row r="8267">
          <cell r="G8267">
            <v>374</v>
          </cell>
        </row>
        <row r="8268">
          <cell r="G8268">
            <v>102.02</v>
          </cell>
        </row>
        <row r="8270">
          <cell r="G8270">
            <v>154</v>
          </cell>
        </row>
        <row r="8271">
          <cell r="G8271">
            <v>234.01</v>
          </cell>
        </row>
        <row r="8272">
          <cell r="G8272">
            <v>374</v>
          </cell>
        </row>
        <row r="8273">
          <cell r="G8273">
            <v>102.02</v>
          </cell>
        </row>
        <row r="8275">
          <cell r="G8275">
            <v>513.03</v>
          </cell>
        </row>
        <row r="8276">
          <cell r="G8276">
            <v>304</v>
          </cell>
        </row>
        <row r="8277">
          <cell r="G8277">
            <v>102.02</v>
          </cell>
        </row>
        <row r="8286">
          <cell r="G8286">
            <v>513.07000000000005</v>
          </cell>
        </row>
        <row r="8287">
          <cell r="G8287">
            <v>174.01</v>
          </cell>
        </row>
        <row r="8288">
          <cell r="G8288">
            <v>304</v>
          </cell>
        </row>
        <row r="8289">
          <cell r="G8289">
            <v>374</v>
          </cell>
        </row>
        <row r="8290">
          <cell r="G8290">
            <v>102.02</v>
          </cell>
        </row>
        <row r="8292">
          <cell r="G8292">
            <v>301</v>
          </cell>
        </row>
        <row r="8293">
          <cell r="G8293">
            <v>102.02</v>
          </cell>
        </row>
        <row r="8295">
          <cell r="G8295">
            <v>301</v>
          </cell>
        </row>
        <row r="8296">
          <cell r="G8296">
            <v>374</v>
          </cell>
        </row>
        <row r="8297">
          <cell r="G8297">
            <v>102.02</v>
          </cell>
        </row>
        <row r="8299">
          <cell r="G8299">
            <v>302</v>
          </cell>
        </row>
        <row r="8300">
          <cell r="G8300">
            <v>165</v>
          </cell>
        </row>
        <row r="8301">
          <cell r="G8301">
            <v>304</v>
          </cell>
        </row>
        <row r="8302">
          <cell r="G8302">
            <v>374</v>
          </cell>
        </row>
        <row r="8303">
          <cell r="G8303">
            <v>102.06</v>
          </cell>
        </row>
        <row r="8305">
          <cell r="G8305">
            <v>301</v>
          </cell>
        </row>
        <row r="8306">
          <cell r="G8306">
            <v>374</v>
          </cell>
        </row>
        <row r="8307">
          <cell r="G8307">
            <v>102.02</v>
          </cell>
        </row>
        <row r="8309">
          <cell r="G8309">
            <v>310</v>
          </cell>
        </row>
        <row r="8310">
          <cell r="G8310">
            <v>161</v>
          </cell>
        </row>
        <row r="8311">
          <cell r="G8311">
            <v>374</v>
          </cell>
        </row>
        <row r="8312">
          <cell r="G8312">
            <v>102.02</v>
          </cell>
        </row>
        <row r="8314">
          <cell r="G8314">
            <v>302</v>
          </cell>
        </row>
        <row r="8315">
          <cell r="G8315">
            <v>165</v>
          </cell>
        </row>
        <row r="8316">
          <cell r="G8316">
            <v>304</v>
          </cell>
        </row>
        <row r="8317">
          <cell r="G8317">
            <v>374</v>
          </cell>
        </row>
        <row r="8318">
          <cell r="G8318">
            <v>102.02</v>
          </cell>
        </row>
        <row r="8320">
          <cell r="G8320">
            <v>301</v>
          </cell>
        </row>
        <row r="8321">
          <cell r="G8321">
            <v>374</v>
          </cell>
        </row>
        <row r="8322">
          <cell r="G8322">
            <v>163</v>
          </cell>
        </row>
        <row r="8323">
          <cell r="G8323">
            <v>102.02</v>
          </cell>
        </row>
        <row r="8325">
          <cell r="G8325">
            <v>302</v>
          </cell>
        </row>
        <row r="8326">
          <cell r="G8326">
            <v>374</v>
          </cell>
        </row>
        <row r="8327">
          <cell r="G8327">
            <v>102.02</v>
          </cell>
        </row>
        <row r="8329">
          <cell r="G8329">
            <v>301</v>
          </cell>
        </row>
        <row r="8330">
          <cell r="G8330">
            <v>374</v>
          </cell>
        </row>
        <row r="8331">
          <cell r="G8331">
            <v>102.02</v>
          </cell>
        </row>
        <row r="8333">
          <cell r="G8333">
            <v>301</v>
          </cell>
        </row>
        <row r="8334">
          <cell r="G8334">
            <v>165</v>
          </cell>
        </row>
        <row r="8335">
          <cell r="G8335">
            <v>374</v>
          </cell>
        </row>
        <row r="8336">
          <cell r="G8336">
            <v>102.02</v>
          </cell>
        </row>
        <row r="8338">
          <cell r="G8338">
            <v>512.07000000000005</v>
          </cell>
        </row>
        <row r="8339">
          <cell r="G8339">
            <v>174.01</v>
          </cell>
        </row>
        <row r="8340">
          <cell r="G8340">
            <v>102.02</v>
          </cell>
        </row>
        <row r="8342">
          <cell r="G8342">
            <v>301</v>
          </cell>
        </row>
        <row r="8343">
          <cell r="G8343">
            <v>374</v>
          </cell>
        </row>
        <row r="8344">
          <cell r="G8344">
            <v>102.02</v>
          </cell>
        </row>
        <row r="8346">
          <cell r="G8346">
            <v>301</v>
          </cell>
        </row>
        <row r="8347">
          <cell r="G8347">
            <v>374</v>
          </cell>
        </row>
        <row r="8348">
          <cell r="G8348">
            <v>102.02</v>
          </cell>
        </row>
        <row r="8350">
          <cell r="G8350">
            <v>154</v>
          </cell>
        </row>
        <row r="8351">
          <cell r="G8351">
            <v>161</v>
          </cell>
        </row>
        <row r="8352">
          <cell r="G8352">
            <v>525.24</v>
          </cell>
        </row>
        <row r="8353">
          <cell r="G8353">
            <v>541.24</v>
          </cell>
        </row>
        <row r="8354">
          <cell r="G8354">
            <v>102.02</v>
          </cell>
        </row>
        <row r="8361">
          <cell r="G8361">
            <v>541.32000000000005</v>
          </cell>
        </row>
        <row r="8362">
          <cell r="G8362">
            <v>102.02</v>
          </cell>
        </row>
        <row r="8366">
          <cell r="G8366">
            <v>165</v>
          </cell>
        </row>
        <row r="8367">
          <cell r="G8367">
            <v>102.02</v>
          </cell>
        </row>
        <row r="8369">
          <cell r="G8369">
            <v>541.38</v>
          </cell>
        </row>
        <row r="8370">
          <cell r="G8370">
            <v>541.15</v>
          </cell>
        </row>
        <row r="8371">
          <cell r="G8371">
            <v>541.38</v>
          </cell>
        </row>
        <row r="8372">
          <cell r="G8372">
            <v>541.44000000000005</v>
          </cell>
        </row>
        <row r="8373">
          <cell r="G8373">
            <v>541.44000000000005</v>
          </cell>
        </row>
        <row r="8374">
          <cell r="G8374">
            <v>541.17999999999995</v>
          </cell>
        </row>
        <row r="8375">
          <cell r="G8375">
            <v>541.44000000000005</v>
          </cell>
        </row>
        <row r="8376">
          <cell r="G8376">
            <v>541.44000000000005</v>
          </cell>
        </row>
        <row r="8377">
          <cell r="G8377">
            <v>541.44000000000005</v>
          </cell>
        </row>
        <row r="8378">
          <cell r="G8378">
            <v>541.23</v>
          </cell>
        </row>
        <row r="8379">
          <cell r="G8379">
            <v>541.38</v>
          </cell>
        </row>
        <row r="8380">
          <cell r="G8380">
            <v>541.38</v>
          </cell>
        </row>
        <row r="8381">
          <cell r="G8381">
            <v>541.38</v>
          </cell>
        </row>
        <row r="8382">
          <cell r="G8382">
            <v>541.4</v>
          </cell>
        </row>
        <row r="8383">
          <cell r="G8383">
            <v>541.37</v>
          </cell>
        </row>
        <row r="8384">
          <cell r="G8384">
            <v>541.38</v>
          </cell>
        </row>
        <row r="8385">
          <cell r="G8385">
            <v>541.1</v>
          </cell>
        </row>
        <row r="8386">
          <cell r="G8386">
            <v>541.17999999999995</v>
          </cell>
        </row>
        <row r="8387">
          <cell r="G8387">
            <v>541.44000000000005</v>
          </cell>
        </row>
        <row r="8388">
          <cell r="G8388">
            <v>541.17999999999995</v>
          </cell>
        </row>
        <row r="8389">
          <cell r="G8389">
            <v>541.29999999999995</v>
          </cell>
        </row>
        <row r="8390">
          <cell r="G8390">
            <v>541.38</v>
          </cell>
        </row>
        <row r="8391">
          <cell r="G8391">
            <v>541.29999999999995</v>
          </cell>
        </row>
        <row r="8392">
          <cell r="G8392">
            <v>541.44000000000005</v>
          </cell>
        </row>
        <row r="8393">
          <cell r="G8393">
            <v>541.17999999999995</v>
          </cell>
        </row>
        <row r="8394">
          <cell r="G8394">
            <v>541.38</v>
          </cell>
        </row>
        <row r="8395">
          <cell r="G8395">
            <v>541.1</v>
          </cell>
        </row>
        <row r="8396">
          <cell r="G8396">
            <v>541.29999999999995</v>
          </cell>
        </row>
        <row r="8397">
          <cell r="G8397">
            <v>541.38</v>
          </cell>
        </row>
        <row r="8398">
          <cell r="G8398">
            <v>541.44000000000005</v>
          </cell>
        </row>
        <row r="8399">
          <cell r="G8399">
            <v>541.17999999999995</v>
          </cell>
        </row>
        <row r="8400">
          <cell r="G8400">
            <v>541.44000000000005</v>
          </cell>
        </row>
        <row r="8401">
          <cell r="G8401">
            <v>541.16</v>
          </cell>
        </row>
        <row r="8402">
          <cell r="G8402">
            <v>541.44000000000005</v>
          </cell>
        </row>
        <row r="8403">
          <cell r="G8403">
            <v>541.38</v>
          </cell>
        </row>
        <row r="8404">
          <cell r="G8404">
            <v>541.1</v>
          </cell>
        </row>
        <row r="8405">
          <cell r="G8405">
            <v>541.17999999999995</v>
          </cell>
        </row>
        <row r="8406">
          <cell r="G8406">
            <v>154</v>
          </cell>
        </row>
        <row r="8407">
          <cell r="G8407">
            <v>161</v>
          </cell>
        </row>
        <row r="8408">
          <cell r="G8408">
            <v>161</v>
          </cell>
        </row>
        <row r="8409">
          <cell r="G8409">
            <v>543.44000000000005</v>
          </cell>
        </row>
        <row r="8410">
          <cell r="G8410">
            <v>525.52</v>
          </cell>
        </row>
        <row r="8411">
          <cell r="G8411">
            <v>525.4</v>
          </cell>
        </row>
        <row r="8412">
          <cell r="G8412">
            <v>525.4</v>
          </cell>
        </row>
        <row r="8413">
          <cell r="G8413">
            <v>525.4</v>
          </cell>
        </row>
        <row r="8414">
          <cell r="G8414">
            <v>525.30999999999995</v>
          </cell>
        </row>
        <row r="8415">
          <cell r="G8415">
            <v>525.32000000000005</v>
          </cell>
        </row>
        <row r="8416">
          <cell r="G8416">
            <v>525.32000000000005</v>
          </cell>
        </row>
        <row r="8417">
          <cell r="G8417">
            <v>525.32000000000005</v>
          </cell>
        </row>
        <row r="8418">
          <cell r="G8418">
            <v>525.32000000000005</v>
          </cell>
        </row>
        <row r="8419">
          <cell r="G8419">
            <v>102.02</v>
          </cell>
        </row>
        <row r="8423">
          <cell r="G8423">
            <v>154</v>
          </cell>
        </row>
        <row r="8424">
          <cell r="G8424">
            <v>511.03</v>
          </cell>
        </row>
        <row r="8425">
          <cell r="G8425">
            <v>161</v>
          </cell>
        </row>
        <row r="8426">
          <cell r="G8426">
            <v>514.04999999999995</v>
          </cell>
        </row>
        <row r="8427">
          <cell r="G8427">
            <v>165</v>
          </cell>
        </row>
        <row r="8428">
          <cell r="G8428">
            <v>525.24</v>
          </cell>
        </row>
        <row r="8429">
          <cell r="G8429">
            <v>525.24</v>
          </cell>
        </row>
        <row r="8430">
          <cell r="G8430">
            <v>525.44000000000005</v>
          </cell>
        </row>
        <row r="8431">
          <cell r="G8431">
            <v>525.4</v>
          </cell>
        </row>
        <row r="8432">
          <cell r="G8432">
            <v>525.4</v>
          </cell>
        </row>
        <row r="8433">
          <cell r="G8433">
            <v>525.23</v>
          </cell>
        </row>
        <row r="8434">
          <cell r="G8434">
            <v>525.24</v>
          </cell>
        </row>
        <row r="8435">
          <cell r="G8435">
            <v>525.24</v>
          </cell>
        </row>
        <row r="8436">
          <cell r="G8436">
            <v>525.24</v>
          </cell>
        </row>
        <row r="8437">
          <cell r="G8437">
            <v>525.24</v>
          </cell>
        </row>
        <row r="8438">
          <cell r="G8438">
            <v>525.44000000000005</v>
          </cell>
        </row>
        <row r="8439">
          <cell r="G8439">
            <v>525.24</v>
          </cell>
        </row>
        <row r="8440">
          <cell r="G8440">
            <v>525.38</v>
          </cell>
        </row>
        <row r="8441">
          <cell r="G8441">
            <v>525.4</v>
          </cell>
        </row>
        <row r="8442">
          <cell r="G8442">
            <v>525.44000000000005</v>
          </cell>
        </row>
        <row r="8443">
          <cell r="G8443">
            <v>525.33000000000004</v>
          </cell>
        </row>
        <row r="8444">
          <cell r="G8444">
            <v>161</v>
          </cell>
        </row>
        <row r="8445">
          <cell r="G8445">
            <v>102.02</v>
          </cell>
        </row>
        <row r="8447">
          <cell r="G8447">
            <v>154</v>
          </cell>
        </row>
        <row r="8448">
          <cell r="G8448">
            <v>511.03</v>
          </cell>
        </row>
        <row r="8449">
          <cell r="G8449">
            <v>165</v>
          </cell>
        </row>
        <row r="8450">
          <cell r="G8450">
            <v>161</v>
          </cell>
        </row>
        <row r="8451">
          <cell r="G8451">
            <v>514.04</v>
          </cell>
        </row>
        <row r="8452">
          <cell r="G8452">
            <v>525.44000000000005</v>
          </cell>
        </row>
        <row r="8453">
          <cell r="G8453">
            <v>525.38</v>
          </cell>
        </row>
        <row r="8454">
          <cell r="G8454">
            <v>525.4</v>
          </cell>
        </row>
        <row r="8455">
          <cell r="G8455">
            <v>525.24</v>
          </cell>
        </row>
        <row r="8456">
          <cell r="G8456">
            <v>525.24</v>
          </cell>
        </row>
        <row r="8457">
          <cell r="G8457">
            <v>525.4</v>
          </cell>
        </row>
        <row r="8458">
          <cell r="G8458">
            <v>525.29</v>
          </cell>
        </row>
        <row r="8459">
          <cell r="G8459">
            <v>525.44000000000005</v>
          </cell>
        </row>
        <row r="8460">
          <cell r="G8460">
            <v>525.33000000000004</v>
          </cell>
        </row>
        <row r="8461">
          <cell r="G8461">
            <v>525.24</v>
          </cell>
        </row>
        <row r="8462">
          <cell r="G8462">
            <v>525.44000000000005</v>
          </cell>
        </row>
        <row r="8463">
          <cell r="G8463">
            <v>525.26</v>
          </cell>
        </row>
        <row r="8464">
          <cell r="G8464">
            <v>525.26</v>
          </cell>
        </row>
        <row r="8465">
          <cell r="G8465">
            <v>525.26</v>
          </cell>
        </row>
        <row r="8466">
          <cell r="G8466">
            <v>525.24</v>
          </cell>
        </row>
        <row r="8467">
          <cell r="G8467">
            <v>102.02</v>
          </cell>
        </row>
        <row r="8469">
          <cell r="G8469">
            <v>301</v>
          </cell>
        </row>
        <row r="8470">
          <cell r="G8470">
            <v>374</v>
          </cell>
        </row>
        <row r="8471">
          <cell r="G8471">
            <v>102.02</v>
          </cell>
        </row>
        <row r="8473">
          <cell r="G8473">
            <v>301</v>
          </cell>
        </row>
        <row r="8474">
          <cell r="G8474">
            <v>374</v>
          </cell>
        </row>
        <row r="8475">
          <cell r="G8475">
            <v>102.02</v>
          </cell>
        </row>
        <row r="8477">
          <cell r="G8477">
            <v>154</v>
          </cell>
        </row>
        <row r="8478">
          <cell r="G8478">
            <v>511.07</v>
          </cell>
        </row>
        <row r="8479">
          <cell r="G8479">
            <v>374</v>
          </cell>
        </row>
        <row r="8480">
          <cell r="G8480">
            <v>102.02</v>
          </cell>
        </row>
        <row r="8482">
          <cell r="G8482">
            <v>301</v>
          </cell>
        </row>
        <row r="8483">
          <cell r="G8483">
            <v>374</v>
          </cell>
        </row>
        <row r="8484">
          <cell r="G8484">
            <v>102.02</v>
          </cell>
        </row>
        <row r="8487">
          <cell r="G8487">
            <v>302</v>
          </cell>
        </row>
        <row r="8488">
          <cell r="G8488">
            <v>163</v>
          </cell>
        </row>
        <row r="8489">
          <cell r="G8489">
            <v>374</v>
          </cell>
        </row>
        <row r="8490">
          <cell r="G8490">
            <v>102.02</v>
          </cell>
        </row>
        <row r="8492">
          <cell r="G8492">
            <v>302</v>
          </cell>
        </row>
        <row r="8493">
          <cell r="G8493">
            <v>374</v>
          </cell>
        </row>
        <row r="8494">
          <cell r="G8494">
            <v>102.02</v>
          </cell>
        </row>
        <row r="8496">
          <cell r="G8496">
            <v>513.03</v>
          </cell>
        </row>
        <row r="8497">
          <cell r="G8497">
            <v>304</v>
          </cell>
        </row>
        <row r="8498">
          <cell r="G8498">
            <v>102.02</v>
          </cell>
        </row>
        <row r="8505">
          <cell r="G8505">
            <v>301</v>
          </cell>
        </row>
        <row r="8506">
          <cell r="G8506">
            <v>374</v>
          </cell>
        </row>
        <row r="8507">
          <cell r="G8507">
            <v>102.02</v>
          </cell>
        </row>
        <row r="8509">
          <cell r="G8509">
            <v>301</v>
          </cell>
        </row>
        <row r="8510">
          <cell r="G8510">
            <v>374</v>
          </cell>
        </row>
        <row r="8511">
          <cell r="G8511">
            <v>102.02</v>
          </cell>
        </row>
        <row r="8513">
          <cell r="G8513">
            <v>301</v>
          </cell>
        </row>
        <row r="8514">
          <cell r="G8514">
            <v>102.02</v>
          </cell>
        </row>
        <row r="8516">
          <cell r="G8516">
            <v>301</v>
          </cell>
        </row>
        <row r="8517">
          <cell r="G8517">
            <v>374</v>
          </cell>
        </row>
        <row r="8518">
          <cell r="G8518">
            <v>102.02</v>
          </cell>
        </row>
        <row r="8520">
          <cell r="G8520">
            <v>165</v>
          </cell>
        </row>
        <row r="8521">
          <cell r="G8521">
            <v>102.02</v>
          </cell>
        </row>
        <row r="8524">
          <cell r="G8524">
            <v>163</v>
          </cell>
        </row>
        <row r="8525">
          <cell r="G8525">
            <v>102.02</v>
          </cell>
        </row>
        <row r="8527">
          <cell r="G8527">
            <v>302</v>
          </cell>
        </row>
        <row r="8528">
          <cell r="G8528">
            <v>165</v>
          </cell>
        </row>
        <row r="8529">
          <cell r="G8529">
            <v>304</v>
          </cell>
        </row>
        <row r="8530">
          <cell r="G8530">
            <v>374</v>
          </cell>
        </row>
        <row r="8531">
          <cell r="G8531">
            <v>102.02</v>
          </cell>
        </row>
        <row r="8533">
          <cell r="G8533">
            <v>302</v>
          </cell>
        </row>
        <row r="8534">
          <cell r="G8534">
            <v>304</v>
          </cell>
        </row>
        <row r="8535">
          <cell r="G8535">
            <v>374</v>
          </cell>
        </row>
        <row r="8536">
          <cell r="G8536">
            <v>102.02</v>
          </cell>
        </row>
        <row r="8538">
          <cell r="G8538">
            <v>163</v>
          </cell>
        </row>
        <row r="8539">
          <cell r="G8539">
            <v>102.02</v>
          </cell>
        </row>
        <row r="8541">
          <cell r="G8541">
            <v>165</v>
          </cell>
        </row>
        <row r="8542">
          <cell r="G8542">
            <v>102.02</v>
          </cell>
        </row>
        <row r="8544">
          <cell r="G8544">
            <v>154</v>
          </cell>
        </row>
        <row r="8545">
          <cell r="G8545">
            <v>525.5</v>
          </cell>
        </row>
        <row r="8546">
          <cell r="G8546">
            <v>102.02</v>
          </cell>
        </row>
        <row r="8548">
          <cell r="G8548">
            <v>525.14</v>
          </cell>
        </row>
        <row r="8549">
          <cell r="G8549">
            <v>161</v>
          </cell>
        </row>
        <row r="8550">
          <cell r="G8550">
            <v>102.02</v>
          </cell>
        </row>
        <row r="8552">
          <cell r="G8552">
            <v>103.01</v>
          </cell>
        </row>
        <row r="8553">
          <cell r="G8553">
            <v>102.02</v>
          </cell>
        </row>
        <row r="8555">
          <cell r="G8555">
            <v>512.07000000000005</v>
          </cell>
        </row>
        <row r="8556">
          <cell r="G8556">
            <v>512.1</v>
          </cell>
        </row>
        <row r="8557">
          <cell r="G8557">
            <v>165</v>
          </cell>
        </row>
        <row r="8558">
          <cell r="G8558">
            <v>174.01</v>
          </cell>
        </row>
        <row r="8559">
          <cell r="G8559">
            <v>102.02</v>
          </cell>
        </row>
        <row r="8561">
          <cell r="G8561">
            <v>301</v>
          </cell>
        </row>
        <row r="8562">
          <cell r="G8562">
            <v>374</v>
          </cell>
        </row>
        <row r="8563">
          <cell r="G8563">
            <v>102.06</v>
          </cell>
        </row>
        <row r="8565">
          <cell r="G8565">
            <v>302</v>
          </cell>
        </row>
        <row r="8566">
          <cell r="G8566">
            <v>301</v>
          </cell>
        </row>
        <row r="8567">
          <cell r="G8567">
            <v>304</v>
          </cell>
        </row>
        <row r="8568">
          <cell r="G8568">
            <v>374</v>
          </cell>
        </row>
        <row r="8569">
          <cell r="G8569">
            <v>102.06</v>
          </cell>
        </row>
        <row r="8573">
          <cell r="G8573">
            <v>541.01</v>
          </cell>
        </row>
        <row r="8574">
          <cell r="G8574">
            <v>161</v>
          </cell>
        </row>
        <row r="8575">
          <cell r="G8575">
            <v>341.02</v>
          </cell>
        </row>
        <row r="8576">
          <cell r="G8576">
            <v>341.04</v>
          </cell>
        </row>
        <row r="8577">
          <cell r="G8577">
            <v>341.06</v>
          </cell>
        </row>
        <row r="8578">
          <cell r="G8578">
            <v>373</v>
          </cell>
        </row>
        <row r="8579">
          <cell r="G8579">
            <v>102.04</v>
          </cell>
        </row>
        <row r="8581">
          <cell r="G8581">
            <v>541.85</v>
          </cell>
        </row>
        <row r="8582">
          <cell r="G8582">
            <v>102.04</v>
          </cell>
        </row>
        <row r="8584">
          <cell r="G8584">
            <v>154</v>
          </cell>
        </row>
        <row r="8585">
          <cell r="G8585">
            <v>511.07</v>
          </cell>
        </row>
        <row r="8586">
          <cell r="G8586">
            <v>514.04</v>
          </cell>
        </row>
        <row r="8587">
          <cell r="G8587">
            <v>525.17999999999995</v>
          </cell>
        </row>
        <row r="8588">
          <cell r="G8588">
            <v>525.25</v>
          </cell>
        </row>
        <row r="8589">
          <cell r="G8589">
            <v>525.26</v>
          </cell>
        </row>
        <row r="8590">
          <cell r="G8590">
            <v>525.29</v>
          </cell>
        </row>
        <row r="8591">
          <cell r="G8591">
            <v>525.33000000000004</v>
          </cell>
        </row>
        <row r="8592">
          <cell r="G8592">
            <v>525.38</v>
          </cell>
        </row>
        <row r="8593">
          <cell r="G8593">
            <v>525.4</v>
          </cell>
        </row>
        <row r="8594">
          <cell r="G8594">
            <v>525.42999999999995</v>
          </cell>
        </row>
        <row r="8595">
          <cell r="G8595">
            <v>525.44000000000005</v>
          </cell>
        </row>
        <row r="8596">
          <cell r="G8596">
            <v>102.04</v>
          </cell>
        </row>
        <row r="8598">
          <cell r="G8598">
            <v>102.04</v>
          </cell>
        </row>
        <row r="8599">
          <cell r="G8599">
            <v>102.06</v>
          </cell>
        </row>
        <row r="8601">
          <cell r="G8601">
            <v>154</v>
          </cell>
        </row>
        <row r="8602">
          <cell r="G8602">
            <v>511.03</v>
          </cell>
        </row>
        <row r="8603">
          <cell r="G8603">
            <v>165</v>
          </cell>
        </row>
        <row r="8604">
          <cell r="G8604">
            <v>301</v>
          </cell>
        </row>
        <row r="8605">
          <cell r="G8605">
            <v>525.24</v>
          </cell>
        </row>
        <row r="8606">
          <cell r="G8606">
            <v>525.33000000000004</v>
          </cell>
        </row>
        <row r="8607">
          <cell r="G8607">
            <v>525.24</v>
          </cell>
        </row>
        <row r="8608">
          <cell r="G8608">
            <v>525.45000000000005</v>
          </cell>
        </row>
        <row r="8609">
          <cell r="G8609">
            <v>525.29999999999995</v>
          </cell>
        </row>
        <row r="8610">
          <cell r="G8610">
            <v>525.38</v>
          </cell>
        </row>
        <row r="8611">
          <cell r="G8611">
            <v>525.44000000000005</v>
          </cell>
        </row>
        <row r="8612">
          <cell r="G8612">
            <v>525.44000000000005</v>
          </cell>
        </row>
        <row r="8613">
          <cell r="G8613">
            <v>525.4</v>
          </cell>
        </row>
        <row r="8614">
          <cell r="G8614">
            <v>525.44000000000005</v>
          </cell>
        </row>
        <row r="8615">
          <cell r="G8615">
            <v>525.44000000000005</v>
          </cell>
        </row>
        <row r="8616">
          <cell r="G8616">
            <v>525.24</v>
          </cell>
        </row>
        <row r="8617">
          <cell r="G8617">
            <v>525.44000000000005</v>
          </cell>
        </row>
        <row r="8618">
          <cell r="G8618">
            <v>525.44000000000005</v>
          </cell>
        </row>
        <row r="8619">
          <cell r="G8619">
            <v>525.4</v>
          </cell>
        </row>
        <row r="8620">
          <cell r="G8620">
            <v>525.44000000000005</v>
          </cell>
        </row>
        <row r="8621">
          <cell r="G8621">
            <v>525.24</v>
          </cell>
        </row>
        <row r="8622">
          <cell r="G8622">
            <v>525.44000000000005</v>
          </cell>
        </row>
        <row r="8623">
          <cell r="G8623">
            <v>525.44000000000005</v>
          </cell>
        </row>
        <row r="8624">
          <cell r="G8624">
            <v>525.44000000000005</v>
          </cell>
        </row>
        <row r="8625">
          <cell r="G8625">
            <v>525.44000000000005</v>
          </cell>
        </row>
        <row r="8626">
          <cell r="G8626">
            <v>525.24</v>
          </cell>
        </row>
        <row r="8627">
          <cell r="G8627">
            <v>525.20000000000005</v>
          </cell>
        </row>
        <row r="8628">
          <cell r="G8628">
            <v>525.24</v>
          </cell>
        </row>
        <row r="8629">
          <cell r="G8629">
            <v>525.33000000000004</v>
          </cell>
        </row>
        <row r="8630">
          <cell r="G8630">
            <v>525.23</v>
          </cell>
        </row>
        <row r="8631">
          <cell r="G8631">
            <v>102.02</v>
          </cell>
        </row>
        <row r="8633">
          <cell r="G8633">
            <v>154</v>
          </cell>
        </row>
        <row r="8634">
          <cell r="G8634">
            <v>511.07</v>
          </cell>
        </row>
        <row r="8635">
          <cell r="G8635">
            <v>102.06</v>
          </cell>
        </row>
        <row r="8637">
          <cell r="G8637">
            <v>521.01</v>
          </cell>
        </row>
        <row r="8638">
          <cell r="G8638">
            <v>541.01</v>
          </cell>
        </row>
        <row r="8639">
          <cell r="G8639">
            <v>543.01</v>
          </cell>
        </row>
        <row r="8640">
          <cell r="G8640">
            <v>544.01</v>
          </cell>
        </row>
        <row r="8641">
          <cell r="G8641">
            <v>161</v>
          </cell>
        </row>
        <row r="8642">
          <cell r="G8642">
            <v>341.02</v>
          </cell>
        </row>
        <row r="8643">
          <cell r="G8643">
            <v>341.04</v>
          </cell>
        </row>
        <row r="8644">
          <cell r="G8644">
            <v>341.06</v>
          </cell>
        </row>
        <row r="8645">
          <cell r="G8645">
            <v>373</v>
          </cell>
        </row>
        <row r="8646">
          <cell r="G8646">
            <v>102.04</v>
          </cell>
        </row>
        <row r="8648">
          <cell r="G8648">
            <v>512.03</v>
          </cell>
        </row>
        <row r="8649">
          <cell r="G8649">
            <v>161</v>
          </cell>
        </row>
        <row r="8650">
          <cell r="G8650">
            <v>102.04</v>
          </cell>
        </row>
        <row r="8655">
          <cell r="G8655">
            <v>154</v>
          </cell>
        </row>
        <row r="8656">
          <cell r="G8656">
            <v>541.23</v>
          </cell>
        </row>
        <row r="8657">
          <cell r="G8657">
            <v>102.04</v>
          </cell>
        </row>
        <row r="8659">
          <cell r="G8659">
            <v>512.07000000000005</v>
          </cell>
        </row>
        <row r="8660">
          <cell r="G8660">
            <v>521.01</v>
          </cell>
        </row>
        <row r="8661">
          <cell r="G8661">
            <v>341.02</v>
          </cell>
        </row>
        <row r="8662">
          <cell r="G8662">
            <v>341.04</v>
          </cell>
        </row>
        <row r="8663">
          <cell r="G8663">
            <v>341.06</v>
          </cell>
        </row>
        <row r="8664">
          <cell r="G8664">
            <v>373</v>
          </cell>
        </row>
        <row r="8665">
          <cell r="G8665">
            <v>102.04</v>
          </cell>
        </row>
        <row r="8667">
          <cell r="G8667">
            <v>525.20000000000005</v>
          </cell>
        </row>
        <row r="8668">
          <cell r="G8668">
            <v>102.06</v>
          </cell>
        </row>
        <row r="8670">
          <cell r="G8670">
            <v>310</v>
          </cell>
        </row>
        <row r="8671">
          <cell r="G8671">
            <v>161</v>
          </cell>
        </row>
        <row r="8672">
          <cell r="G8672">
            <v>374</v>
          </cell>
        </row>
        <row r="8673">
          <cell r="G8673">
            <v>102.06</v>
          </cell>
        </row>
        <row r="8675">
          <cell r="G8675">
            <v>302</v>
          </cell>
        </row>
        <row r="8676">
          <cell r="G8676">
            <v>165</v>
          </cell>
        </row>
        <row r="8677">
          <cell r="G8677">
            <v>304</v>
          </cell>
        </row>
        <row r="8678">
          <cell r="G8678">
            <v>374</v>
          </cell>
        </row>
        <row r="8679">
          <cell r="G8679">
            <v>102.06</v>
          </cell>
        </row>
        <row r="8681">
          <cell r="G8681">
            <v>163</v>
          </cell>
        </row>
        <row r="8682">
          <cell r="G8682">
            <v>102.06</v>
          </cell>
        </row>
        <row r="8684">
          <cell r="G8684">
            <v>165</v>
          </cell>
        </row>
        <row r="8685">
          <cell r="G8685">
            <v>102.06</v>
          </cell>
        </row>
        <row r="8687">
          <cell r="G8687">
            <v>154</v>
          </cell>
        </row>
        <row r="8688">
          <cell r="G8688">
            <v>511.07</v>
          </cell>
        </row>
        <row r="8689">
          <cell r="G8689">
            <v>102.04</v>
          </cell>
        </row>
        <row r="8691">
          <cell r="G8691">
            <v>161</v>
          </cell>
        </row>
        <row r="8692">
          <cell r="G8692">
            <v>102.04</v>
          </cell>
        </row>
        <row r="8694">
          <cell r="G8694">
            <v>154</v>
          </cell>
        </row>
        <row r="8695">
          <cell r="G8695">
            <v>525.45000000000005</v>
          </cell>
        </row>
        <row r="8696">
          <cell r="G8696">
            <v>374</v>
          </cell>
        </row>
        <row r="8697">
          <cell r="G8697">
            <v>102.06</v>
          </cell>
        </row>
        <row r="8699">
          <cell r="G8699">
            <v>301</v>
          </cell>
        </row>
        <row r="8700">
          <cell r="G8700">
            <v>374</v>
          </cell>
        </row>
        <row r="8701">
          <cell r="G8701">
            <v>102.06</v>
          </cell>
        </row>
        <row r="8703">
          <cell r="G8703">
            <v>301</v>
          </cell>
        </row>
        <row r="8704">
          <cell r="G8704">
            <v>374</v>
          </cell>
        </row>
        <row r="8705">
          <cell r="G8705">
            <v>102.06</v>
          </cell>
        </row>
        <row r="8707">
          <cell r="G8707">
            <v>302</v>
          </cell>
        </row>
        <row r="8708">
          <cell r="G8708">
            <v>174.01</v>
          </cell>
        </row>
        <row r="8709">
          <cell r="G8709">
            <v>304</v>
          </cell>
        </row>
        <row r="8710">
          <cell r="G8710">
            <v>374</v>
          </cell>
        </row>
        <row r="8711">
          <cell r="G8711">
            <v>102.06</v>
          </cell>
        </row>
        <row r="8714">
          <cell r="G8714">
            <v>165</v>
          </cell>
        </row>
        <row r="8715">
          <cell r="G8715">
            <v>102.06</v>
          </cell>
        </row>
        <row r="8717">
          <cell r="G8717">
            <v>302</v>
          </cell>
        </row>
        <row r="8718">
          <cell r="G8718">
            <v>165</v>
          </cell>
        </row>
        <row r="8719">
          <cell r="G8719">
            <v>304</v>
          </cell>
        </row>
        <row r="8720">
          <cell r="G8720">
            <v>374</v>
          </cell>
        </row>
        <row r="8721">
          <cell r="G8721">
            <v>102.06</v>
          </cell>
        </row>
        <row r="8723">
          <cell r="G8723">
            <v>302</v>
          </cell>
        </row>
        <row r="8724">
          <cell r="G8724">
            <v>174.01</v>
          </cell>
        </row>
        <row r="8725">
          <cell r="G8725">
            <v>102.06</v>
          </cell>
        </row>
        <row r="8727">
          <cell r="G8727">
            <v>301</v>
          </cell>
        </row>
        <row r="8728">
          <cell r="G8728">
            <v>374</v>
          </cell>
        </row>
        <row r="8729">
          <cell r="G8729">
            <v>102.06</v>
          </cell>
        </row>
        <row r="8731">
          <cell r="G8731">
            <v>154</v>
          </cell>
        </row>
        <row r="8732">
          <cell r="G8732">
            <v>511.07</v>
          </cell>
        </row>
        <row r="8733">
          <cell r="G8733">
            <v>374</v>
          </cell>
        </row>
        <row r="8734">
          <cell r="G8734">
            <v>102.06</v>
          </cell>
        </row>
        <row r="8736">
          <cell r="G8736">
            <v>513.03</v>
          </cell>
        </row>
        <row r="8737">
          <cell r="G8737">
            <v>304</v>
          </cell>
        </row>
        <row r="8738">
          <cell r="G8738">
            <v>102.04</v>
          </cell>
        </row>
        <row r="8745">
          <cell r="G8745">
            <v>301</v>
          </cell>
        </row>
        <row r="8746">
          <cell r="G8746">
            <v>374</v>
          </cell>
        </row>
        <row r="8747">
          <cell r="G8747">
            <v>102.06</v>
          </cell>
        </row>
        <row r="8749">
          <cell r="G8749">
            <v>301</v>
          </cell>
        </row>
        <row r="8750">
          <cell r="G8750">
            <v>374</v>
          </cell>
        </row>
        <row r="8751">
          <cell r="G8751">
            <v>102.06</v>
          </cell>
        </row>
        <row r="8753">
          <cell r="G8753">
            <v>154</v>
          </cell>
        </row>
        <row r="8754">
          <cell r="G8754">
            <v>541.16</v>
          </cell>
        </row>
        <row r="8755">
          <cell r="G8755">
            <v>102.06</v>
          </cell>
        </row>
        <row r="8757">
          <cell r="G8757">
            <v>541.16</v>
          </cell>
        </row>
        <row r="8758">
          <cell r="G8758">
            <v>102.06</v>
          </cell>
        </row>
        <row r="8760">
          <cell r="G8760">
            <v>302</v>
          </cell>
        </row>
        <row r="8761">
          <cell r="G8761">
            <v>304</v>
          </cell>
        </row>
        <row r="8762">
          <cell r="G8762">
            <v>174.01</v>
          </cell>
        </row>
        <row r="8763">
          <cell r="G8763">
            <v>374</v>
          </cell>
        </row>
        <row r="8764">
          <cell r="G8764">
            <v>102.02</v>
          </cell>
        </row>
        <row r="8766">
          <cell r="G8766">
            <v>512.07000000000005</v>
          </cell>
        </row>
        <row r="8767">
          <cell r="G8767">
            <v>165</v>
          </cell>
        </row>
        <row r="8768">
          <cell r="G8768">
            <v>174.01</v>
          </cell>
        </row>
        <row r="8769">
          <cell r="G8769">
            <v>102.04</v>
          </cell>
        </row>
        <row r="8773">
          <cell r="G8773">
            <v>302</v>
          </cell>
        </row>
        <row r="8774">
          <cell r="G8774">
            <v>174.01</v>
          </cell>
        </row>
        <row r="8775">
          <cell r="G8775">
            <v>304</v>
          </cell>
        </row>
        <row r="8776">
          <cell r="G8776">
            <v>374</v>
          </cell>
        </row>
        <row r="8777">
          <cell r="G8777">
            <v>102.06</v>
          </cell>
        </row>
        <row r="8782">
          <cell r="G8782">
            <v>541.42999999999995</v>
          </cell>
        </row>
        <row r="8783">
          <cell r="G8783">
            <v>541.17999999999995</v>
          </cell>
        </row>
        <row r="8784">
          <cell r="G8784">
            <v>541.44000000000005</v>
          </cell>
        </row>
        <row r="8785">
          <cell r="G8785">
            <v>541.38</v>
          </cell>
        </row>
        <row r="8786">
          <cell r="G8786">
            <v>541.17999999999995</v>
          </cell>
        </row>
        <row r="8787">
          <cell r="G8787">
            <v>541.38</v>
          </cell>
        </row>
        <row r="8788">
          <cell r="G8788">
            <v>541.28</v>
          </cell>
        </row>
        <row r="8789">
          <cell r="G8789">
            <v>541.17999999999995</v>
          </cell>
        </row>
        <row r="8790">
          <cell r="G8790">
            <v>541.38</v>
          </cell>
        </row>
        <row r="8791">
          <cell r="G8791">
            <v>541.14</v>
          </cell>
        </row>
        <row r="8792">
          <cell r="G8792">
            <v>541.38</v>
          </cell>
        </row>
        <row r="8793">
          <cell r="G8793">
            <v>541.15</v>
          </cell>
        </row>
        <row r="8794">
          <cell r="G8794">
            <v>541.17999999999995</v>
          </cell>
        </row>
        <row r="8795">
          <cell r="G8795">
            <v>541.26</v>
          </cell>
        </row>
        <row r="8796">
          <cell r="G8796">
            <v>541.17999999999995</v>
          </cell>
        </row>
        <row r="8797">
          <cell r="G8797">
            <v>541.25</v>
          </cell>
        </row>
        <row r="8798">
          <cell r="G8798">
            <v>541.38</v>
          </cell>
        </row>
        <row r="8799">
          <cell r="G8799">
            <v>541.17999999999995</v>
          </cell>
        </row>
        <row r="8800">
          <cell r="G8800">
            <v>541.46</v>
          </cell>
        </row>
        <row r="8801">
          <cell r="G8801">
            <v>541.38</v>
          </cell>
        </row>
        <row r="8802">
          <cell r="G8802">
            <v>541.24</v>
          </cell>
        </row>
        <row r="8803">
          <cell r="G8803">
            <v>541.17999999999995</v>
          </cell>
        </row>
        <row r="8804">
          <cell r="G8804">
            <v>154</v>
          </cell>
        </row>
        <row r="8805">
          <cell r="G8805">
            <v>525.25</v>
          </cell>
        </row>
        <row r="8806">
          <cell r="G8806">
            <v>525.25</v>
          </cell>
        </row>
        <row r="8807">
          <cell r="G8807">
            <v>525.44000000000005</v>
          </cell>
        </row>
        <row r="8808">
          <cell r="G8808">
            <v>525.17999999999995</v>
          </cell>
        </row>
        <row r="8809">
          <cell r="G8809">
            <v>525.17999999999995</v>
          </cell>
        </row>
        <row r="8810">
          <cell r="G8810">
            <v>525.25</v>
          </cell>
        </row>
        <row r="8811">
          <cell r="G8811">
            <v>525.25</v>
          </cell>
        </row>
        <row r="8812">
          <cell r="G8812">
            <v>525.25</v>
          </cell>
        </row>
        <row r="8813">
          <cell r="G8813">
            <v>525.44000000000005</v>
          </cell>
        </row>
        <row r="8814">
          <cell r="G8814">
            <v>161</v>
          </cell>
        </row>
        <row r="8815">
          <cell r="G8815">
            <v>542.25</v>
          </cell>
        </row>
        <row r="8816">
          <cell r="G8816">
            <v>163</v>
          </cell>
        </row>
        <row r="8817">
          <cell r="G8817">
            <v>521.01</v>
          </cell>
        </row>
        <row r="8818">
          <cell r="G8818">
            <v>161</v>
          </cell>
        </row>
        <row r="8819">
          <cell r="G8819">
            <v>102.06</v>
          </cell>
        </row>
        <row r="8822">
          <cell r="G8822">
            <v>161</v>
          </cell>
        </row>
        <row r="8823">
          <cell r="G8823">
            <v>102.06</v>
          </cell>
        </row>
        <row r="8825">
          <cell r="G8825">
            <v>154</v>
          </cell>
        </row>
        <row r="8826">
          <cell r="G8826">
            <v>512.07000000000005</v>
          </cell>
        </row>
        <row r="8827">
          <cell r="G8827">
            <v>165</v>
          </cell>
        </row>
        <row r="8828">
          <cell r="G8828">
            <v>174.01</v>
          </cell>
        </row>
        <row r="8829">
          <cell r="G8829">
            <v>374</v>
          </cell>
        </row>
        <row r="8830">
          <cell r="G8830">
            <v>102.06</v>
          </cell>
        </row>
        <row r="8832">
          <cell r="G8832">
            <v>154</v>
          </cell>
        </row>
        <row r="8833">
          <cell r="G8833">
            <v>511.03</v>
          </cell>
        </row>
        <row r="8834">
          <cell r="G8834">
            <v>525.44000000000005</v>
          </cell>
        </row>
        <row r="8835">
          <cell r="G8835">
            <v>525.4</v>
          </cell>
        </row>
        <row r="8836">
          <cell r="G8836">
            <v>525.26</v>
          </cell>
        </row>
        <row r="8837">
          <cell r="G8837">
            <v>525.33000000000004</v>
          </cell>
        </row>
        <row r="8838">
          <cell r="G8838">
            <v>525.45000000000005</v>
          </cell>
        </row>
        <row r="8839">
          <cell r="G8839">
            <v>525.44000000000005</v>
          </cell>
        </row>
        <row r="8840">
          <cell r="G8840">
            <v>525.24</v>
          </cell>
        </row>
        <row r="8841">
          <cell r="G8841">
            <v>525.24</v>
          </cell>
        </row>
        <row r="8842">
          <cell r="G8842">
            <v>525.26</v>
          </cell>
        </row>
        <row r="8843">
          <cell r="G8843">
            <v>525.4</v>
          </cell>
        </row>
        <row r="8844">
          <cell r="G8844">
            <v>512.03</v>
          </cell>
        </row>
        <row r="8845">
          <cell r="G8845">
            <v>102.06</v>
          </cell>
        </row>
        <row r="8847">
          <cell r="G8847">
            <v>154</v>
          </cell>
        </row>
        <row r="8848">
          <cell r="G8848">
            <v>541.24</v>
          </cell>
        </row>
        <row r="8849">
          <cell r="G8849">
            <v>374</v>
          </cell>
        </row>
        <row r="8850">
          <cell r="G8850">
            <v>102.06</v>
          </cell>
        </row>
        <row r="8851">
          <cell r="G8851">
            <v>161</v>
          </cell>
        </row>
        <row r="8853">
          <cell r="G8853">
            <v>154</v>
          </cell>
        </row>
        <row r="8854">
          <cell r="G8854">
            <v>541.24</v>
          </cell>
        </row>
        <row r="8855">
          <cell r="G8855">
            <v>102.06</v>
          </cell>
        </row>
        <row r="8856">
          <cell r="G8856">
            <v>161</v>
          </cell>
        </row>
        <row r="8861">
          <cell r="G8861">
            <v>102.04</v>
          </cell>
        </row>
        <row r="8862">
          <cell r="G8862">
            <v>102.06</v>
          </cell>
        </row>
        <row r="8864">
          <cell r="G8864">
            <v>341.06</v>
          </cell>
        </row>
        <row r="8865">
          <cell r="G8865">
            <v>102.02</v>
          </cell>
        </row>
        <row r="8867">
          <cell r="G8867">
            <v>541.04</v>
          </cell>
        </row>
        <row r="8868">
          <cell r="G8868">
            <v>341.02</v>
          </cell>
        </row>
        <row r="8869">
          <cell r="G8869">
            <v>102.02</v>
          </cell>
        </row>
        <row r="8871">
          <cell r="G8871">
            <v>541.04</v>
          </cell>
        </row>
        <row r="8872">
          <cell r="G8872">
            <v>341.04</v>
          </cell>
        </row>
        <row r="8873">
          <cell r="G8873">
            <v>102.02</v>
          </cell>
        </row>
        <row r="8875">
          <cell r="G8875">
            <v>373</v>
          </cell>
        </row>
        <row r="8876">
          <cell r="G8876">
            <v>102.02</v>
          </cell>
        </row>
        <row r="8882">
          <cell r="G8882">
            <v>591</v>
          </cell>
        </row>
        <row r="8883">
          <cell r="G8883">
            <v>102.06</v>
          </cell>
        </row>
        <row r="8885">
          <cell r="G8885">
            <v>154</v>
          </cell>
        </row>
        <row r="8886">
          <cell r="G8886">
            <v>511.07</v>
          </cell>
        </row>
        <row r="8887">
          <cell r="G8887">
            <v>514.04</v>
          </cell>
        </row>
        <row r="8888">
          <cell r="G8888">
            <v>525.1</v>
          </cell>
        </row>
        <row r="8889">
          <cell r="G8889">
            <v>525.16</v>
          </cell>
        </row>
        <row r="8890">
          <cell r="G8890">
            <v>525.17999999999995</v>
          </cell>
        </row>
        <row r="8891">
          <cell r="G8891">
            <v>525.25</v>
          </cell>
        </row>
        <row r="8892">
          <cell r="G8892">
            <v>525.17999999999995</v>
          </cell>
        </row>
        <row r="8893">
          <cell r="G8893">
            <v>525.33000000000004</v>
          </cell>
        </row>
        <row r="8894">
          <cell r="G8894">
            <v>525.38</v>
          </cell>
        </row>
        <row r="8895">
          <cell r="G8895">
            <v>525.4</v>
          </cell>
        </row>
        <row r="8896">
          <cell r="G8896">
            <v>525.42999999999995</v>
          </cell>
        </row>
        <row r="8897">
          <cell r="G8897">
            <v>525.44000000000005</v>
          </cell>
        </row>
        <row r="8898">
          <cell r="G8898">
            <v>102.04</v>
          </cell>
        </row>
        <row r="8900">
          <cell r="G8900">
            <v>591</v>
          </cell>
        </row>
        <row r="8901">
          <cell r="G8901">
            <v>102.02</v>
          </cell>
        </row>
        <row r="8903">
          <cell r="G8903">
            <v>541.17999999999995</v>
          </cell>
        </row>
        <row r="8904">
          <cell r="G8904">
            <v>541.25</v>
          </cell>
        </row>
        <row r="8905">
          <cell r="G8905">
            <v>541.42999999999995</v>
          </cell>
        </row>
        <row r="8906">
          <cell r="G8906">
            <v>541.17999999999995</v>
          </cell>
        </row>
        <row r="8907">
          <cell r="G8907">
            <v>541.26</v>
          </cell>
        </row>
        <row r="8908">
          <cell r="G8908">
            <v>541.1</v>
          </cell>
        </row>
        <row r="8909">
          <cell r="G8909">
            <v>541.44000000000005</v>
          </cell>
        </row>
        <row r="8910">
          <cell r="G8910">
            <v>541.24</v>
          </cell>
        </row>
        <row r="8911">
          <cell r="G8911">
            <v>541.17999999999995</v>
          </cell>
        </row>
        <row r="8912">
          <cell r="G8912">
            <v>541.17999999999995</v>
          </cell>
        </row>
        <row r="8913">
          <cell r="G8913">
            <v>541.15</v>
          </cell>
        </row>
        <row r="8914">
          <cell r="G8914">
            <v>154</v>
          </cell>
        </row>
        <row r="8915">
          <cell r="G8915">
            <v>511.07</v>
          </cell>
        </row>
        <row r="8916">
          <cell r="G8916">
            <v>161</v>
          </cell>
        </row>
        <row r="8917">
          <cell r="G8917">
            <v>542.25</v>
          </cell>
        </row>
        <row r="8918">
          <cell r="G8918">
            <v>512.07000000000005</v>
          </cell>
        </row>
        <row r="8919">
          <cell r="G8919">
            <v>521.01</v>
          </cell>
        </row>
        <row r="8920">
          <cell r="G8920">
            <v>341.02</v>
          </cell>
        </row>
        <row r="8921">
          <cell r="G8921">
            <v>373</v>
          </cell>
        </row>
        <row r="8922">
          <cell r="G8922">
            <v>525.25</v>
          </cell>
        </row>
        <row r="8923">
          <cell r="G8923">
            <v>102.04</v>
          </cell>
        </row>
        <row r="8925">
          <cell r="G8925">
            <v>301</v>
          </cell>
        </row>
        <row r="8926">
          <cell r="G8926">
            <v>374</v>
          </cell>
        </row>
        <row r="8927">
          <cell r="G8927">
            <v>163</v>
          </cell>
        </row>
        <row r="8928">
          <cell r="G8928">
            <v>102.06</v>
          </cell>
        </row>
        <row r="8930">
          <cell r="G8930">
            <v>512.07000000000005</v>
          </cell>
        </row>
        <row r="8931">
          <cell r="G8931">
            <v>102.04</v>
          </cell>
        </row>
        <row r="8933">
          <cell r="G8933">
            <v>165</v>
          </cell>
        </row>
        <row r="8934">
          <cell r="G8934">
            <v>102.04</v>
          </cell>
        </row>
        <row r="8936">
          <cell r="G8936">
            <v>302</v>
          </cell>
        </row>
        <row r="8937">
          <cell r="G8937">
            <v>165</v>
          </cell>
        </row>
        <row r="8938">
          <cell r="G8938">
            <v>304</v>
          </cell>
        </row>
        <row r="8939">
          <cell r="G8939">
            <v>374</v>
          </cell>
        </row>
        <row r="8940">
          <cell r="G8940">
            <v>102.06</v>
          </cell>
        </row>
        <row r="8943">
          <cell r="G8943">
            <v>513.07000000000005</v>
          </cell>
        </row>
        <row r="8944">
          <cell r="G8944">
            <v>304</v>
          </cell>
        </row>
        <row r="8945">
          <cell r="G8945">
            <v>374</v>
          </cell>
        </row>
        <row r="8946">
          <cell r="G8946">
            <v>102.04</v>
          </cell>
        </row>
        <row r="8948">
          <cell r="G8948">
            <v>163</v>
          </cell>
        </row>
        <row r="8949">
          <cell r="G8949">
            <v>102.02</v>
          </cell>
        </row>
        <row r="8953">
          <cell r="G8953">
            <v>301</v>
          </cell>
        </row>
        <row r="8954">
          <cell r="G8954">
            <v>374</v>
          </cell>
        </row>
        <row r="8955">
          <cell r="G8955">
            <v>102.02</v>
          </cell>
        </row>
        <row r="8957">
          <cell r="G8957">
            <v>301</v>
          </cell>
        </row>
        <row r="8958">
          <cell r="G8958">
            <v>374</v>
          </cell>
        </row>
        <row r="8959">
          <cell r="G8959">
            <v>102.06</v>
          </cell>
        </row>
        <row r="8961">
          <cell r="G8961">
            <v>301</v>
          </cell>
        </row>
        <row r="8962">
          <cell r="G8962">
            <v>302</v>
          </cell>
        </row>
        <row r="8963">
          <cell r="G8963">
            <v>174.01</v>
          </cell>
        </row>
        <row r="8964">
          <cell r="G8964">
            <v>163</v>
          </cell>
        </row>
        <row r="8965">
          <cell r="G8965">
            <v>374</v>
          </cell>
        </row>
        <row r="8966">
          <cell r="G8966">
            <v>102.02</v>
          </cell>
        </row>
        <row r="8968">
          <cell r="G8968">
            <v>154</v>
          </cell>
        </row>
        <row r="8969">
          <cell r="G8969">
            <v>511.07</v>
          </cell>
        </row>
        <row r="8970">
          <cell r="G8970">
            <v>374</v>
          </cell>
        </row>
        <row r="8971">
          <cell r="G8971">
            <v>102.02</v>
          </cell>
        </row>
        <row r="8973">
          <cell r="G8973">
            <v>309</v>
          </cell>
        </row>
        <row r="8974">
          <cell r="G8974">
            <v>102.02</v>
          </cell>
        </row>
        <row r="8976">
          <cell r="G8976">
            <v>301</v>
          </cell>
        </row>
        <row r="8977">
          <cell r="G8977">
            <v>374</v>
          </cell>
        </row>
        <row r="8978">
          <cell r="G8978">
            <v>102.02</v>
          </cell>
        </row>
        <row r="8981">
          <cell r="G8981">
            <v>513.03</v>
          </cell>
        </row>
        <row r="8982">
          <cell r="G8982">
            <v>304</v>
          </cell>
        </row>
        <row r="8983">
          <cell r="G8983">
            <v>102.04</v>
          </cell>
        </row>
        <row r="8988">
          <cell r="G8988">
            <v>374</v>
          </cell>
        </row>
        <row r="8989">
          <cell r="G8989">
            <v>102.02</v>
          </cell>
        </row>
        <row r="8991">
          <cell r="G8991">
            <v>512.1</v>
          </cell>
        </row>
        <row r="8992">
          <cell r="G8992">
            <v>102.04</v>
          </cell>
        </row>
        <row r="8994">
          <cell r="G8994">
            <v>154</v>
          </cell>
        </row>
        <row r="8995">
          <cell r="G8995">
            <v>511.07</v>
          </cell>
        </row>
        <row r="8996">
          <cell r="G8996">
            <v>514.04</v>
          </cell>
        </row>
        <row r="8997">
          <cell r="G8997">
            <v>514.02</v>
          </cell>
        </row>
        <row r="8998">
          <cell r="G8998">
            <v>525.1</v>
          </cell>
        </row>
        <row r="8999">
          <cell r="G8999">
            <v>525.17999999999995</v>
          </cell>
        </row>
        <row r="9000">
          <cell r="G9000">
            <v>525.24</v>
          </cell>
        </row>
        <row r="9001">
          <cell r="G9001">
            <v>525.25</v>
          </cell>
        </row>
        <row r="9002">
          <cell r="G9002">
            <v>525.33000000000004</v>
          </cell>
        </row>
        <row r="9003">
          <cell r="G9003">
            <v>525.38</v>
          </cell>
        </row>
        <row r="9004">
          <cell r="G9004">
            <v>525.4</v>
          </cell>
        </row>
        <row r="9005">
          <cell r="G9005">
            <v>525.42999999999995</v>
          </cell>
        </row>
        <row r="9006">
          <cell r="G9006">
            <v>525.44000000000005</v>
          </cell>
        </row>
        <row r="9007">
          <cell r="G9007">
            <v>525.47</v>
          </cell>
        </row>
        <row r="9008">
          <cell r="G9008">
            <v>102.04</v>
          </cell>
        </row>
        <row r="9010">
          <cell r="G9010">
            <v>541.44000000000005</v>
          </cell>
        </row>
        <row r="9011">
          <cell r="G9011">
            <v>541.38</v>
          </cell>
        </row>
        <row r="9012">
          <cell r="G9012">
            <v>541.17999999999995</v>
          </cell>
        </row>
        <row r="9013">
          <cell r="G9013">
            <v>541.44000000000005</v>
          </cell>
        </row>
        <row r="9014">
          <cell r="G9014">
            <v>541.44000000000005</v>
          </cell>
        </row>
        <row r="9015">
          <cell r="G9015">
            <v>541.44000000000005</v>
          </cell>
        </row>
        <row r="9016">
          <cell r="G9016">
            <v>541.25</v>
          </cell>
        </row>
        <row r="9017">
          <cell r="G9017">
            <v>541.23</v>
          </cell>
        </row>
        <row r="9018">
          <cell r="G9018">
            <v>541.44000000000005</v>
          </cell>
        </row>
        <row r="9019">
          <cell r="G9019">
            <v>541.16</v>
          </cell>
        </row>
        <row r="9020">
          <cell r="G9020">
            <v>541.38</v>
          </cell>
        </row>
        <row r="9021">
          <cell r="G9021">
            <v>541.1</v>
          </cell>
        </row>
        <row r="9022">
          <cell r="G9022">
            <v>541.17999999999995</v>
          </cell>
        </row>
        <row r="9023">
          <cell r="G9023">
            <v>541.44000000000005</v>
          </cell>
        </row>
        <row r="9024">
          <cell r="G9024">
            <v>541.42999999999995</v>
          </cell>
        </row>
        <row r="9025">
          <cell r="G9025">
            <v>541.44000000000005</v>
          </cell>
        </row>
        <row r="9026">
          <cell r="G9026">
            <v>541.4</v>
          </cell>
        </row>
        <row r="9027">
          <cell r="G9027">
            <v>541.4</v>
          </cell>
        </row>
        <row r="9028">
          <cell r="G9028">
            <v>541.17999999999995</v>
          </cell>
        </row>
        <row r="9029">
          <cell r="G9029">
            <v>541.28</v>
          </cell>
        </row>
        <row r="9030">
          <cell r="G9030">
            <v>541.37</v>
          </cell>
        </row>
        <row r="9031">
          <cell r="G9031">
            <v>541.38</v>
          </cell>
        </row>
        <row r="9032">
          <cell r="G9032">
            <v>541.44000000000005</v>
          </cell>
        </row>
        <row r="9033">
          <cell r="G9033">
            <v>541.16</v>
          </cell>
        </row>
        <row r="9034">
          <cell r="G9034">
            <v>541.38</v>
          </cell>
        </row>
        <row r="9035">
          <cell r="G9035">
            <v>541.17999999999995</v>
          </cell>
        </row>
        <row r="9036">
          <cell r="G9036">
            <v>541.44000000000005</v>
          </cell>
        </row>
        <row r="9037">
          <cell r="G9037">
            <v>541.41999999999996</v>
          </cell>
        </row>
        <row r="9038">
          <cell r="G9038">
            <v>541.44000000000005</v>
          </cell>
        </row>
        <row r="9039">
          <cell r="G9039">
            <v>541.16</v>
          </cell>
        </row>
        <row r="9040">
          <cell r="G9040">
            <v>541.38</v>
          </cell>
        </row>
        <row r="9041">
          <cell r="G9041">
            <v>541.44000000000005</v>
          </cell>
        </row>
        <row r="9042">
          <cell r="G9042">
            <v>541.44000000000005</v>
          </cell>
        </row>
        <row r="9043">
          <cell r="G9043">
            <v>541.44000000000005</v>
          </cell>
        </row>
        <row r="9044">
          <cell r="G9044">
            <v>541.44000000000005</v>
          </cell>
        </row>
        <row r="9045">
          <cell r="G9045">
            <v>541.44000000000005</v>
          </cell>
        </row>
        <row r="9046">
          <cell r="G9046">
            <v>154</v>
          </cell>
        </row>
        <row r="9047">
          <cell r="G9047">
            <v>525.33000000000004</v>
          </cell>
        </row>
        <row r="9048">
          <cell r="G9048">
            <v>525.44000000000005</v>
          </cell>
        </row>
        <row r="9049">
          <cell r="G9049">
            <v>525.4</v>
          </cell>
        </row>
        <row r="9050">
          <cell r="G9050">
            <v>525.33000000000004</v>
          </cell>
        </row>
        <row r="9051">
          <cell r="G9051">
            <v>525.4</v>
          </cell>
        </row>
        <row r="9052">
          <cell r="G9052">
            <v>525.4</v>
          </cell>
        </row>
        <row r="9053">
          <cell r="G9053">
            <v>525.4</v>
          </cell>
        </row>
        <row r="9054">
          <cell r="G9054">
            <v>525.4</v>
          </cell>
        </row>
        <row r="9055">
          <cell r="G9055">
            <v>525.4</v>
          </cell>
        </row>
        <row r="9056">
          <cell r="G9056">
            <v>102.02</v>
          </cell>
        </row>
        <row r="9058">
          <cell r="G9058">
            <v>154</v>
          </cell>
        </row>
        <row r="9059">
          <cell r="G9059">
            <v>511.07</v>
          </cell>
        </row>
        <row r="9060">
          <cell r="G9060">
            <v>163</v>
          </cell>
        </row>
        <row r="9061">
          <cell r="G9061">
            <v>374</v>
          </cell>
        </row>
        <row r="9062">
          <cell r="G9062">
            <v>102.02</v>
          </cell>
        </row>
        <row r="9064">
          <cell r="G9064">
            <v>591</v>
          </cell>
        </row>
        <row r="9065">
          <cell r="G9065">
            <v>374</v>
          </cell>
        </row>
        <row r="9066">
          <cell r="G9066">
            <v>102.02</v>
          </cell>
        </row>
        <row r="9068">
          <cell r="G9068">
            <v>591</v>
          </cell>
        </row>
        <row r="9069">
          <cell r="G9069">
            <v>374</v>
          </cell>
        </row>
        <row r="9070">
          <cell r="G9070">
            <v>102.02</v>
          </cell>
        </row>
        <row r="9073">
          <cell r="G9073">
            <v>152.07</v>
          </cell>
        </row>
        <row r="9074">
          <cell r="G9074">
            <v>102.02</v>
          </cell>
        </row>
        <row r="9076">
          <cell r="G9076">
            <v>174.01</v>
          </cell>
        </row>
        <row r="9077">
          <cell r="G9077">
            <v>102.02</v>
          </cell>
        </row>
        <row r="9082">
          <cell r="G9082">
            <v>154</v>
          </cell>
        </row>
        <row r="9083">
          <cell r="G9083">
            <v>511.1</v>
          </cell>
        </row>
        <row r="9084">
          <cell r="G9084">
            <v>152.02000000000001</v>
          </cell>
        </row>
        <row r="9085">
          <cell r="G9085">
            <v>514.04</v>
          </cell>
        </row>
        <row r="9086">
          <cell r="G9086">
            <v>542.38</v>
          </cell>
        </row>
        <row r="9087">
          <cell r="G9087">
            <v>542.26</v>
          </cell>
        </row>
        <row r="9088">
          <cell r="G9088">
            <v>542.4</v>
          </cell>
        </row>
        <row r="9089">
          <cell r="G9089">
            <v>152.02000000000001</v>
          </cell>
        </row>
        <row r="9090">
          <cell r="G9090">
            <v>525.4</v>
          </cell>
        </row>
        <row r="9091">
          <cell r="G9091">
            <v>525.38</v>
          </cell>
        </row>
        <row r="9092">
          <cell r="G9092">
            <v>525.38</v>
          </cell>
        </row>
        <row r="9093">
          <cell r="G9093">
            <v>525.33000000000004</v>
          </cell>
        </row>
        <row r="9094">
          <cell r="G9094">
            <v>525.17999999999995</v>
          </cell>
        </row>
        <row r="9095">
          <cell r="G9095">
            <v>525.4</v>
          </cell>
        </row>
        <row r="9096">
          <cell r="G9096">
            <v>525.25</v>
          </cell>
        </row>
        <row r="9097">
          <cell r="G9097">
            <v>525.38</v>
          </cell>
        </row>
        <row r="9098">
          <cell r="G9098">
            <v>525.38</v>
          </cell>
        </row>
        <row r="9099">
          <cell r="G9099">
            <v>525.25</v>
          </cell>
        </row>
        <row r="9100">
          <cell r="G9100">
            <v>525.26</v>
          </cell>
        </row>
        <row r="9101">
          <cell r="G9101">
            <v>525.24</v>
          </cell>
        </row>
        <row r="9102">
          <cell r="G9102">
            <v>525.44000000000005</v>
          </cell>
        </row>
        <row r="9103">
          <cell r="G9103">
            <v>525.26</v>
          </cell>
        </row>
        <row r="9104">
          <cell r="G9104">
            <v>525.41999999999996</v>
          </cell>
        </row>
        <row r="9105">
          <cell r="G9105">
            <v>525.38</v>
          </cell>
        </row>
        <row r="9106">
          <cell r="G9106">
            <v>525.24</v>
          </cell>
        </row>
        <row r="9107">
          <cell r="G9107">
            <v>525.4</v>
          </cell>
        </row>
        <row r="9108">
          <cell r="G9108">
            <v>525.38</v>
          </cell>
        </row>
        <row r="9109">
          <cell r="G9109">
            <v>525.38</v>
          </cell>
        </row>
        <row r="9110">
          <cell r="G9110">
            <v>525.4</v>
          </cell>
        </row>
        <row r="9111">
          <cell r="G9111">
            <v>103.01</v>
          </cell>
        </row>
        <row r="9112">
          <cell r="G9112">
            <v>102.02</v>
          </cell>
        </row>
        <row r="9114">
          <cell r="G9114">
            <v>154</v>
          </cell>
        </row>
        <row r="9115">
          <cell r="G9115">
            <v>543.44000000000005</v>
          </cell>
        </row>
        <row r="9116">
          <cell r="G9116">
            <v>543.44000000000005</v>
          </cell>
        </row>
        <row r="9117">
          <cell r="G9117">
            <v>542.25</v>
          </cell>
        </row>
        <row r="9118">
          <cell r="G9118">
            <v>237.05</v>
          </cell>
        </row>
        <row r="9119">
          <cell r="G9119">
            <v>543.44000000000005</v>
          </cell>
        </row>
        <row r="9120">
          <cell r="G9120">
            <v>542.25</v>
          </cell>
        </row>
        <row r="9121">
          <cell r="G9121">
            <v>165</v>
          </cell>
        </row>
        <row r="9122">
          <cell r="G9122">
            <v>542.25</v>
          </cell>
        </row>
        <row r="9123">
          <cell r="G9123">
            <v>542.44000000000005</v>
          </cell>
        </row>
        <row r="9124">
          <cell r="G9124">
            <v>542.25</v>
          </cell>
        </row>
        <row r="9125">
          <cell r="G9125">
            <v>542.16</v>
          </cell>
        </row>
        <row r="9126">
          <cell r="G9126">
            <v>161</v>
          </cell>
        </row>
        <row r="9127">
          <cell r="G9127">
            <v>161</v>
          </cell>
        </row>
        <row r="9128">
          <cell r="G9128">
            <v>161</v>
          </cell>
        </row>
        <row r="9129">
          <cell r="G9129">
            <v>543.44000000000005</v>
          </cell>
        </row>
        <row r="9130">
          <cell r="G9130">
            <v>543.44000000000005</v>
          </cell>
        </row>
        <row r="9131">
          <cell r="G9131">
            <v>525.25</v>
          </cell>
        </row>
        <row r="9132">
          <cell r="G9132">
            <v>525.44000000000005</v>
          </cell>
        </row>
        <row r="9133">
          <cell r="G9133">
            <v>541.38</v>
          </cell>
        </row>
        <row r="9134">
          <cell r="G9134">
            <v>541.33000000000004</v>
          </cell>
        </row>
        <row r="9135">
          <cell r="G9135">
            <v>541.17999999999995</v>
          </cell>
        </row>
        <row r="9136">
          <cell r="G9136">
            <v>541.17999999999995</v>
          </cell>
        </row>
        <row r="9137">
          <cell r="G9137">
            <v>541.26</v>
          </cell>
        </row>
        <row r="9138">
          <cell r="G9138">
            <v>541.26</v>
          </cell>
        </row>
        <row r="9139">
          <cell r="G9139">
            <v>541.26</v>
          </cell>
        </row>
        <row r="9140">
          <cell r="G9140">
            <v>541.44000000000005</v>
          </cell>
        </row>
        <row r="9141">
          <cell r="G9141">
            <v>541.25</v>
          </cell>
        </row>
        <row r="9142">
          <cell r="G9142">
            <v>541.4</v>
          </cell>
        </row>
        <row r="9143">
          <cell r="G9143">
            <v>541.4</v>
          </cell>
        </row>
        <row r="9144">
          <cell r="G9144">
            <v>541.24</v>
          </cell>
        </row>
        <row r="9145">
          <cell r="G9145">
            <v>541.17999999999995</v>
          </cell>
        </row>
        <row r="9146">
          <cell r="G9146">
            <v>541.36</v>
          </cell>
        </row>
        <row r="9147">
          <cell r="G9147">
            <v>541.33000000000004</v>
          </cell>
        </row>
        <row r="9148">
          <cell r="G9148">
            <v>541.17999999999995</v>
          </cell>
        </row>
        <row r="9149">
          <cell r="G9149">
            <v>541.26</v>
          </cell>
        </row>
        <row r="9150">
          <cell r="G9150">
            <v>541.26</v>
          </cell>
        </row>
        <row r="9151">
          <cell r="G9151">
            <v>541.26</v>
          </cell>
        </row>
        <row r="9152">
          <cell r="G9152">
            <v>541.38</v>
          </cell>
        </row>
        <row r="9153">
          <cell r="G9153">
            <v>541.4</v>
          </cell>
        </row>
        <row r="9154">
          <cell r="G9154">
            <v>541.17999999999995</v>
          </cell>
        </row>
        <row r="9155">
          <cell r="G9155">
            <v>541.26</v>
          </cell>
        </row>
        <row r="9156">
          <cell r="G9156">
            <v>541.44000000000005</v>
          </cell>
        </row>
        <row r="9157">
          <cell r="G9157">
            <v>541.17999999999995</v>
          </cell>
        </row>
        <row r="9158">
          <cell r="G9158">
            <v>541.26</v>
          </cell>
        </row>
        <row r="9159">
          <cell r="G9159">
            <v>541.17999999999995</v>
          </cell>
        </row>
        <row r="9160">
          <cell r="G9160">
            <v>541.38</v>
          </cell>
        </row>
        <row r="9161">
          <cell r="G9161">
            <v>541.44000000000005</v>
          </cell>
        </row>
        <row r="9162">
          <cell r="G9162">
            <v>541.38</v>
          </cell>
        </row>
        <row r="9163">
          <cell r="G9163">
            <v>541.44000000000005</v>
          </cell>
        </row>
        <row r="9164">
          <cell r="G9164">
            <v>541.38</v>
          </cell>
        </row>
        <row r="9165">
          <cell r="G9165">
            <v>102.02</v>
          </cell>
        </row>
        <row r="9167">
          <cell r="G9167">
            <v>541.85</v>
          </cell>
        </row>
        <row r="9168">
          <cell r="G9168">
            <v>102.02</v>
          </cell>
        </row>
        <row r="9170">
          <cell r="G9170">
            <v>154</v>
          </cell>
        </row>
        <row r="9171">
          <cell r="G9171">
            <v>511.07</v>
          </cell>
        </row>
        <row r="9172">
          <cell r="G9172">
            <v>514.04</v>
          </cell>
        </row>
        <row r="9173">
          <cell r="G9173">
            <v>541.44000000000005</v>
          </cell>
        </row>
        <row r="9174">
          <cell r="G9174">
            <v>541.4</v>
          </cell>
        </row>
        <row r="9175">
          <cell r="G9175">
            <v>541.17999999999995</v>
          </cell>
        </row>
        <row r="9176">
          <cell r="G9176">
            <v>525.44000000000005</v>
          </cell>
        </row>
        <row r="9177">
          <cell r="G9177">
            <v>525.17999999999995</v>
          </cell>
        </row>
        <row r="9178">
          <cell r="G9178">
            <v>525.38</v>
          </cell>
        </row>
        <row r="9179">
          <cell r="G9179">
            <v>525.33000000000004</v>
          </cell>
        </row>
        <row r="9180">
          <cell r="G9180">
            <v>525.33000000000004</v>
          </cell>
        </row>
        <row r="9181">
          <cell r="G9181">
            <v>525.44000000000005</v>
          </cell>
        </row>
        <row r="9182">
          <cell r="G9182">
            <v>525.1</v>
          </cell>
        </row>
        <row r="9183">
          <cell r="G9183">
            <v>525.44000000000005</v>
          </cell>
        </row>
        <row r="9184">
          <cell r="G9184">
            <v>525.4</v>
          </cell>
        </row>
        <row r="9185">
          <cell r="G9185">
            <v>525.33000000000004</v>
          </cell>
        </row>
        <row r="9186">
          <cell r="G9186">
            <v>525.33000000000004</v>
          </cell>
        </row>
        <row r="9187">
          <cell r="G9187">
            <v>525.17999999999995</v>
          </cell>
        </row>
        <row r="9188">
          <cell r="G9188">
            <v>525.44000000000005</v>
          </cell>
        </row>
        <row r="9189">
          <cell r="G9189">
            <v>525.24</v>
          </cell>
        </row>
        <row r="9190">
          <cell r="G9190">
            <v>525.24</v>
          </cell>
        </row>
        <row r="9191">
          <cell r="G9191">
            <v>525.23</v>
          </cell>
        </row>
        <row r="9192">
          <cell r="G9192">
            <v>102.02</v>
          </cell>
        </row>
        <row r="9194">
          <cell r="G9194">
            <v>154</v>
          </cell>
        </row>
        <row r="9195">
          <cell r="G9195">
            <v>513.1</v>
          </cell>
        </row>
        <row r="9196">
          <cell r="G9196">
            <v>374</v>
          </cell>
        </row>
        <row r="9197">
          <cell r="G9197">
            <v>102.02</v>
          </cell>
        </row>
        <row r="9199">
          <cell r="G9199">
            <v>541.01</v>
          </cell>
        </row>
        <row r="9200">
          <cell r="G9200">
            <v>161</v>
          </cell>
        </row>
        <row r="9201">
          <cell r="G9201">
            <v>341.02</v>
          </cell>
        </row>
        <row r="9202">
          <cell r="G9202">
            <v>341.06</v>
          </cell>
        </row>
        <row r="9203">
          <cell r="G9203">
            <v>373</v>
          </cell>
        </row>
        <row r="9204">
          <cell r="G9204">
            <v>102.02</v>
          </cell>
        </row>
        <row r="9215">
          <cell r="G9215">
            <v>301</v>
          </cell>
        </row>
        <row r="9216">
          <cell r="G9216">
            <v>374</v>
          </cell>
        </row>
        <row r="9217">
          <cell r="G9217">
            <v>163</v>
          </cell>
        </row>
        <row r="9218">
          <cell r="G9218">
            <v>102.02</v>
          </cell>
        </row>
        <row r="9224">
          <cell r="G9224">
            <v>103.01</v>
          </cell>
        </row>
        <row r="9225">
          <cell r="G9225">
            <v>102.02</v>
          </cell>
        </row>
        <row r="9227">
          <cell r="G9227">
            <v>512.07000000000005</v>
          </cell>
        </row>
        <row r="9228">
          <cell r="G9228">
            <v>512.08000000000004</v>
          </cell>
        </row>
        <row r="9229">
          <cell r="G9229">
            <v>102.02</v>
          </cell>
        </row>
        <row r="9231">
          <cell r="G9231">
            <v>302</v>
          </cell>
        </row>
        <row r="9232">
          <cell r="G9232">
            <v>304</v>
          </cell>
        </row>
        <row r="9233">
          <cell r="G9233">
            <v>374</v>
          </cell>
        </row>
        <row r="9234">
          <cell r="G9234">
            <v>102.02</v>
          </cell>
        </row>
        <row r="9240">
          <cell r="G9240">
            <v>301</v>
          </cell>
        </row>
        <row r="9241">
          <cell r="G9241">
            <v>374</v>
          </cell>
        </row>
        <row r="9242">
          <cell r="G9242">
            <v>102.02</v>
          </cell>
        </row>
        <row r="9244">
          <cell r="G9244">
            <v>521.01</v>
          </cell>
        </row>
        <row r="9245">
          <cell r="G9245">
            <v>541.01</v>
          </cell>
        </row>
        <row r="9246">
          <cell r="G9246">
            <v>541.01</v>
          </cell>
        </row>
        <row r="9247">
          <cell r="G9247">
            <v>541.01</v>
          </cell>
        </row>
        <row r="9248">
          <cell r="G9248">
            <v>161</v>
          </cell>
        </row>
        <row r="9249">
          <cell r="G9249">
            <v>341.02</v>
          </cell>
        </row>
        <row r="9250">
          <cell r="G9250">
            <v>341.06</v>
          </cell>
        </row>
        <row r="9251">
          <cell r="G9251">
            <v>373</v>
          </cell>
        </row>
        <row r="9252">
          <cell r="G9252">
            <v>102.02</v>
          </cell>
        </row>
        <row r="9254">
          <cell r="G9254">
            <v>512.07000000000005</v>
          </cell>
        </row>
        <row r="9255">
          <cell r="G9255">
            <v>521.01</v>
          </cell>
        </row>
        <row r="9256">
          <cell r="G9256">
            <v>341.02</v>
          </cell>
        </row>
        <row r="9257">
          <cell r="G9257">
            <v>341.06</v>
          </cell>
        </row>
        <row r="9258">
          <cell r="G9258">
            <v>373</v>
          </cell>
        </row>
        <row r="9259">
          <cell r="G9259">
            <v>161</v>
          </cell>
        </row>
        <row r="9260">
          <cell r="G9260">
            <v>102.02</v>
          </cell>
        </row>
        <row r="9262">
          <cell r="G9262">
            <v>512.03</v>
          </cell>
        </row>
        <row r="9263">
          <cell r="G9263">
            <v>102.02</v>
          </cell>
        </row>
        <row r="9265">
          <cell r="G9265">
            <v>301</v>
          </cell>
        </row>
        <row r="9266">
          <cell r="G9266">
            <v>374</v>
          </cell>
        </row>
        <row r="9267">
          <cell r="G9267">
            <v>102.02</v>
          </cell>
        </row>
        <row r="9269">
          <cell r="G9269">
            <v>302</v>
          </cell>
        </row>
        <row r="9270">
          <cell r="G9270">
            <v>304</v>
          </cell>
        </row>
        <row r="9271">
          <cell r="G9271">
            <v>374</v>
          </cell>
        </row>
        <row r="9272">
          <cell r="G9272">
            <v>102.06</v>
          </cell>
        </row>
        <row r="9278">
          <cell r="G9278">
            <v>301</v>
          </cell>
        </row>
        <row r="9279">
          <cell r="G9279">
            <v>374</v>
          </cell>
        </row>
        <row r="9280">
          <cell r="G9280">
            <v>102.02</v>
          </cell>
        </row>
        <row r="9286">
          <cell r="G9286">
            <v>154</v>
          </cell>
        </row>
        <row r="9287">
          <cell r="G9287">
            <v>511.03</v>
          </cell>
        </row>
        <row r="9288">
          <cell r="G9288">
            <v>235.01</v>
          </cell>
        </row>
        <row r="9289">
          <cell r="G9289">
            <v>514.04</v>
          </cell>
        </row>
        <row r="9290">
          <cell r="G9290">
            <v>525.23</v>
          </cell>
        </row>
        <row r="9291">
          <cell r="G9291">
            <v>525.38</v>
          </cell>
        </row>
        <row r="9292">
          <cell r="G9292">
            <v>525.24</v>
          </cell>
        </row>
        <row r="9293">
          <cell r="G9293">
            <v>525.4</v>
          </cell>
        </row>
        <row r="9294">
          <cell r="G9294">
            <v>525.41999999999996</v>
          </cell>
        </row>
        <row r="9295">
          <cell r="G9295">
            <v>525.44000000000005</v>
          </cell>
        </row>
        <row r="9296">
          <cell r="G9296">
            <v>525.4</v>
          </cell>
        </row>
        <row r="9297">
          <cell r="G9297">
            <v>525.33000000000004</v>
          </cell>
        </row>
        <row r="9298">
          <cell r="G9298">
            <v>525.33000000000004</v>
          </cell>
        </row>
        <row r="9299">
          <cell r="G9299">
            <v>525.44000000000005</v>
          </cell>
        </row>
        <row r="9300">
          <cell r="G9300">
            <v>525.24</v>
          </cell>
        </row>
        <row r="9301">
          <cell r="G9301">
            <v>525.33000000000004</v>
          </cell>
        </row>
        <row r="9302">
          <cell r="G9302">
            <v>525.4</v>
          </cell>
        </row>
        <row r="9303">
          <cell r="G9303">
            <v>525.24</v>
          </cell>
        </row>
        <row r="9304">
          <cell r="G9304">
            <v>525.44000000000005</v>
          </cell>
        </row>
        <row r="9305">
          <cell r="G9305">
            <v>525.17999999999995</v>
          </cell>
        </row>
        <row r="9306">
          <cell r="G9306">
            <v>525.33000000000004</v>
          </cell>
        </row>
        <row r="9307">
          <cell r="G9307">
            <v>525.24</v>
          </cell>
        </row>
        <row r="9308">
          <cell r="G9308">
            <v>525.38</v>
          </cell>
        </row>
        <row r="9309">
          <cell r="G9309">
            <v>525.23</v>
          </cell>
        </row>
        <row r="9310">
          <cell r="G9310">
            <v>525.1</v>
          </cell>
        </row>
        <row r="9311">
          <cell r="G9311">
            <v>525.41999999999996</v>
          </cell>
        </row>
        <row r="9312">
          <cell r="G9312">
            <v>525.44000000000005</v>
          </cell>
        </row>
        <row r="9313">
          <cell r="G9313">
            <v>525.26</v>
          </cell>
        </row>
        <row r="9314">
          <cell r="G9314">
            <v>525.25</v>
          </cell>
        </row>
        <row r="9315">
          <cell r="G9315">
            <v>525.4</v>
          </cell>
        </row>
        <row r="9316">
          <cell r="G9316">
            <v>525.26</v>
          </cell>
        </row>
        <row r="9317">
          <cell r="G9317">
            <v>525.25</v>
          </cell>
        </row>
        <row r="9318">
          <cell r="G9318">
            <v>525.4</v>
          </cell>
        </row>
        <row r="9319">
          <cell r="G9319">
            <v>525.26</v>
          </cell>
        </row>
        <row r="9320">
          <cell r="G9320">
            <v>525.25</v>
          </cell>
        </row>
        <row r="9321">
          <cell r="G9321">
            <v>525.45000000000005</v>
          </cell>
        </row>
        <row r="9322">
          <cell r="G9322">
            <v>525.38</v>
          </cell>
        </row>
        <row r="9323">
          <cell r="G9323">
            <v>525.24</v>
          </cell>
        </row>
        <row r="9324">
          <cell r="G9324">
            <v>525.24</v>
          </cell>
        </row>
        <row r="9325">
          <cell r="G9325">
            <v>525.38</v>
          </cell>
        </row>
        <row r="9326">
          <cell r="G9326">
            <v>525.44000000000005</v>
          </cell>
        </row>
        <row r="9327">
          <cell r="G9327">
            <v>525.24</v>
          </cell>
        </row>
        <row r="9328">
          <cell r="G9328">
            <v>525.26</v>
          </cell>
        </row>
        <row r="9329">
          <cell r="G9329">
            <v>525.26</v>
          </cell>
        </row>
        <row r="9330">
          <cell r="G9330">
            <v>525.24</v>
          </cell>
        </row>
        <row r="9331">
          <cell r="G9331">
            <v>102.02</v>
          </cell>
        </row>
        <row r="9333">
          <cell r="G9333">
            <v>302</v>
          </cell>
        </row>
        <row r="9334">
          <cell r="G9334">
            <v>165</v>
          </cell>
        </row>
        <row r="9335">
          <cell r="G9335">
            <v>304</v>
          </cell>
        </row>
        <row r="9336">
          <cell r="G9336">
            <v>374</v>
          </cell>
        </row>
        <row r="9337">
          <cell r="G9337">
            <v>102.02</v>
          </cell>
        </row>
        <row r="9339">
          <cell r="G9339">
            <v>163</v>
          </cell>
        </row>
        <row r="9340">
          <cell r="G9340">
            <v>102.02</v>
          </cell>
        </row>
        <row r="9342">
          <cell r="G9342">
            <v>402</v>
          </cell>
        </row>
        <row r="9343">
          <cell r="G9343">
            <v>102.02</v>
          </cell>
        </row>
        <row r="9345">
          <cell r="G9345">
            <v>103.01</v>
          </cell>
        </row>
        <row r="9346">
          <cell r="G9346">
            <v>102.02</v>
          </cell>
        </row>
        <row r="9350">
          <cell r="G9350">
            <v>304</v>
          </cell>
        </row>
        <row r="9351">
          <cell r="G9351">
            <v>102.02</v>
          </cell>
        </row>
        <row r="9353">
          <cell r="G9353">
            <v>301</v>
          </cell>
        </row>
        <row r="9354">
          <cell r="G9354">
            <v>374</v>
          </cell>
        </row>
        <row r="9355">
          <cell r="G9355">
            <v>102.02</v>
          </cell>
        </row>
        <row r="9357">
          <cell r="G9357">
            <v>154</v>
          </cell>
        </row>
        <row r="9358">
          <cell r="G9358">
            <v>541.25</v>
          </cell>
        </row>
        <row r="9359">
          <cell r="G9359">
            <v>541.15</v>
          </cell>
        </row>
        <row r="9360">
          <cell r="G9360">
            <v>541.36</v>
          </cell>
        </row>
        <row r="9361">
          <cell r="G9361">
            <v>541.16</v>
          </cell>
        </row>
        <row r="9362">
          <cell r="G9362">
            <v>541.44000000000005</v>
          </cell>
        </row>
        <row r="9363">
          <cell r="G9363">
            <v>541.26</v>
          </cell>
        </row>
        <row r="9364">
          <cell r="G9364">
            <v>541.24</v>
          </cell>
        </row>
        <row r="9365">
          <cell r="G9365">
            <v>541.17999999999995</v>
          </cell>
        </row>
        <row r="9366">
          <cell r="G9366">
            <v>541.46</v>
          </cell>
        </row>
        <row r="9367">
          <cell r="G9367">
            <v>541.36</v>
          </cell>
        </row>
        <row r="9368">
          <cell r="G9368">
            <v>541.36</v>
          </cell>
        </row>
        <row r="9369">
          <cell r="G9369">
            <v>541.17999999999995</v>
          </cell>
        </row>
        <row r="9370">
          <cell r="G9370">
            <v>541.38</v>
          </cell>
        </row>
        <row r="9371">
          <cell r="G9371">
            <v>541.38</v>
          </cell>
        </row>
        <row r="9372">
          <cell r="G9372">
            <v>541.17999999999995</v>
          </cell>
        </row>
        <row r="9373">
          <cell r="G9373">
            <v>541.38</v>
          </cell>
        </row>
        <row r="9374">
          <cell r="G9374">
            <v>525.25</v>
          </cell>
        </row>
        <row r="9375">
          <cell r="G9375">
            <v>525.30999999999995</v>
          </cell>
        </row>
        <row r="9376">
          <cell r="G9376">
            <v>542.25</v>
          </cell>
        </row>
        <row r="9377">
          <cell r="G9377">
            <v>161</v>
          </cell>
        </row>
        <row r="9378">
          <cell r="G9378">
            <v>511.1</v>
          </cell>
        </row>
        <row r="9379">
          <cell r="G9379">
            <v>102.02</v>
          </cell>
        </row>
        <row r="9381">
          <cell r="G9381">
            <v>525.52</v>
          </cell>
        </row>
        <row r="9382">
          <cell r="G9382">
            <v>102.02</v>
          </cell>
        </row>
        <row r="9384">
          <cell r="G9384">
            <v>154</v>
          </cell>
        </row>
        <row r="9385">
          <cell r="G9385">
            <v>161</v>
          </cell>
        </row>
        <row r="9386">
          <cell r="G9386">
            <v>525.24</v>
          </cell>
        </row>
        <row r="9387">
          <cell r="G9387">
            <v>541.24</v>
          </cell>
        </row>
        <row r="9388">
          <cell r="G9388">
            <v>102.02</v>
          </cell>
        </row>
        <row r="9395">
          <cell r="G9395">
            <v>154</v>
          </cell>
        </row>
        <row r="9396">
          <cell r="G9396">
            <v>511.1</v>
          </cell>
        </row>
        <row r="9397">
          <cell r="G9397">
            <v>374</v>
          </cell>
        </row>
        <row r="9398">
          <cell r="G9398">
            <v>102.02</v>
          </cell>
        </row>
        <row r="9400">
          <cell r="G9400">
            <v>165</v>
          </cell>
        </row>
        <row r="9401">
          <cell r="G9401">
            <v>102.02</v>
          </cell>
        </row>
        <row r="9403">
          <cell r="G9403">
            <v>525.20000000000005</v>
          </cell>
        </row>
        <row r="9404">
          <cell r="G9404">
            <v>525.23</v>
          </cell>
        </row>
        <row r="9405">
          <cell r="G9405">
            <v>102.02</v>
          </cell>
        </row>
        <row r="9407">
          <cell r="G9407">
            <v>304</v>
          </cell>
        </row>
        <row r="9408">
          <cell r="G9408">
            <v>102.02</v>
          </cell>
        </row>
        <row r="9410">
          <cell r="G9410">
            <v>513.03</v>
          </cell>
        </row>
        <row r="9411">
          <cell r="G9411">
            <v>304</v>
          </cell>
        </row>
        <row r="9412">
          <cell r="G9412">
            <v>102.02</v>
          </cell>
        </row>
        <row r="9419">
          <cell r="G9419">
            <v>525.14</v>
          </cell>
        </row>
        <row r="9420">
          <cell r="G9420">
            <v>102.02</v>
          </cell>
        </row>
        <row r="9422">
          <cell r="G9422">
            <v>541.25</v>
          </cell>
        </row>
        <row r="9423">
          <cell r="G9423">
            <v>541.17999999999995</v>
          </cell>
        </row>
        <row r="9424">
          <cell r="G9424">
            <v>541.26</v>
          </cell>
        </row>
        <row r="9425">
          <cell r="G9425">
            <v>541.44000000000005</v>
          </cell>
        </row>
        <row r="9426">
          <cell r="G9426">
            <v>541.4</v>
          </cell>
        </row>
        <row r="9427">
          <cell r="G9427">
            <v>541.44000000000005</v>
          </cell>
        </row>
        <row r="9428">
          <cell r="G9428">
            <v>154</v>
          </cell>
        </row>
        <row r="9429">
          <cell r="G9429">
            <v>511.1</v>
          </cell>
        </row>
        <row r="9430">
          <cell r="G9430">
            <v>525.44000000000005</v>
          </cell>
        </row>
        <row r="9431">
          <cell r="G9431">
            <v>525.17999999999995</v>
          </cell>
        </row>
        <row r="9432">
          <cell r="G9432">
            <v>525.25</v>
          </cell>
        </row>
        <row r="9433">
          <cell r="G9433">
            <v>525.25</v>
          </cell>
        </row>
        <row r="9434">
          <cell r="G9434">
            <v>525.25</v>
          </cell>
        </row>
        <row r="9435">
          <cell r="G9435">
            <v>525.17999999999995</v>
          </cell>
        </row>
        <row r="9436">
          <cell r="G9436">
            <v>525.44000000000005</v>
          </cell>
        </row>
        <row r="9437">
          <cell r="G9437">
            <v>165</v>
          </cell>
        </row>
        <row r="9438">
          <cell r="G9438">
            <v>521.01</v>
          </cell>
        </row>
        <row r="9439">
          <cell r="G9439">
            <v>542.25</v>
          </cell>
        </row>
        <row r="9440">
          <cell r="G9440">
            <v>514.04</v>
          </cell>
        </row>
        <row r="9441">
          <cell r="G9441">
            <v>102.02</v>
          </cell>
        </row>
        <row r="9443">
          <cell r="G9443">
            <v>302</v>
          </cell>
        </row>
        <row r="9444">
          <cell r="G9444">
            <v>102.02</v>
          </cell>
        </row>
        <row r="9446">
          <cell r="G9446">
            <v>301</v>
          </cell>
        </row>
        <row r="9447">
          <cell r="G9447">
            <v>374</v>
          </cell>
        </row>
        <row r="9448">
          <cell r="G9448">
            <v>102.02</v>
          </cell>
        </row>
        <row r="9450">
          <cell r="G9450">
            <v>301</v>
          </cell>
        </row>
        <row r="9451">
          <cell r="G9451">
            <v>163</v>
          </cell>
        </row>
        <row r="9452">
          <cell r="G9452">
            <v>374</v>
          </cell>
        </row>
        <row r="9453">
          <cell r="G9453">
            <v>102.02</v>
          </cell>
        </row>
        <row r="9455">
          <cell r="G9455">
            <v>301</v>
          </cell>
        </row>
        <row r="9456">
          <cell r="G9456">
            <v>374</v>
          </cell>
        </row>
        <row r="9457">
          <cell r="G9457">
            <v>102.02</v>
          </cell>
        </row>
        <row r="9459">
          <cell r="G9459">
            <v>301</v>
          </cell>
        </row>
        <row r="9460">
          <cell r="G9460">
            <v>374</v>
          </cell>
        </row>
        <row r="9461">
          <cell r="G9461">
            <v>102.02</v>
          </cell>
        </row>
        <row r="9463">
          <cell r="G9463">
            <v>301</v>
          </cell>
        </row>
        <row r="9464">
          <cell r="G9464">
            <v>374</v>
          </cell>
        </row>
        <row r="9465">
          <cell r="G9465">
            <v>102.02</v>
          </cell>
        </row>
        <row r="9467">
          <cell r="G9467">
            <v>301</v>
          </cell>
        </row>
        <row r="9468">
          <cell r="G9468">
            <v>374</v>
          </cell>
        </row>
        <row r="9469">
          <cell r="G9469">
            <v>102.02</v>
          </cell>
        </row>
        <row r="9471">
          <cell r="G9471">
            <v>301</v>
          </cell>
        </row>
        <row r="9472">
          <cell r="G9472">
            <v>374</v>
          </cell>
        </row>
        <row r="9473">
          <cell r="G9473">
            <v>102.02</v>
          </cell>
        </row>
        <row r="9475">
          <cell r="G9475">
            <v>302</v>
          </cell>
        </row>
        <row r="9476">
          <cell r="G9476">
            <v>102.02</v>
          </cell>
        </row>
        <row r="9478">
          <cell r="G9478">
            <v>302</v>
          </cell>
        </row>
        <row r="9479">
          <cell r="G9479">
            <v>304</v>
          </cell>
        </row>
        <row r="9480">
          <cell r="G9480">
            <v>374</v>
          </cell>
        </row>
        <row r="9481">
          <cell r="G9481">
            <v>102.02</v>
          </cell>
        </row>
        <row r="9483">
          <cell r="G9483">
            <v>302</v>
          </cell>
        </row>
        <row r="9484">
          <cell r="G9484">
            <v>165</v>
          </cell>
        </row>
        <row r="9485">
          <cell r="G9485">
            <v>304</v>
          </cell>
        </row>
        <row r="9486">
          <cell r="G9486">
            <v>374</v>
          </cell>
        </row>
        <row r="9487">
          <cell r="G9487">
            <v>102.02</v>
          </cell>
        </row>
        <row r="9489">
          <cell r="G9489">
            <v>154</v>
          </cell>
        </row>
        <row r="9490">
          <cell r="G9490">
            <v>525.45000000000005</v>
          </cell>
        </row>
        <row r="9491">
          <cell r="G9491">
            <v>374</v>
          </cell>
        </row>
        <row r="9492">
          <cell r="G9492">
            <v>102.02</v>
          </cell>
        </row>
        <row r="9494">
          <cell r="G9494">
            <v>301</v>
          </cell>
        </row>
        <row r="9495">
          <cell r="G9495">
            <v>102.02</v>
          </cell>
        </row>
        <row r="9497">
          <cell r="G9497">
            <v>301</v>
          </cell>
        </row>
        <row r="9498">
          <cell r="G9498">
            <v>374</v>
          </cell>
        </row>
        <row r="9499">
          <cell r="G9499">
            <v>102.02</v>
          </cell>
        </row>
        <row r="9501">
          <cell r="G9501">
            <v>301</v>
          </cell>
        </row>
        <row r="9502">
          <cell r="G9502">
            <v>374</v>
          </cell>
        </row>
        <row r="9503">
          <cell r="G9503">
            <v>102.02</v>
          </cell>
        </row>
        <row r="9505">
          <cell r="G9505">
            <v>301</v>
          </cell>
        </row>
        <row r="9506">
          <cell r="G9506">
            <v>374</v>
          </cell>
        </row>
        <row r="9507">
          <cell r="G9507">
            <v>102.02</v>
          </cell>
        </row>
        <row r="9509">
          <cell r="G9509">
            <v>301</v>
          </cell>
        </row>
        <row r="9510">
          <cell r="G9510">
            <v>374</v>
          </cell>
        </row>
        <row r="9511">
          <cell r="G9511">
            <v>102.02</v>
          </cell>
        </row>
        <row r="9513">
          <cell r="G9513">
            <v>302</v>
          </cell>
        </row>
        <row r="9514">
          <cell r="G9514">
            <v>304</v>
          </cell>
        </row>
        <row r="9515">
          <cell r="G9515">
            <v>374</v>
          </cell>
        </row>
        <row r="9516">
          <cell r="G9516">
            <v>102.02</v>
          </cell>
        </row>
        <row r="9518">
          <cell r="G9518">
            <v>512.11</v>
          </cell>
        </row>
        <row r="9519">
          <cell r="G9519">
            <v>541.02</v>
          </cell>
        </row>
        <row r="9520">
          <cell r="G9520">
            <v>102.02</v>
          </cell>
        </row>
        <row r="9522">
          <cell r="G9522">
            <v>512.07000000000005</v>
          </cell>
        </row>
        <row r="9523">
          <cell r="G9523">
            <v>165</v>
          </cell>
        </row>
        <row r="9524">
          <cell r="G9524">
            <v>174.01</v>
          </cell>
        </row>
        <row r="9525">
          <cell r="G9525">
            <v>102.02</v>
          </cell>
        </row>
        <row r="9531">
          <cell r="G9531">
            <v>512.1</v>
          </cell>
        </row>
        <row r="9532">
          <cell r="G9532">
            <v>102.02</v>
          </cell>
        </row>
        <row r="9535">
          <cell r="G9535">
            <v>163</v>
          </cell>
        </row>
        <row r="9536">
          <cell r="G9536">
            <v>102.02</v>
          </cell>
        </row>
        <row r="9538">
          <cell r="G9538">
            <v>154</v>
          </cell>
        </row>
        <row r="9539">
          <cell r="G9539">
            <v>511.07</v>
          </cell>
        </row>
        <row r="9540">
          <cell r="G9540">
            <v>514.04</v>
          </cell>
        </row>
        <row r="9541">
          <cell r="G9541">
            <v>525.1</v>
          </cell>
        </row>
        <row r="9542">
          <cell r="G9542">
            <v>525.17999999999995</v>
          </cell>
        </row>
        <row r="9543">
          <cell r="G9543">
            <v>525.24</v>
          </cell>
        </row>
        <row r="9544">
          <cell r="G9544">
            <v>525.25</v>
          </cell>
        </row>
        <row r="9545">
          <cell r="G9545">
            <v>525.26</v>
          </cell>
        </row>
        <row r="9546">
          <cell r="G9546">
            <v>525.29</v>
          </cell>
        </row>
        <row r="9547">
          <cell r="G9547">
            <v>525.33000000000004</v>
          </cell>
        </row>
        <row r="9548">
          <cell r="G9548">
            <v>525.38</v>
          </cell>
        </row>
        <row r="9549">
          <cell r="G9549">
            <v>525.4</v>
          </cell>
        </row>
        <row r="9550">
          <cell r="G9550">
            <v>525.44000000000005</v>
          </cell>
        </row>
        <row r="9551">
          <cell r="G9551">
            <v>102.02</v>
          </cell>
        </row>
        <row r="9553">
          <cell r="G9553">
            <v>103.01</v>
          </cell>
        </row>
        <row r="9554">
          <cell r="G9554">
            <v>102.02</v>
          </cell>
        </row>
        <row r="9556">
          <cell r="G9556">
            <v>301</v>
          </cell>
        </row>
        <row r="9557">
          <cell r="G9557">
            <v>163</v>
          </cell>
        </row>
        <row r="9558">
          <cell r="G9558">
            <v>374</v>
          </cell>
        </row>
        <row r="9559">
          <cell r="G9559">
            <v>102.02</v>
          </cell>
        </row>
        <row r="9561">
          <cell r="G9561">
            <v>165</v>
          </cell>
        </row>
        <row r="9562">
          <cell r="G9562">
            <v>102.02</v>
          </cell>
        </row>
        <row r="9566">
          <cell r="G9566">
            <v>154</v>
          </cell>
        </row>
        <row r="9567">
          <cell r="G9567">
            <v>541.41999999999996</v>
          </cell>
        </row>
        <row r="9568">
          <cell r="G9568">
            <v>541.41999999999996</v>
          </cell>
        </row>
        <row r="9569">
          <cell r="G9569">
            <v>541.33000000000004</v>
          </cell>
        </row>
        <row r="9570">
          <cell r="G9570">
            <v>541.27</v>
          </cell>
        </row>
        <row r="9571">
          <cell r="G9571">
            <v>541.44000000000005</v>
          </cell>
        </row>
        <row r="9572">
          <cell r="G9572">
            <v>541.33000000000004</v>
          </cell>
        </row>
        <row r="9573">
          <cell r="G9573">
            <v>541.17999999999995</v>
          </cell>
        </row>
        <row r="9574">
          <cell r="G9574">
            <v>541.44000000000005</v>
          </cell>
        </row>
        <row r="9575">
          <cell r="G9575">
            <v>541.33000000000004</v>
          </cell>
        </row>
        <row r="9576">
          <cell r="G9576">
            <v>541.16</v>
          </cell>
        </row>
        <row r="9577">
          <cell r="G9577">
            <v>541.44000000000005</v>
          </cell>
        </row>
        <row r="9578">
          <cell r="G9578">
            <v>541.26</v>
          </cell>
        </row>
        <row r="9579">
          <cell r="G9579">
            <v>541.1</v>
          </cell>
        </row>
        <row r="9580">
          <cell r="G9580">
            <v>541.36</v>
          </cell>
        </row>
        <row r="9581">
          <cell r="G9581">
            <v>541.44000000000005</v>
          </cell>
        </row>
        <row r="9582">
          <cell r="G9582">
            <v>541.44000000000005</v>
          </cell>
        </row>
        <row r="9583">
          <cell r="G9583">
            <v>541.44000000000005</v>
          </cell>
        </row>
        <row r="9584">
          <cell r="G9584">
            <v>541.17999999999995</v>
          </cell>
        </row>
        <row r="9585">
          <cell r="G9585">
            <v>541.52</v>
          </cell>
        </row>
        <row r="9586">
          <cell r="G9586">
            <v>541.44000000000005</v>
          </cell>
        </row>
        <row r="9587">
          <cell r="G9587">
            <v>541.17999999999995</v>
          </cell>
        </row>
        <row r="9588">
          <cell r="G9588">
            <v>541.52</v>
          </cell>
        </row>
        <row r="9589">
          <cell r="G9589">
            <v>541.38</v>
          </cell>
        </row>
        <row r="9590">
          <cell r="G9590">
            <v>525.17999999999995</v>
          </cell>
        </row>
        <row r="9591">
          <cell r="G9591">
            <v>525.16</v>
          </cell>
        </row>
        <row r="9592">
          <cell r="G9592">
            <v>525.16</v>
          </cell>
        </row>
        <row r="9593">
          <cell r="G9593">
            <v>525.33000000000004</v>
          </cell>
        </row>
        <row r="9594">
          <cell r="G9594">
            <v>525.17999999999995</v>
          </cell>
        </row>
        <row r="9595">
          <cell r="G9595">
            <v>304</v>
          </cell>
        </row>
        <row r="9596">
          <cell r="G9596">
            <v>161</v>
          </cell>
        </row>
        <row r="9597">
          <cell r="G9597">
            <v>512.1</v>
          </cell>
        </row>
        <row r="9598">
          <cell r="G9598">
            <v>341.02</v>
          </cell>
        </row>
        <row r="9599">
          <cell r="G9599">
            <v>102.02</v>
          </cell>
        </row>
        <row r="9601">
          <cell r="G9601">
            <v>102.04</v>
          </cell>
        </row>
        <row r="9602">
          <cell r="G9602">
            <v>102.06</v>
          </cell>
        </row>
        <row r="9604">
          <cell r="G9604">
            <v>541.85</v>
          </cell>
        </row>
        <row r="9605">
          <cell r="G9605">
            <v>102.02</v>
          </cell>
        </row>
        <row r="9608">
          <cell r="G9608">
            <v>310</v>
          </cell>
        </row>
        <row r="9609">
          <cell r="G9609">
            <v>161</v>
          </cell>
        </row>
        <row r="9610">
          <cell r="G9610">
            <v>374</v>
          </cell>
        </row>
        <row r="9611">
          <cell r="G9611">
            <v>102.06</v>
          </cell>
        </row>
        <row r="9613">
          <cell r="G9613">
            <v>154</v>
          </cell>
        </row>
        <row r="9614">
          <cell r="G9614">
            <v>541.16</v>
          </cell>
        </row>
        <row r="9615">
          <cell r="G9615">
            <v>102.06</v>
          </cell>
        </row>
        <row r="9617">
          <cell r="G9617">
            <v>513.03</v>
          </cell>
        </row>
        <row r="9618">
          <cell r="G9618">
            <v>304</v>
          </cell>
        </row>
        <row r="9619">
          <cell r="G9619">
            <v>102.04</v>
          </cell>
        </row>
        <row r="9623">
          <cell r="G9623">
            <v>154</v>
          </cell>
        </row>
        <row r="9624">
          <cell r="G9624">
            <v>511.07</v>
          </cell>
        </row>
        <row r="9625">
          <cell r="G9625">
            <v>511.08</v>
          </cell>
        </row>
        <row r="9626">
          <cell r="G9626">
            <v>511.11</v>
          </cell>
        </row>
        <row r="9627">
          <cell r="G9627">
            <v>514.04</v>
          </cell>
        </row>
        <row r="9628">
          <cell r="G9628">
            <v>525.17999999999995</v>
          </cell>
        </row>
        <row r="9629">
          <cell r="G9629">
            <v>525.23</v>
          </cell>
        </row>
        <row r="9630">
          <cell r="G9630">
            <v>525.25</v>
          </cell>
        </row>
        <row r="9631">
          <cell r="G9631">
            <v>525.26</v>
          </cell>
        </row>
        <row r="9632">
          <cell r="G9632">
            <v>525.29</v>
          </cell>
        </row>
        <row r="9633">
          <cell r="G9633">
            <v>525.33000000000004</v>
          </cell>
        </row>
        <row r="9634">
          <cell r="G9634">
            <v>525.38</v>
          </cell>
        </row>
        <row r="9635">
          <cell r="G9635">
            <v>525.4</v>
          </cell>
        </row>
        <row r="9636">
          <cell r="G9636">
            <v>525.42999999999995</v>
          </cell>
        </row>
        <row r="9637">
          <cell r="G9637">
            <v>525.44000000000005</v>
          </cell>
        </row>
        <row r="9638">
          <cell r="G9638">
            <v>102.02</v>
          </cell>
        </row>
        <row r="9640">
          <cell r="G9640">
            <v>154</v>
          </cell>
        </row>
        <row r="9641">
          <cell r="G9641">
            <v>541.23</v>
          </cell>
        </row>
        <row r="9642">
          <cell r="G9642">
            <v>102.02</v>
          </cell>
        </row>
        <row r="9644">
          <cell r="G9644">
            <v>103.01</v>
          </cell>
        </row>
        <row r="9645">
          <cell r="G9645">
            <v>102.02</v>
          </cell>
        </row>
        <row r="9650">
          <cell r="G9650">
            <v>302</v>
          </cell>
        </row>
        <row r="9651">
          <cell r="G9651">
            <v>304</v>
          </cell>
        </row>
        <row r="9652">
          <cell r="G9652">
            <v>374</v>
          </cell>
        </row>
        <row r="9653">
          <cell r="G9653">
            <v>102.02</v>
          </cell>
        </row>
        <row r="9655">
          <cell r="G9655">
            <v>154</v>
          </cell>
        </row>
        <row r="9656">
          <cell r="G9656">
            <v>541.44000000000005</v>
          </cell>
        </row>
        <row r="9657">
          <cell r="G9657">
            <v>541.17999999999995</v>
          </cell>
        </row>
        <row r="9658">
          <cell r="G9658">
            <v>541.38</v>
          </cell>
        </row>
        <row r="9659">
          <cell r="G9659">
            <v>541.16</v>
          </cell>
        </row>
        <row r="9660">
          <cell r="G9660">
            <v>541.4</v>
          </cell>
        </row>
        <row r="9661">
          <cell r="G9661">
            <v>541.33000000000004</v>
          </cell>
        </row>
        <row r="9662">
          <cell r="G9662">
            <v>541.41999999999996</v>
          </cell>
        </row>
        <row r="9663">
          <cell r="G9663">
            <v>541.26</v>
          </cell>
        </row>
        <row r="9664">
          <cell r="G9664">
            <v>541.25</v>
          </cell>
        </row>
        <row r="9665">
          <cell r="G9665">
            <v>541.36</v>
          </cell>
        </row>
        <row r="9666">
          <cell r="G9666">
            <v>511.03</v>
          </cell>
        </row>
        <row r="9667">
          <cell r="G9667">
            <v>514.04</v>
          </cell>
        </row>
        <row r="9668">
          <cell r="G9668">
            <v>163</v>
          </cell>
        </row>
        <row r="9669">
          <cell r="G9669">
            <v>542.25</v>
          </cell>
        </row>
        <row r="9670">
          <cell r="G9670">
            <v>525.25</v>
          </cell>
        </row>
        <row r="9671">
          <cell r="G9671">
            <v>525.32000000000005</v>
          </cell>
        </row>
        <row r="9672">
          <cell r="G9672">
            <v>525.33000000000004</v>
          </cell>
        </row>
        <row r="9673">
          <cell r="G9673">
            <v>525.38</v>
          </cell>
        </row>
        <row r="9674">
          <cell r="G9674">
            <v>525.44000000000005</v>
          </cell>
        </row>
        <row r="9675">
          <cell r="G9675">
            <v>102.02</v>
          </cell>
        </row>
        <row r="9679">
          <cell r="G9679">
            <v>541.01</v>
          </cell>
        </row>
        <row r="9680">
          <cell r="G9680">
            <v>341.02</v>
          </cell>
        </row>
        <row r="9681">
          <cell r="G9681">
            <v>341.04</v>
          </cell>
        </row>
        <row r="9682">
          <cell r="G9682">
            <v>341.06</v>
          </cell>
        </row>
        <row r="9683">
          <cell r="G9683">
            <v>373</v>
          </cell>
        </row>
        <row r="9684">
          <cell r="G9684">
            <v>102.04</v>
          </cell>
        </row>
        <row r="9686">
          <cell r="G9686">
            <v>521.01</v>
          </cell>
        </row>
        <row r="9687">
          <cell r="G9687">
            <v>541.01</v>
          </cell>
        </row>
        <row r="9688">
          <cell r="G9688">
            <v>543.01</v>
          </cell>
        </row>
        <row r="9689">
          <cell r="G9689">
            <v>544.01</v>
          </cell>
        </row>
        <row r="9690">
          <cell r="G9690">
            <v>161</v>
          </cell>
        </row>
        <row r="9691">
          <cell r="G9691">
            <v>341.02</v>
          </cell>
        </row>
        <row r="9692">
          <cell r="G9692">
            <v>341.04</v>
          </cell>
        </row>
        <row r="9693">
          <cell r="G9693">
            <v>341.06</v>
          </cell>
        </row>
        <row r="9694">
          <cell r="G9694">
            <v>373</v>
          </cell>
        </row>
        <row r="9695">
          <cell r="G9695">
            <v>102.04</v>
          </cell>
        </row>
        <row r="9697">
          <cell r="G9697">
            <v>512.1</v>
          </cell>
        </row>
        <row r="9698">
          <cell r="G9698">
            <v>512.07000000000005</v>
          </cell>
        </row>
        <row r="9699">
          <cell r="G9699">
            <v>512.11</v>
          </cell>
        </row>
        <row r="9700">
          <cell r="G9700">
            <v>521.01</v>
          </cell>
        </row>
        <row r="9701">
          <cell r="G9701">
            <v>161</v>
          </cell>
        </row>
        <row r="9702">
          <cell r="G9702">
            <v>341.02</v>
          </cell>
        </row>
        <row r="9703">
          <cell r="G9703">
            <v>341.04</v>
          </cell>
        </row>
        <row r="9704">
          <cell r="G9704">
            <v>341.06</v>
          </cell>
        </row>
        <row r="9705">
          <cell r="G9705">
            <v>373</v>
          </cell>
        </row>
        <row r="9706">
          <cell r="G9706">
            <v>102.04</v>
          </cell>
        </row>
        <row r="9708">
          <cell r="G9708">
            <v>302</v>
          </cell>
        </row>
        <row r="9709">
          <cell r="G9709">
            <v>165</v>
          </cell>
        </row>
        <row r="9710">
          <cell r="G9710">
            <v>304</v>
          </cell>
        </row>
        <row r="9711">
          <cell r="G9711">
            <v>374</v>
          </cell>
        </row>
        <row r="9712">
          <cell r="G9712">
            <v>102.06</v>
          </cell>
        </row>
        <row r="9714">
          <cell r="G9714">
            <v>512.07000000000005</v>
          </cell>
        </row>
        <row r="9715">
          <cell r="G9715">
            <v>165</v>
          </cell>
        </row>
        <row r="9716">
          <cell r="G9716">
            <v>102.02</v>
          </cell>
        </row>
        <row r="9724">
          <cell r="G9724">
            <v>512.11</v>
          </cell>
        </row>
        <row r="9725">
          <cell r="G9725">
            <v>102.02</v>
          </cell>
        </row>
        <row r="9727">
          <cell r="G9727">
            <v>512.12</v>
          </cell>
        </row>
        <row r="9728">
          <cell r="G9728">
            <v>512.03</v>
          </cell>
        </row>
        <row r="9729">
          <cell r="G9729">
            <v>102.02</v>
          </cell>
        </row>
        <row r="9731">
          <cell r="G9731">
            <v>541.79999999999995</v>
          </cell>
        </row>
        <row r="9732">
          <cell r="G9732">
            <v>102.02</v>
          </cell>
        </row>
        <row r="9734">
          <cell r="G9734">
            <v>541.79999999999995</v>
          </cell>
        </row>
        <row r="9735">
          <cell r="G9735">
            <v>102.02</v>
          </cell>
        </row>
        <row r="9737">
          <cell r="G9737">
            <v>302</v>
          </cell>
        </row>
        <row r="9738">
          <cell r="G9738">
            <v>304</v>
          </cell>
        </row>
        <row r="9739">
          <cell r="G9739">
            <v>374</v>
          </cell>
        </row>
        <row r="9740">
          <cell r="G9740">
            <v>102.04</v>
          </cell>
        </row>
        <row r="9742">
          <cell r="G9742">
            <v>151.01</v>
          </cell>
        </row>
        <row r="9743">
          <cell r="G9743">
            <v>541.99</v>
          </cell>
        </row>
        <row r="9744">
          <cell r="G9744">
            <v>102.04</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 &amp; W sizes"/>
      <sheetName val="LG-Partition"/>
      <sheetName val="UG Partitions"/>
      <sheetName val="2F Partitions"/>
      <sheetName val="3F-5F Partitions"/>
      <sheetName val="PH Partitions"/>
      <sheetName val="Mach. rm. Partn."/>
      <sheetName val="Summary"/>
      <sheetName val="D _ W sizes"/>
      <sheetName val="Net-Sell"/>
      <sheetName val="물량표S"/>
      <sheetName val="Sheet1"/>
      <sheetName val="242-3 summaryOPC"/>
      <sheetName val="Addendum No.1 BILL 2"/>
    </sheetNames>
    <sheetDataSet>
      <sheetData sheetId="0" refreshError="1">
        <row r="3">
          <cell r="B3">
            <v>1</v>
          </cell>
          <cell r="C3">
            <v>2</v>
          </cell>
          <cell r="D3">
            <v>3</v>
          </cell>
          <cell r="G3">
            <v>1</v>
          </cell>
          <cell r="H3">
            <v>2</v>
          </cell>
          <cell r="I3">
            <v>3</v>
          </cell>
        </row>
        <row r="4">
          <cell r="B4" t="str">
            <v>Type</v>
          </cell>
          <cell r="C4" t="str">
            <v>Size</v>
          </cell>
          <cell r="G4" t="str">
            <v>Type</v>
          </cell>
          <cell r="H4" t="str">
            <v>Size</v>
          </cell>
        </row>
        <row r="5">
          <cell r="C5" t="str">
            <v>W</v>
          </cell>
          <cell r="D5" t="str">
            <v>H</v>
          </cell>
          <cell r="H5" t="str">
            <v>W</v>
          </cell>
          <cell r="I5" t="str">
            <v>H</v>
          </cell>
        </row>
        <row r="6">
          <cell r="C6" t="str">
            <v>(ft)</v>
          </cell>
          <cell r="D6" t="str">
            <v>(ft)</v>
          </cell>
          <cell r="H6" t="str">
            <v>(ft)</v>
          </cell>
          <cell r="I6" t="str">
            <v>(ft)</v>
          </cell>
        </row>
        <row r="8">
          <cell r="B8" t="str">
            <v>D1</v>
          </cell>
          <cell r="C8">
            <v>6</v>
          </cell>
          <cell r="D8">
            <v>7</v>
          </cell>
          <cell r="G8" t="str">
            <v>W1</v>
          </cell>
          <cell r="H8">
            <v>18</v>
          </cell>
          <cell r="I8">
            <v>7</v>
          </cell>
        </row>
        <row r="9">
          <cell r="B9" t="str">
            <v>D2</v>
          </cell>
          <cell r="C9">
            <v>6</v>
          </cell>
          <cell r="D9">
            <v>7</v>
          </cell>
          <cell r="G9" t="str">
            <v>W1a</v>
          </cell>
          <cell r="H9">
            <v>18</v>
          </cell>
          <cell r="I9">
            <v>5</v>
          </cell>
        </row>
        <row r="10">
          <cell r="B10" t="str">
            <v>D2a</v>
          </cell>
          <cell r="G10" t="str">
            <v>W2</v>
          </cell>
          <cell r="H10">
            <v>2</v>
          </cell>
          <cell r="I10">
            <v>4.166666666666667</v>
          </cell>
        </row>
        <row r="11">
          <cell r="B11" t="str">
            <v>D2b</v>
          </cell>
          <cell r="C11">
            <v>6</v>
          </cell>
          <cell r="D11">
            <v>7</v>
          </cell>
          <cell r="G11" t="str">
            <v>W2a</v>
          </cell>
          <cell r="H11">
            <v>2</v>
          </cell>
          <cell r="I11">
            <v>4.166666666666667</v>
          </cell>
        </row>
        <row r="12">
          <cell r="B12" t="str">
            <v>D2c</v>
          </cell>
          <cell r="G12" t="str">
            <v>W3</v>
          </cell>
          <cell r="H12">
            <v>4</v>
          </cell>
          <cell r="I12">
            <v>4.166666666666667</v>
          </cell>
        </row>
        <row r="13">
          <cell r="B13" t="str">
            <v>D2d</v>
          </cell>
          <cell r="C13">
            <v>6</v>
          </cell>
          <cell r="D13">
            <v>7</v>
          </cell>
          <cell r="G13" t="str">
            <v>W4</v>
          </cell>
          <cell r="H13">
            <v>21.46</v>
          </cell>
          <cell r="I13">
            <v>6.5</v>
          </cell>
        </row>
        <row r="14">
          <cell r="B14" t="str">
            <v>D3</v>
          </cell>
          <cell r="G14" t="str">
            <v>W5</v>
          </cell>
          <cell r="H14">
            <v>4</v>
          </cell>
          <cell r="I14">
            <v>4</v>
          </cell>
        </row>
        <row r="15">
          <cell r="B15" t="str">
            <v>D3a</v>
          </cell>
          <cell r="C15">
            <v>6</v>
          </cell>
          <cell r="D15">
            <v>7</v>
          </cell>
          <cell r="G15" t="str">
            <v>W6</v>
          </cell>
        </row>
        <row r="16">
          <cell r="B16" t="str">
            <v>D4</v>
          </cell>
          <cell r="G16" t="str">
            <v>W7</v>
          </cell>
          <cell r="H16">
            <v>10</v>
          </cell>
          <cell r="I16">
            <v>5.5</v>
          </cell>
        </row>
        <row r="17">
          <cell r="B17" t="str">
            <v>D5</v>
          </cell>
          <cell r="G17" t="str">
            <v>W8</v>
          </cell>
          <cell r="H17">
            <v>6</v>
          </cell>
          <cell r="I17">
            <v>4.166666666666667</v>
          </cell>
        </row>
        <row r="18">
          <cell r="B18" t="str">
            <v>D6</v>
          </cell>
          <cell r="C18">
            <v>3</v>
          </cell>
          <cell r="D18">
            <v>7</v>
          </cell>
          <cell r="G18" t="str">
            <v>W9</v>
          </cell>
          <cell r="H18">
            <v>2</v>
          </cell>
          <cell r="I18">
            <v>2</v>
          </cell>
        </row>
        <row r="19">
          <cell r="B19" t="str">
            <v>D7</v>
          </cell>
          <cell r="C19">
            <v>3.5</v>
          </cell>
          <cell r="D19">
            <v>7</v>
          </cell>
          <cell r="G19" t="str">
            <v>W10</v>
          </cell>
          <cell r="H19">
            <v>8</v>
          </cell>
          <cell r="I19">
            <v>2</v>
          </cell>
        </row>
        <row r="20">
          <cell r="B20" t="str">
            <v>SD1</v>
          </cell>
          <cell r="C20">
            <v>6</v>
          </cell>
          <cell r="D20">
            <v>7</v>
          </cell>
        </row>
        <row r="21">
          <cell r="B21" t="str">
            <v>SD2</v>
          </cell>
          <cell r="C21">
            <v>6</v>
          </cell>
          <cell r="D21">
            <v>7</v>
          </cell>
        </row>
        <row r="22">
          <cell r="B22" t="str">
            <v>SD2a</v>
          </cell>
          <cell r="C22">
            <v>6</v>
          </cell>
          <cell r="D22">
            <v>7</v>
          </cell>
        </row>
        <row r="23">
          <cell r="B23" t="str">
            <v>WD1</v>
          </cell>
          <cell r="C23">
            <v>3</v>
          </cell>
          <cell r="D23">
            <v>7</v>
          </cell>
        </row>
        <row r="24">
          <cell r="B24" t="str">
            <v>WD2</v>
          </cell>
        </row>
        <row r="25">
          <cell r="B25" t="str">
            <v>WD3</v>
          </cell>
          <cell r="C25">
            <v>2.5</v>
          </cell>
          <cell r="D25">
            <v>7</v>
          </cell>
        </row>
        <row r="26">
          <cell r="B26" t="str">
            <v>WD4</v>
          </cell>
          <cell r="C26">
            <v>3</v>
          </cell>
          <cell r="D26">
            <v>7</v>
          </cell>
        </row>
        <row r="27">
          <cell r="B27" t="str">
            <v>WD5</v>
          </cell>
          <cell r="C27">
            <v>3</v>
          </cell>
          <cell r="D27">
            <v>7</v>
          </cell>
        </row>
        <row r="28">
          <cell r="B28" t="str">
            <v>WD6</v>
          </cell>
          <cell r="C28">
            <v>2.3333333333333335</v>
          </cell>
          <cell r="D28">
            <v>7</v>
          </cell>
        </row>
        <row r="29">
          <cell r="B29" t="str">
            <v>WD7</v>
          </cell>
          <cell r="C29">
            <v>5</v>
          </cell>
          <cell r="D29">
            <v>7</v>
          </cell>
        </row>
        <row r="30">
          <cell r="B30" t="str">
            <v>MD1</v>
          </cell>
          <cell r="C30">
            <v>6</v>
          </cell>
          <cell r="D30">
            <v>7</v>
          </cell>
        </row>
        <row r="31">
          <cell r="B31" t="str">
            <v>MD1a</v>
          </cell>
          <cell r="C31">
            <v>4</v>
          </cell>
          <cell r="D31">
            <v>7</v>
          </cell>
        </row>
        <row r="32">
          <cell r="B32" t="str">
            <v>MD2</v>
          </cell>
          <cell r="C32">
            <v>3</v>
          </cell>
          <cell r="D32">
            <v>7</v>
          </cell>
        </row>
        <row r="33">
          <cell r="B33" t="str">
            <v>MD3</v>
          </cell>
        </row>
        <row r="34">
          <cell r="B34" t="str">
            <v>MD4</v>
          </cell>
          <cell r="C34">
            <v>3</v>
          </cell>
          <cell r="D34">
            <v>7</v>
          </cell>
        </row>
      </sheetData>
      <sheetData sheetId="1" refreshError="1"/>
      <sheetData sheetId="2" refreshError="1"/>
      <sheetData sheetId="3" refreshError="1"/>
      <sheetData sheetId="4" refreshError="1"/>
      <sheetData sheetId="5" refreshError="1"/>
      <sheetData sheetId="6" refreshError="1"/>
      <sheetData sheetId="7" refreshError="1"/>
      <sheetData sheetId="8">
        <row r="3">
          <cell r="B3">
            <v>1</v>
          </cell>
        </row>
      </sheetData>
      <sheetData sheetId="9" refreshError="1"/>
      <sheetData sheetId="10" refreshError="1"/>
      <sheetData sheetId="11">
        <row r="3">
          <cell r="B3" t="str">
            <v>PARTICULARS</v>
          </cell>
        </row>
      </sheetData>
      <sheetData sheetId="12" refreshError="1"/>
      <sheetData sheetId="1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OP"/>
      <sheetName val="FIELD"/>
      <sheetName val="TESTING"/>
      <sheetName val="WEIGHT"/>
      <sheetName val="AreaPerM"/>
      <sheetName val="Sample Comp"/>
      <sheetName val="ORIG"/>
      <sheetName val="Sheet3"/>
      <sheetName val="Sheet4"/>
      <sheetName val="Sheet5"/>
      <sheetName val="Sheet6"/>
      <sheetName val="Sheet7"/>
      <sheetName val="Sheet8"/>
      <sheetName val="Sheet9"/>
      <sheetName val="Sheet10"/>
      <sheetName val="Sample_Comp"/>
      <sheetName val="Proj Cost Accrual"/>
      <sheetName val="Revenue At Completion"/>
      <sheetName val="bid price schedule"/>
      <sheetName val="Code 02"/>
      <sheetName val="Code 03"/>
      <sheetName val="Code 04"/>
      <sheetName val="Code 05"/>
      <sheetName val="Code 06"/>
      <sheetName val="Code 07"/>
      <sheetName val="Code 09"/>
      <sheetName val="BILL 1"/>
      <sheetName val="Source"/>
      <sheetName val="D &amp; W sizes"/>
      <sheetName val="Tables"/>
    </sheetNames>
    <sheetDataSet>
      <sheetData sheetId="0" refreshError="1">
        <row r="7">
          <cell r="A7" t="str">
            <v>Pipe Size</v>
          </cell>
          <cell r="B7" t="str">
            <v>STD</v>
          </cell>
          <cell r="C7" t="str">
            <v>XS</v>
          </cell>
          <cell r="D7">
            <v>20</v>
          </cell>
          <cell r="E7">
            <v>30</v>
          </cell>
          <cell r="F7">
            <v>40</v>
          </cell>
          <cell r="G7">
            <v>60</v>
          </cell>
          <cell r="H7">
            <v>80</v>
          </cell>
          <cell r="I7">
            <v>100</v>
          </cell>
          <cell r="J7">
            <v>120</v>
          </cell>
          <cell r="K7">
            <v>140</v>
          </cell>
          <cell r="L7">
            <v>160</v>
          </cell>
          <cell r="M7" t="str">
            <v>XXS</v>
          </cell>
          <cell r="N7" t="str">
            <v>Pipe Size</v>
          </cell>
          <cell r="O7" t="str">
            <v>STD</v>
          </cell>
          <cell r="P7" t="str">
            <v>XS</v>
          </cell>
          <cell r="Q7">
            <v>20</v>
          </cell>
          <cell r="R7">
            <v>30</v>
          </cell>
          <cell r="S7">
            <v>40</v>
          </cell>
          <cell r="T7">
            <v>60</v>
          </cell>
          <cell r="U7">
            <v>80</v>
          </cell>
          <cell r="V7">
            <v>100</v>
          </cell>
          <cell r="W7">
            <v>120</v>
          </cell>
          <cell r="X7">
            <v>140</v>
          </cell>
          <cell r="Y7">
            <v>160</v>
          </cell>
          <cell r="Z7" t="str">
            <v>XXS</v>
          </cell>
          <cell r="AA7" t="str">
            <v>Pipe Size</v>
          </cell>
          <cell r="AB7" t="str">
            <v>STD</v>
          </cell>
          <cell r="AC7" t="str">
            <v>XS</v>
          </cell>
          <cell r="AD7">
            <v>20</v>
          </cell>
          <cell r="AE7">
            <v>30</v>
          </cell>
          <cell r="AF7">
            <v>40</v>
          </cell>
          <cell r="AG7">
            <v>60</v>
          </cell>
          <cell r="AH7">
            <v>80</v>
          </cell>
          <cell r="AI7">
            <v>100</v>
          </cell>
          <cell r="AJ7">
            <v>120</v>
          </cell>
          <cell r="AK7">
            <v>140</v>
          </cell>
          <cell r="AL7">
            <v>160</v>
          </cell>
          <cell r="AM7" t="str">
            <v>XXS</v>
          </cell>
          <cell r="AN7" t="str">
            <v>Pipe Size</v>
          </cell>
          <cell r="AO7" t="str">
            <v>STD</v>
          </cell>
          <cell r="AP7" t="str">
            <v>XS</v>
          </cell>
          <cell r="AQ7">
            <v>20</v>
          </cell>
          <cell r="AR7">
            <v>30</v>
          </cell>
          <cell r="AS7">
            <v>40</v>
          </cell>
          <cell r="AT7">
            <v>60</v>
          </cell>
          <cell r="AU7">
            <v>80</v>
          </cell>
          <cell r="AV7">
            <v>100</v>
          </cell>
          <cell r="AW7">
            <v>120</v>
          </cell>
          <cell r="AX7">
            <v>140</v>
          </cell>
          <cell r="AY7">
            <v>160</v>
          </cell>
          <cell r="AZ7" t="str">
            <v>XXS</v>
          </cell>
          <cell r="BA7" t="str">
            <v>Pipe Size</v>
          </cell>
          <cell r="BB7">
            <v>150</v>
          </cell>
          <cell r="BC7">
            <v>300</v>
          </cell>
          <cell r="BD7">
            <v>400</v>
          </cell>
          <cell r="BE7" t="str">
            <v>600</v>
          </cell>
          <cell r="BF7" t="str">
            <v>900</v>
          </cell>
          <cell r="BG7">
            <v>1500</v>
          </cell>
          <cell r="BH7">
            <v>2500</v>
          </cell>
          <cell r="BI7" t="str">
            <v>Pipe Size</v>
          </cell>
          <cell r="BJ7">
            <v>150</v>
          </cell>
          <cell r="BK7">
            <v>300</v>
          </cell>
          <cell r="BL7">
            <v>400</v>
          </cell>
          <cell r="BM7" t="str">
            <v>600</v>
          </cell>
          <cell r="BN7" t="str">
            <v>900</v>
          </cell>
          <cell r="BO7">
            <v>1500</v>
          </cell>
          <cell r="BP7">
            <v>2500</v>
          </cell>
          <cell r="BQ7" t="str">
            <v>Pipe Size</v>
          </cell>
          <cell r="BR7" t="str">
            <v>STD</v>
          </cell>
          <cell r="BS7" t="str">
            <v>XS</v>
          </cell>
          <cell r="BT7">
            <v>20</v>
          </cell>
          <cell r="BU7">
            <v>30</v>
          </cell>
          <cell r="BV7">
            <v>40</v>
          </cell>
          <cell r="BW7">
            <v>60</v>
          </cell>
          <cell r="BX7">
            <v>80</v>
          </cell>
          <cell r="BY7">
            <v>100</v>
          </cell>
          <cell r="BZ7">
            <v>120</v>
          </cell>
          <cell r="CA7">
            <v>140</v>
          </cell>
          <cell r="CB7">
            <v>160</v>
          </cell>
          <cell r="CC7" t="str">
            <v>XXS</v>
          </cell>
          <cell r="CD7" t="str">
            <v>Pipe Size</v>
          </cell>
          <cell r="CE7" t="str">
            <v>STD</v>
          </cell>
          <cell r="CF7" t="str">
            <v>XS</v>
          </cell>
          <cell r="CG7">
            <v>20</v>
          </cell>
          <cell r="CH7">
            <v>30</v>
          </cell>
          <cell r="CI7">
            <v>40</v>
          </cell>
          <cell r="CJ7">
            <v>60</v>
          </cell>
          <cell r="CK7">
            <v>80</v>
          </cell>
          <cell r="CL7">
            <v>100</v>
          </cell>
          <cell r="CM7">
            <v>120</v>
          </cell>
          <cell r="CN7">
            <v>140</v>
          </cell>
          <cell r="CO7">
            <v>160</v>
          </cell>
          <cell r="CP7" t="str">
            <v>XXS</v>
          </cell>
          <cell r="CQ7" t="str">
            <v>Pipe Size</v>
          </cell>
          <cell r="CR7" t="str">
            <v>STD</v>
          </cell>
          <cell r="CS7" t="str">
            <v>XS</v>
          </cell>
          <cell r="CT7">
            <v>20</v>
          </cell>
          <cell r="CU7">
            <v>30</v>
          </cell>
          <cell r="CV7">
            <v>40</v>
          </cell>
          <cell r="CW7">
            <v>60</v>
          </cell>
          <cell r="CX7">
            <v>80</v>
          </cell>
          <cell r="CY7">
            <v>100</v>
          </cell>
          <cell r="CZ7">
            <v>120</v>
          </cell>
          <cell r="DA7">
            <v>140</v>
          </cell>
          <cell r="DB7">
            <v>160</v>
          </cell>
          <cell r="DC7" t="str">
            <v>XXS</v>
          </cell>
          <cell r="DD7" t="str">
            <v>Pipe Size</v>
          </cell>
          <cell r="DE7" t="str">
            <v>STD</v>
          </cell>
          <cell r="DF7" t="str">
            <v>XS</v>
          </cell>
          <cell r="DG7">
            <v>20</v>
          </cell>
          <cell r="DH7">
            <v>30</v>
          </cell>
          <cell r="DI7">
            <v>40</v>
          </cell>
          <cell r="DJ7">
            <v>60</v>
          </cell>
          <cell r="DK7">
            <v>80</v>
          </cell>
          <cell r="DL7">
            <v>100</v>
          </cell>
          <cell r="DM7">
            <v>120</v>
          </cell>
          <cell r="DN7">
            <v>140</v>
          </cell>
          <cell r="DO7">
            <v>160</v>
          </cell>
          <cell r="DP7" t="str">
            <v>XXS</v>
          </cell>
          <cell r="DQ7" t="str">
            <v>Pipe Size</v>
          </cell>
          <cell r="DR7" t="str">
            <v>STD</v>
          </cell>
          <cell r="DS7" t="str">
            <v>XS</v>
          </cell>
          <cell r="DT7">
            <v>20</v>
          </cell>
          <cell r="DU7">
            <v>30</v>
          </cell>
          <cell r="DV7">
            <v>40</v>
          </cell>
          <cell r="DW7">
            <v>60</v>
          </cell>
          <cell r="DX7">
            <v>80</v>
          </cell>
          <cell r="DY7">
            <v>100</v>
          </cell>
          <cell r="DZ7">
            <v>120</v>
          </cell>
          <cell r="EA7">
            <v>140</v>
          </cell>
          <cell r="EB7">
            <v>160</v>
          </cell>
          <cell r="EC7" t="str">
            <v>XXS</v>
          </cell>
          <cell r="ED7" t="str">
            <v>Pipe Size</v>
          </cell>
          <cell r="EE7">
            <v>3000</v>
          </cell>
          <cell r="EF7">
            <v>6000</v>
          </cell>
          <cell r="EG7" t="str">
            <v>Pipe Size</v>
          </cell>
          <cell r="EH7" t="str">
            <v>STD</v>
          </cell>
          <cell r="EI7" t="str">
            <v>XS</v>
          </cell>
          <cell r="EJ7">
            <v>20</v>
          </cell>
          <cell r="EK7">
            <v>30</v>
          </cell>
          <cell r="EL7">
            <v>40</v>
          </cell>
          <cell r="EM7">
            <v>60</v>
          </cell>
          <cell r="EN7">
            <v>80</v>
          </cell>
          <cell r="EO7">
            <v>100</v>
          </cell>
          <cell r="EP7">
            <v>120</v>
          </cell>
          <cell r="EQ7">
            <v>140</v>
          </cell>
          <cell r="ER7">
            <v>160</v>
          </cell>
          <cell r="ES7" t="str">
            <v>XXS</v>
          </cell>
          <cell r="ET7" t="str">
            <v>Pipe Size</v>
          </cell>
          <cell r="EU7" t="str">
            <v>STD</v>
          </cell>
          <cell r="EV7" t="str">
            <v>XS</v>
          </cell>
          <cell r="EW7">
            <v>20</v>
          </cell>
          <cell r="EX7">
            <v>30</v>
          </cell>
          <cell r="EY7">
            <v>40</v>
          </cell>
          <cell r="EZ7">
            <v>60</v>
          </cell>
          <cell r="FA7">
            <v>80</v>
          </cell>
          <cell r="FB7">
            <v>100</v>
          </cell>
          <cell r="FC7">
            <v>120</v>
          </cell>
          <cell r="FD7">
            <v>140</v>
          </cell>
          <cell r="FE7">
            <v>160</v>
          </cell>
          <cell r="FF7" t="str">
            <v>XXS</v>
          </cell>
        </row>
        <row r="8">
          <cell r="A8">
            <v>1</v>
          </cell>
          <cell r="B8">
            <v>2</v>
          </cell>
          <cell r="C8">
            <v>3</v>
          </cell>
          <cell r="D8">
            <v>4</v>
          </cell>
          <cell r="E8">
            <v>5</v>
          </cell>
          <cell r="F8">
            <v>6</v>
          </cell>
          <cell r="G8">
            <v>7</v>
          </cell>
          <cell r="H8">
            <v>8</v>
          </cell>
          <cell r="I8">
            <v>9</v>
          </cell>
          <cell r="J8">
            <v>10</v>
          </cell>
          <cell r="K8">
            <v>11</v>
          </cell>
          <cell r="L8">
            <v>12</v>
          </cell>
          <cell r="M8">
            <v>13</v>
          </cell>
          <cell r="N8">
            <v>1</v>
          </cell>
          <cell r="O8">
            <v>2</v>
          </cell>
          <cell r="P8">
            <v>3</v>
          </cell>
          <cell r="Q8">
            <v>4</v>
          </cell>
          <cell r="R8">
            <v>5</v>
          </cell>
          <cell r="S8">
            <v>6</v>
          </cell>
          <cell r="T8">
            <v>7</v>
          </cell>
          <cell r="U8">
            <v>8</v>
          </cell>
          <cell r="V8">
            <v>9</v>
          </cell>
          <cell r="W8">
            <v>10</v>
          </cell>
          <cell r="X8">
            <v>11</v>
          </cell>
          <cell r="Y8">
            <v>12</v>
          </cell>
          <cell r="Z8">
            <v>13</v>
          </cell>
          <cell r="AA8">
            <v>1</v>
          </cell>
          <cell r="AB8">
            <v>2</v>
          </cell>
          <cell r="AC8">
            <v>3</v>
          </cell>
          <cell r="AD8">
            <v>4</v>
          </cell>
          <cell r="AE8">
            <v>5</v>
          </cell>
          <cell r="AF8">
            <v>6</v>
          </cell>
          <cell r="AG8">
            <v>7</v>
          </cell>
          <cell r="AH8">
            <v>8</v>
          </cell>
          <cell r="AI8">
            <v>9</v>
          </cell>
          <cell r="AJ8">
            <v>10</v>
          </cell>
          <cell r="AK8">
            <v>11</v>
          </cell>
          <cell r="AL8">
            <v>12</v>
          </cell>
          <cell r="AM8">
            <v>13</v>
          </cell>
          <cell r="AN8">
            <v>1</v>
          </cell>
          <cell r="AO8">
            <v>2</v>
          </cell>
          <cell r="AP8">
            <v>3</v>
          </cell>
          <cell r="AQ8">
            <v>4</v>
          </cell>
          <cell r="AR8">
            <v>5</v>
          </cell>
          <cell r="AS8">
            <v>6</v>
          </cell>
          <cell r="AT8">
            <v>7</v>
          </cell>
          <cell r="AU8">
            <v>8</v>
          </cell>
          <cell r="AV8">
            <v>9</v>
          </cell>
          <cell r="AW8">
            <v>10</v>
          </cell>
          <cell r="AX8">
            <v>11</v>
          </cell>
          <cell r="AY8">
            <v>12</v>
          </cell>
          <cell r="AZ8">
            <v>13</v>
          </cell>
          <cell r="BA8">
            <v>1</v>
          </cell>
          <cell r="BB8">
            <v>2</v>
          </cell>
          <cell r="BC8">
            <v>3</v>
          </cell>
          <cell r="BD8">
            <v>4</v>
          </cell>
          <cell r="BE8">
            <v>5</v>
          </cell>
          <cell r="BF8">
            <v>6</v>
          </cell>
          <cell r="BG8">
            <v>7</v>
          </cell>
          <cell r="BH8">
            <v>8</v>
          </cell>
          <cell r="BI8">
            <v>1</v>
          </cell>
          <cell r="BJ8">
            <v>2</v>
          </cell>
          <cell r="BK8">
            <v>3</v>
          </cell>
          <cell r="BL8">
            <v>4</v>
          </cell>
          <cell r="BM8">
            <v>5</v>
          </cell>
          <cell r="BN8">
            <v>6</v>
          </cell>
          <cell r="BO8">
            <v>7</v>
          </cell>
          <cell r="BP8">
            <v>8</v>
          </cell>
          <cell r="BQ8">
            <v>1</v>
          </cell>
          <cell r="BR8">
            <v>2</v>
          </cell>
          <cell r="BS8">
            <v>3</v>
          </cell>
          <cell r="BT8">
            <v>4</v>
          </cell>
          <cell r="BU8">
            <v>5</v>
          </cell>
          <cell r="BV8">
            <v>6</v>
          </cell>
          <cell r="BW8">
            <v>7</v>
          </cell>
          <cell r="BX8">
            <v>8</v>
          </cell>
          <cell r="BY8">
            <v>9</v>
          </cell>
          <cell r="BZ8">
            <v>10</v>
          </cell>
          <cell r="CA8">
            <v>11</v>
          </cell>
          <cell r="CB8">
            <v>12</v>
          </cell>
          <cell r="CC8">
            <v>13</v>
          </cell>
          <cell r="CD8">
            <v>1</v>
          </cell>
          <cell r="CE8">
            <v>2</v>
          </cell>
          <cell r="CF8">
            <v>3</v>
          </cell>
          <cell r="CG8">
            <v>4</v>
          </cell>
          <cell r="CH8">
            <v>5</v>
          </cell>
          <cell r="CI8">
            <v>6</v>
          </cell>
          <cell r="CJ8">
            <v>7</v>
          </cell>
          <cell r="CK8">
            <v>8</v>
          </cell>
          <cell r="CL8">
            <v>9</v>
          </cell>
          <cell r="CM8">
            <v>10</v>
          </cell>
          <cell r="CN8">
            <v>11</v>
          </cell>
          <cell r="CO8">
            <v>12</v>
          </cell>
          <cell r="CP8">
            <v>13</v>
          </cell>
          <cell r="CQ8">
            <v>1</v>
          </cell>
          <cell r="CR8">
            <v>2</v>
          </cell>
          <cell r="CS8">
            <v>3</v>
          </cell>
          <cell r="CT8">
            <v>4</v>
          </cell>
          <cell r="CU8">
            <v>5</v>
          </cell>
          <cell r="CV8">
            <v>6</v>
          </cell>
          <cell r="CW8">
            <v>7</v>
          </cell>
          <cell r="CX8">
            <v>8</v>
          </cell>
          <cell r="CY8">
            <v>9</v>
          </cell>
          <cell r="CZ8">
            <v>10</v>
          </cell>
          <cell r="DA8">
            <v>11</v>
          </cell>
          <cell r="DB8">
            <v>12</v>
          </cell>
          <cell r="DC8">
            <v>13</v>
          </cell>
          <cell r="DD8">
            <v>1</v>
          </cell>
          <cell r="DE8">
            <v>2</v>
          </cell>
          <cell r="DF8">
            <v>3</v>
          </cell>
          <cell r="DG8">
            <v>4</v>
          </cell>
          <cell r="DH8">
            <v>5</v>
          </cell>
          <cell r="DI8">
            <v>6</v>
          </cell>
          <cell r="DJ8">
            <v>7</v>
          </cell>
          <cell r="DK8">
            <v>8</v>
          </cell>
          <cell r="DL8">
            <v>9</v>
          </cell>
          <cell r="DM8">
            <v>10</v>
          </cell>
          <cell r="DN8">
            <v>11</v>
          </cell>
          <cell r="DO8">
            <v>12</v>
          </cell>
          <cell r="DP8">
            <v>13</v>
          </cell>
          <cell r="DQ8">
            <v>1</v>
          </cell>
          <cell r="DR8">
            <v>2</v>
          </cell>
          <cell r="DS8">
            <v>3</v>
          </cell>
          <cell r="DT8">
            <v>4</v>
          </cell>
          <cell r="DU8">
            <v>5</v>
          </cell>
          <cell r="DV8">
            <v>6</v>
          </cell>
          <cell r="DW8">
            <v>7</v>
          </cell>
          <cell r="DX8">
            <v>8</v>
          </cell>
          <cell r="DY8">
            <v>9</v>
          </cell>
          <cell r="DZ8">
            <v>10</v>
          </cell>
          <cell r="EA8">
            <v>11</v>
          </cell>
          <cell r="EB8">
            <v>12</v>
          </cell>
          <cell r="EC8">
            <v>13</v>
          </cell>
          <cell r="ED8">
            <v>1</v>
          </cell>
          <cell r="EE8">
            <v>2</v>
          </cell>
          <cell r="EF8">
            <v>3</v>
          </cell>
          <cell r="EG8">
            <v>1</v>
          </cell>
          <cell r="EH8">
            <v>2</v>
          </cell>
          <cell r="EI8">
            <v>3</v>
          </cell>
          <cell r="EJ8">
            <v>4</v>
          </cell>
          <cell r="EK8">
            <v>5</v>
          </cell>
          <cell r="EL8">
            <v>6</v>
          </cell>
          <cell r="EM8">
            <v>7</v>
          </cell>
          <cell r="EN8">
            <v>8</v>
          </cell>
          <cell r="EO8">
            <v>9</v>
          </cell>
          <cell r="EP8">
            <v>10</v>
          </cell>
          <cell r="EQ8">
            <v>11</v>
          </cell>
          <cell r="ER8">
            <v>12</v>
          </cell>
          <cell r="ES8">
            <v>13</v>
          </cell>
          <cell r="ET8">
            <v>1</v>
          </cell>
          <cell r="EU8">
            <v>2</v>
          </cell>
          <cell r="EV8">
            <v>3</v>
          </cell>
          <cell r="EW8">
            <v>4</v>
          </cell>
          <cell r="EX8">
            <v>5</v>
          </cell>
          <cell r="EY8">
            <v>6</v>
          </cell>
          <cell r="EZ8">
            <v>7</v>
          </cell>
          <cell r="FA8">
            <v>8</v>
          </cell>
          <cell r="FB8">
            <v>9</v>
          </cell>
          <cell r="FC8">
            <v>10</v>
          </cell>
          <cell r="FD8">
            <v>11</v>
          </cell>
          <cell r="FE8">
            <v>12</v>
          </cell>
          <cell r="FF8">
            <v>13</v>
          </cell>
        </row>
        <row r="9">
          <cell r="A9">
            <v>0.5</v>
          </cell>
          <cell r="B9">
            <v>0.03</v>
          </cell>
          <cell r="C9">
            <v>3.3000000000000002E-2</v>
          </cell>
          <cell r="D9">
            <v>0.03</v>
          </cell>
          <cell r="E9">
            <v>0.03</v>
          </cell>
          <cell r="F9">
            <v>0.03</v>
          </cell>
          <cell r="G9">
            <v>0.03</v>
          </cell>
          <cell r="H9">
            <v>3.3000000000000002E-2</v>
          </cell>
          <cell r="I9">
            <v>3.3000000000000002E-2</v>
          </cell>
          <cell r="J9">
            <v>3.5999999999999997E-2</v>
          </cell>
          <cell r="K9">
            <v>3.5999999999999997E-2</v>
          </cell>
          <cell r="L9">
            <v>3.5999999999999997E-2</v>
          </cell>
          <cell r="M9">
            <v>3.5999999999999997E-2</v>
          </cell>
          <cell r="N9">
            <v>0.5</v>
          </cell>
          <cell r="O9">
            <v>0.6</v>
          </cell>
          <cell r="P9">
            <v>0.7</v>
          </cell>
          <cell r="S9">
            <v>0.6</v>
          </cell>
          <cell r="U9">
            <v>0.7</v>
          </cell>
          <cell r="Y9">
            <v>0.9</v>
          </cell>
          <cell r="Z9">
            <v>0.9</v>
          </cell>
          <cell r="AA9">
            <v>0.5</v>
          </cell>
          <cell r="AB9">
            <v>0.09</v>
          </cell>
          <cell r="AC9">
            <v>0.13</v>
          </cell>
          <cell r="AF9">
            <v>0.09</v>
          </cell>
          <cell r="AH9">
            <v>0.13</v>
          </cell>
          <cell r="AL9">
            <v>0.18</v>
          </cell>
          <cell r="AM9">
            <v>0.18</v>
          </cell>
          <cell r="AN9">
            <v>0.5</v>
          </cell>
          <cell r="AO9">
            <v>7.0000000000000007E-2</v>
          </cell>
          <cell r="AP9">
            <v>0.1</v>
          </cell>
          <cell r="AS9">
            <v>7.0000000000000007E-2</v>
          </cell>
          <cell r="AU9">
            <v>0.1</v>
          </cell>
          <cell r="AY9">
            <v>0.14000000000000001</v>
          </cell>
          <cell r="AZ9">
            <v>0.14000000000000001</v>
          </cell>
          <cell r="BA9">
            <v>0.5</v>
          </cell>
          <cell r="BB9">
            <v>0.8</v>
          </cell>
          <cell r="BC9">
            <v>0.9</v>
          </cell>
          <cell r="BD9">
            <v>1.2</v>
          </cell>
          <cell r="BE9">
            <v>1.2</v>
          </cell>
          <cell r="BF9">
            <v>1.4</v>
          </cell>
          <cell r="BG9">
            <v>1.6</v>
          </cell>
          <cell r="BH9">
            <v>1.8</v>
          </cell>
          <cell r="BI9">
            <v>0.5</v>
          </cell>
          <cell r="BJ9">
            <v>1.05</v>
          </cell>
          <cell r="BK9">
            <v>1.2</v>
          </cell>
          <cell r="BL9">
            <v>1.2</v>
          </cell>
          <cell r="BM9">
            <v>1.5</v>
          </cell>
          <cell r="BN9">
            <v>1.5</v>
          </cell>
          <cell r="BO9">
            <v>1.6</v>
          </cell>
          <cell r="BP9">
            <v>1.7</v>
          </cell>
          <cell r="BQ9">
            <v>0.5</v>
          </cell>
          <cell r="BR9">
            <v>1.8</v>
          </cell>
          <cell r="BS9">
            <v>1.9</v>
          </cell>
          <cell r="BV9">
            <v>1.8</v>
          </cell>
          <cell r="BX9">
            <v>1.9</v>
          </cell>
          <cell r="CB9">
            <v>2.7</v>
          </cell>
          <cell r="CC9">
            <v>2.7</v>
          </cell>
          <cell r="CD9">
            <v>0.5</v>
          </cell>
          <cell r="CE9">
            <v>4.4000000000000004</v>
          </cell>
          <cell r="CF9">
            <v>4.7</v>
          </cell>
          <cell r="CI9">
            <v>4.4000000000000004</v>
          </cell>
          <cell r="CK9">
            <v>4.7</v>
          </cell>
          <cell r="CO9">
            <v>6.7</v>
          </cell>
          <cell r="CP9">
            <v>6.7</v>
          </cell>
          <cell r="CQ9">
            <v>0.5</v>
          </cell>
          <cell r="CR9">
            <v>2.4</v>
          </cell>
          <cell r="CS9">
            <v>2.5</v>
          </cell>
          <cell r="CV9">
            <v>2.4</v>
          </cell>
          <cell r="CX9">
            <v>2.5</v>
          </cell>
          <cell r="DB9">
            <v>3.6</v>
          </cell>
          <cell r="DC9">
            <v>3.6</v>
          </cell>
          <cell r="DD9">
            <v>0.5</v>
          </cell>
          <cell r="DE9">
            <v>5.9</v>
          </cell>
          <cell r="DF9">
            <v>6.2</v>
          </cell>
          <cell r="DI9">
            <v>5.9</v>
          </cell>
          <cell r="DK9">
            <v>6.2</v>
          </cell>
          <cell r="DO9">
            <v>8.9</v>
          </cell>
          <cell r="DP9">
            <v>8.9</v>
          </cell>
          <cell r="DQ9">
            <v>0.5</v>
          </cell>
          <cell r="DR9">
            <v>1.3</v>
          </cell>
          <cell r="DS9">
            <v>1.7</v>
          </cell>
          <cell r="DT9">
            <v>1.3</v>
          </cell>
          <cell r="DU9">
            <v>1.3</v>
          </cell>
          <cell r="DV9">
            <v>1.3</v>
          </cell>
          <cell r="DW9">
            <v>1.3</v>
          </cell>
          <cell r="DX9">
            <v>1.7</v>
          </cell>
          <cell r="DY9">
            <v>1.7</v>
          </cell>
          <cell r="DZ9">
            <v>1.7</v>
          </cell>
          <cell r="EA9">
            <v>2.2000000000000002</v>
          </cell>
          <cell r="EB9">
            <v>2.2000000000000002</v>
          </cell>
          <cell r="EC9">
            <v>2.2000000000000002</v>
          </cell>
          <cell r="ED9">
            <v>0.5</v>
          </cell>
          <cell r="EE9">
            <v>1.4</v>
          </cell>
          <cell r="EF9">
            <v>1.7</v>
          </cell>
          <cell r="EG9">
            <v>0.5</v>
          </cell>
          <cell r="EH9">
            <v>0.5</v>
          </cell>
          <cell r="EI9">
            <v>0.5</v>
          </cell>
          <cell r="EJ9">
            <v>0.5</v>
          </cell>
          <cell r="EK9">
            <v>0.5</v>
          </cell>
          <cell r="EL9">
            <v>0.5</v>
          </cell>
          <cell r="EM9">
            <v>0.5</v>
          </cell>
          <cell r="EN9">
            <v>0.5</v>
          </cell>
          <cell r="EO9">
            <v>0.5</v>
          </cell>
          <cell r="EP9">
            <v>0.5</v>
          </cell>
          <cell r="EQ9">
            <v>0.5</v>
          </cell>
          <cell r="ER9">
            <v>0.5</v>
          </cell>
          <cell r="ES9">
            <v>0.5</v>
          </cell>
          <cell r="ET9">
            <v>0.5</v>
          </cell>
          <cell r="EU9">
            <v>0.17</v>
          </cell>
          <cell r="EV9">
            <v>0.25</v>
          </cell>
          <cell r="EY9">
            <v>0.17</v>
          </cell>
          <cell r="FA9">
            <v>0.25</v>
          </cell>
          <cell r="FE9">
            <v>0.36</v>
          </cell>
          <cell r="FF9">
            <v>0.36</v>
          </cell>
        </row>
        <row r="10">
          <cell r="A10">
            <v>0.75</v>
          </cell>
          <cell r="B10">
            <v>0.03</v>
          </cell>
          <cell r="C10">
            <v>3.4000000000000002E-2</v>
          </cell>
          <cell r="D10">
            <v>0.03</v>
          </cell>
          <cell r="E10">
            <v>0.03</v>
          </cell>
          <cell r="F10">
            <v>0.03</v>
          </cell>
          <cell r="G10">
            <v>0.03</v>
          </cell>
          <cell r="H10">
            <v>3.4000000000000002E-2</v>
          </cell>
          <cell r="I10">
            <v>3.4000000000000002E-2</v>
          </cell>
          <cell r="J10">
            <v>3.9E-2</v>
          </cell>
          <cell r="K10">
            <v>3.9E-2</v>
          </cell>
          <cell r="L10">
            <v>3.9E-2</v>
          </cell>
          <cell r="M10">
            <v>3.9E-2</v>
          </cell>
          <cell r="N10">
            <v>0.75</v>
          </cell>
          <cell r="O10">
            <v>0.6</v>
          </cell>
          <cell r="P10">
            <v>0.7</v>
          </cell>
          <cell r="S10">
            <v>0.6</v>
          </cell>
          <cell r="U10">
            <v>0.7</v>
          </cell>
          <cell r="Y10">
            <v>0.9</v>
          </cell>
          <cell r="Z10">
            <v>0.9</v>
          </cell>
          <cell r="AA10">
            <v>0.75</v>
          </cell>
          <cell r="AB10">
            <v>0.09</v>
          </cell>
          <cell r="AC10">
            <v>0.13</v>
          </cell>
          <cell r="AF10">
            <v>0.09</v>
          </cell>
          <cell r="AH10">
            <v>0.13</v>
          </cell>
          <cell r="AL10">
            <v>0.18</v>
          </cell>
          <cell r="AM10">
            <v>0.18</v>
          </cell>
          <cell r="AN10">
            <v>0.75</v>
          </cell>
          <cell r="AO10">
            <v>7.0000000000000007E-2</v>
          </cell>
          <cell r="AP10">
            <v>0.1</v>
          </cell>
          <cell r="AS10">
            <v>7.0000000000000007E-2</v>
          </cell>
          <cell r="AU10">
            <v>0.1</v>
          </cell>
          <cell r="AY10">
            <v>0.14000000000000001</v>
          </cell>
          <cell r="AZ10">
            <v>0.14000000000000001</v>
          </cell>
          <cell r="BA10">
            <v>0.75</v>
          </cell>
          <cell r="BB10">
            <v>0.8</v>
          </cell>
          <cell r="BC10">
            <v>0.9</v>
          </cell>
          <cell r="BD10">
            <v>1.2</v>
          </cell>
          <cell r="BE10">
            <v>1.2</v>
          </cell>
          <cell r="BF10">
            <v>1.4</v>
          </cell>
          <cell r="BG10">
            <v>1.6</v>
          </cell>
          <cell r="BH10">
            <v>1.8</v>
          </cell>
          <cell r="BI10">
            <v>0.75</v>
          </cell>
          <cell r="BJ10">
            <v>1.05</v>
          </cell>
          <cell r="BK10">
            <v>1.2</v>
          </cell>
          <cell r="BL10">
            <v>1.2</v>
          </cell>
          <cell r="BM10">
            <v>1.5</v>
          </cell>
          <cell r="BN10">
            <v>1.5</v>
          </cell>
          <cell r="BO10">
            <v>1.6</v>
          </cell>
          <cell r="BP10">
            <v>1.7</v>
          </cell>
          <cell r="BQ10">
            <v>0.75</v>
          </cell>
          <cell r="BR10">
            <v>1.8</v>
          </cell>
          <cell r="BS10">
            <v>1.9</v>
          </cell>
          <cell r="BV10">
            <v>1.8</v>
          </cell>
          <cell r="BX10">
            <v>1.9</v>
          </cell>
          <cell r="CB10">
            <v>2.7</v>
          </cell>
          <cell r="CC10">
            <v>2.7</v>
          </cell>
          <cell r="CD10">
            <v>0.75</v>
          </cell>
          <cell r="CE10">
            <v>4.4000000000000004</v>
          </cell>
          <cell r="CF10">
            <v>4.7</v>
          </cell>
          <cell r="CI10">
            <v>4.4000000000000004</v>
          </cell>
          <cell r="CK10">
            <v>4.7</v>
          </cell>
          <cell r="CO10">
            <v>6.7</v>
          </cell>
          <cell r="CP10">
            <v>6.7</v>
          </cell>
          <cell r="CQ10">
            <v>0.75</v>
          </cell>
          <cell r="CR10">
            <v>2.4</v>
          </cell>
          <cell r="CS10">
            <v>2.5</v>
          </cell>
          <cell r="CV10">
            <v>2.4</v>
          </cell>
          <cell r="CX10">
            <v>2.5</v>
          </cell>
          <cell r="DB10">
            <v>3.6</v>
          </cell>
          <cell r="DC10">
            <v>3.6</v>
          </cell>
          <cell r="DD10">
            <v>0.75</v>
          </cell>
          <cell r="DE10">
            <v>5.9</v>
          </cell>
          <cell r="DF10">
            <v>6.2</v>
          </cell>
          <cell r="DI10">
            <v>5.9</v>
          </cell>
          <cell r="DK10">
            <v>6.2</v>
          </cell>
          <cell r="DO10">
            <v>8.9</v>
          </cell>
          <cell r="DP10">
            <v>8.9</v>
          </cell>
          <cell r="DQ10">
            <v>0.75</v>
          </cell>
          <cell r="DR10">
            <v>1.6</v>
          </cell>
          <cell r="DS10">
            <v>1.9</v>
          </cell>
          <cell r="DT10">
            <v>1.6</v>
          </cell>
          <cell r="DU10">
            <v>1.6</v>
          </cell>
          <cell r="DV10">
            <v>1.6</v>
          </cell>
          <cell r="DW10">
            <v>1.6</v>
          </cell>
          <cell r="DX10">
            <v>1.9</v>
          </cell>
          <cell r="DY10">
            <v>1.9</v>
          </cell>
          <cell r="DZ10">
            <v>1.9</v>
          </cell>
          <cell r="EA10">
            <v>2.6</v>
          </cell>
          <cell r="EB10">
            <v>2.6</v>
          </cell>
          <cell r="EC10">
            <v>2.6</v>
          </cell>
          <cell r="ED10">
            <v>0.75</v>
          </cell>
          <cell r="EE10">
            <v>1.6</v>
          </cell>
          <cell r="EF10">
            <v>1.9</v>
          </cell>
          <cell r="EG10">
            <v>0.75</v>
          </cell>
          <cell r="EH10">
            <v>0.5</v>
          </cell>
          <cell r="EI10">
            <v>0.5</v>
          </cell>
          <cell r="EJ10">
            <v>0.5</v>
          </cell>
          <cell r="EK10">
            <v>0.5</v>
          </cell>
          <cell r="EL10">
            <v>0.5</v>
          </cell>
          <cell r="EM10">
            <v>0.5</v>
          </cell>
          <cell r="EN10">
            <v>0.5</v>
          </cell>
          <cell r="EO10">
            <v>0.6</v>
          </cell>
          <cell r="EP10">
            <v>0.6</v>
          </cell>
          <cell r="EQ10">
            <v>0.6</v>
          </cell>
          <cell r="ER10">
            <v>0.6</v>
          </cell>
          <cell r="ES10">
            <v>0.6</v>
          </cell>
          <cell r="ET10">
            <v>0.75</v>
          </cell>
          <cell r="EU10">
            <v>0.17</v>
          </cell>
          <cell r="EV10">
            <v>0.25</v>
          </cell>
          <cell r="EY10">
            <v>0.17</v>
          </cell>
          <cell r="FA10">
            <v>0.25</v>
          </cell>
          <cell r="FE10">
            <v>0.36</v>
          </cell>
          <cell r="FF10">
            <v>0.36</v>
          </cell>
        </row>
        <row r="11">
          <cell r="A11">
            <v>1</v>
          </cell>
          <cell r="B11">
            <v>3.1E-2</v>
          </cell>
          <cell r="C11">
            <v>3.5999999999999997E-2</v>
          </cell>
          <cell r="D11">
            <v>3.1E-2</v>
          </cell>
          <cell r="E11">
            <v>3.1E-2</v>
          </cell>
          <cell r="F11">
            <v>3.1E-2</v>
          </cell>
          <cell r="G11">
            <v>3.1E-2</v>
          </cell>
          <cell r="H11">
            <v>3.5999999999999997E-2</v>
          </cell>
          <cell r="I11">
            <v>3.5999999999999997E-2</v>
          </cell>
          <cell r="J11">
            <v>4.1000000000000002E-2</v>
          </cell>
          <cell r="K11">
            <v>4.1000000000000002E-2</v>
          </cell>
          <cell r="L11">
            <v>4.1000000000000002E-2</v>
          </cell>
          <cell r="M11">
            <v>4.1000000000000002E-2</v>
          </cell>
          <cell r="N11">
            <v>1</v>
          </cell>
          <cell r="O11">
            <v>0.6</v>
          </cell>
          <cell r="P11">
            <v>0.7</v>
          </cell>
          <cell r="S11">
            <v>0.6</v>
          </cell>
          <cell r="U11">
            <v>0.7</v>
          </cell>
          <cell r="Y11">
            <v>0.9</v>
          </cell>
          <cell r="Z11">
            <v>0.9</v>
          </cell>
          <cell r="AA11">
            <v>1</v>
          </cell>
          <cell r="AB11">
            <v>0.09</v>
          </cell>
          <cell r="AC11">
            <v>0.13</v>
          </cell>
          <cell r="AF11">
            <v>0.09</v>
          </cell>
          <cell r="AH11">
            <v>0.13</v>
          </cell>
          <cell r="AL11">
            <v>0.18</v>
          </cell>
          <cell r="AM11">
            <v>0.18</v>
          </cell>
          <cell r="AN11">
            <v>1</v>
          </cell>
          <cell r="AO11">
            <v>7.0000000000000007E-2</v>
          </cell>
          <cell r="AP11">
            <v>0.1</v>
          </cell>
          <cell r="AS11">
            <v>7.0000000000000007E-2</v>
          </cell>
          <cell r="AU11">
            <v>0.1</v>
          </cell>
          <cell r="AY11">
            <v>0.14000000000000001</v>
          </cell>
          <cell r="AZ11">
            <v>0.14000000000000001</v>
          </cell>
          <cell r="BA11">
            <v>1</v>
          </cell>
          <cell r="BB11">
            <v>0.8</v>
          </cell>
          <cell r="BC11">
            <v>0.9</v>
          </cell>
          <cell r="BD11">
            <v>1.2</v>
          </cell>
          <cell r="BE11">
            <v>1.2</v>
          </cell>
          <cell r="BF11">
            <v>1.4</v>
          </cell>
          <cell r="BG11">
            <v>1.6</v>
          </cell>
          <cell r="BH11">
            <v>1.8</v>
          </cell>
          <cell r="BI11">
            <v>1</v>
          </cell>
          <cell r="BJ11">
            <v>1.05</v>
          </cell>
          <cell r="BK11">
            <v>1.2</v>
          </cell>
          <cell r="BL11">
            <v>1.2</v>
          </cell>
          <cell r="BM11">
            <v>1.5</v>
          </cell>
          <cell r="BN11">
            <v>1.5</v>
          </cell>
          <cell r="BO11">
            <v>1.6</v>
          </cell>
          <cell r="BP11">
            <v>1.7</v>
          </cell>
          <cell r="BQ11">
            <v>1</v>
          </cell>
          <cell r="BR11">
            <v>1.8</v>
          </cell>
          <cell r="BS11">
            <v>1.9</v>
          </cell>
          <cell r="BV11">
            <v>1.8</v>
          </cell>
          <cell r="BX11">
            <v>1.9</v>
          </cell>
          <cell r="CB11">
            <v>2.7</v>
          </cell>
          <cell r="CC11">
            <v>2.7</v>
          </cell>
          <cell r="CD11">
            <v>1</v>
          </cell>
          <cell r="CE11">
            <v>4.4000000000000004</v>
          </cell>
          <cell r="CF11">
            <v>4.7</v>
          </cell>
          <cell r="CI11">
            <v>4.4000000000000004</v>
          </cell>
          <cell r="CK11">
            <v>4.7</v>
          </cell>
          <cell r="CO11">
            <v>6.7</v>
          </cell>
          <cell r="CP11">
            <v>6.7</v>
          </cell>
          <cell r="CQ11">
            <v>1</v>
          </cell>
          <cell r="CR11">
            <v>2.4</v>
          </cell>
          <cell r="CS11">
            <v>2.5</v>
          </cell>
          <cell r="CV11">
            <v>2.4</v>
          </cell>
          <cell r="CX11">
            <v>2.5</v>
          </cell>
          <cell r="DB11">
            <v>3.6</v>
          </cell>
          <cell r="DC11">
            <v>3.6</v>
          </cell>
          <cell r="DD11">
            <v>1</v>
          </cell>
          <cell r="DE11">
            <v>5.9</v>
          </cell>
          <cell r="DF11">
            <v>6.2</v>
          </cell>
          <cell r="DI11">
            <v>5.9</v>
          </cell>
          <cell r="DK11">
            <v>6.2</v>
          </cell>
          <cell r="DO11">
            <v>8.9</v>
          </cell>
          <cell r="DP11">
            <v>8.9</v>
          </cell>
          <cell r="DQ11">
            <v>1</v>
          </cell>
          <cell r="DR11">
            <v>1.8</v>
          </cell>
          <cell r="DS11">
            <v>2.2000000000000002</v>
          </cell>
          <cell r="DT11">
            <v>1.8</v>
          </cell>
          <cell r="DU11">
            <v>1.8</v>
          </cell>
          <cell r="DV11">
            <v>1.8</v>
          </cell>
          <cell r="DW11">
            <v>1.8</v>
          </cell>
          <cell r="DX11">
            <v>2.2000000000000002</v>
          </cell>
          <cell r="DY11">
            <v>2.2000000000000002</v>
          </cell>
          <cell r="DZ11">
            <v>2.2000000000000002</v>
          </cell>
          <cell r="EA11">
            <v>2.9</v>
          </cell>
          <cell r="EB11">
            <v>2.9</v>
          </cell>
          <cell r="EC11">
            <v>2.9</v>
          </cell>
          <cell r="ED11">
            <v>1</v>
          </cell>
          <cell r="EE11">
            <v>1.8</v>
          </cell>
          <cell r="EF11">
            <v>2.2000000000000002</v>
          </cell>
          <cell r="EG11">
            <v>1</v>
          </cell>
          <cell r="EH11">
            <v>0.6</v>
          </cell>
          <cell r="EI11">
            <v>0.6</v>
          </cell>
          <cell r="EJ11">
            <v>0.6</v>
          </cell>
          <cell r="EK11">
            <v>0.6</v>
          </cell>
          <cell r="EL11">
            <v>0.6</v>
          </cell>
          <cell r="EM11">
            <v>0.6</v>
          </cell>
          <cell r="EN11">
            <v>0.6</v>
          </cell>
          <cell r="EO11">
            <v>0.7</v>
          </cell>
          <cell r="EP11">
            <v>0.7</v>
          </cell>
          <cell r="EQ11">
            <v>0.7</v>
          </cell>
          <cell r="ER11">
            <v>0.7</v>
          </cell>
          <cell r="ES11">
            <v>0.7</v>
          </cell>
          <cell r="ET11">
            <v>1</v>
          </cell>
          <cell r="EU11">
            <v>0.17</v>
          </cell>
          <cell r="EV11">
            <v>0.25</v>
          </cell>
          <cell r="EY11">
            <v>0.17</v>
          </cell>
          <cell r="FA11">
            <v>0.25</v>
          </cell>
          <cell r="FE11">
            <v>0.36</v>
          </cell>
          <cell r="FF11">
            <v>0.36</v>
          </cell>
        </row>
        <row r="12">
          <cell r="A12">
            <v>1.5</v>
          </cell>
          <cell r="B12">
            <v>3.5000000000000003E-2</v>
          </cell>
          <cell r="C12">
            <v>4.1000000000000002E-2</v>
          </cell>
          <cell r="D12">
            <v>3.5000000000000003E-2</v>
          </cell>
          <cell r="E12">
            <v>3.5000000000000003E-2</v>
          </cell>
          <cell r="F12">
            <v>3.5000000000000003E-2</v>
          </cell>
          <cell r="G12">
            <v>3.5000000000000003E-2</v>
          </cell>
          <cell r="H12">
            <v>4.1000000000000002E-2</v>
          </cell>
          <cell r="I12">
            <v>4.1000000000000002E-2</v>
          </cell>
          <cell r="J12">
            <v>4.9000000000000002E-2</v>
          </cell>
          <cell r="K12">
            <v>4.9000000000000002E-2</v>
          </cell>
          <cell r="L12">
            <v>4.9000000000000002E-2</v>
          </cell>
          <cell r="M12">
            <v>4.9000000000000002E-2</v>
          </cell>
          <cell r="N12">
            <v>1.5</v>
          </cell>
          <cell r="O12">
            <v>0.7</v>
          </cell>
          <cell r="P12">
            <v>0.8</v>
          </cell>
          <cell r="S12">
            <v>0.7</v>
          </cell>
          <cell r="U12">
            <v>0.8</v>
          </cell>
          <cell r="Y12">
            <v>1.1000000000000001</v>
          </cell>
          <cell r="Z12">
            <v>1.1000000000000001</v>
          </cell>
          <cell r="AA12">
            <v>1.5</v>
          </cell>
          <cell r="AB12">
            <v>0.09</v>
          </cell>
          <cell r="AC12">
            <v>0.13</v>
          </cell>
          <cell r="AF12">
            <v>0.09</v>
          </cell>
          <cell r="AH12">
            <v>0.13</v>
          </cell>
          <cell r="AL12">
            <v>0.18</v>
          </cell>
          <cell r="AM12">
            <v>0.18</v>
          </cell>
          <cell r="AN12">
            <v>1.5</v>
          </cell>
          <cell r="AO12">
            <v>7.0000000000000007E-2</v>
          </cell>
          <cell r="AP12">
            <v>0.1</v>
          </cell>
          <cell r="AS12">
            <v>7.0000000000000007E-2</v>
          </cell>
          <cell r="AU12">
            <v>0.1</v>
          </cell>
          <cell r="AY12">
            <v>0.14000000000000001</v>
          </cell>
          <cell r="AZ12">
            <v>0.14000000000000001</v>
          </cell>
          <cell r="BA12">
            <v>1.5</v>
          </cell>
          <cell r="BB12">
            <v>0.9</v>
          </cell>
          <cell r="BC12">
            <v>1.1000000000000001</v>
          </cell>
          <cell r="BD12">
            <v>1.2</v>
          </cell>
          <cell r="BE12">
            <v>1.2</v>
          </cell>
          <cell r="BF12">
            <v>1.6</v>
          </cell>
          <cell r="BG12">
            <v>1.8</v>
          </cell>
          <cell r="BH12">
            <v>2</v>
          </cell>
          <cell r="BI12">
            <v>1.5</v>
          </cell>
          <cell r="BJ12">
            <v>1.05</v>
          </cell>
          <cell r="BK12">
            <v>1.2</v>
          </cell>
          <cell r="BL12">
            <v>1.2</v>
          </cell>
          <cell r="BM12">
            <v>1.5</v>
          </cell>
          <cell r="BN12">
            <v>1.5</v>
          </cell>
          <cell r="BO12">
            <v>1.6</v>
          </cell>
          <cell r="BP12">
            <v>1.7</v>
          </cell>
          <cell r="BQ12">
            <v>1.5</v>
          </cell>
          <cell r="BR12">
            <v>2.1</v>
          </cell>
          <cell r="BS12">
            <v>2.2999999999999998</v>
          </cell>
          <cell r="BV12">
            <v>2.1</v>
          </cell>
          <cell r="BX12">
            <v>2.2999999999999998</v>
          </cell>
          <cell r="CB12">
            <v>3.5</v>
          </cell>
          <cell r="CC12">
            <v>3.5</v>
          </cell>
          <cell r="CD12">
            <v>1.5</v>
          </cell>
          <cell r="CE12">
            <v>4.4000000000000004</v>
          </cell>
          <cell r="CF12">
            <v>4.7</v>
          </cell>
          <cell r="CI12">
            <v>4.4000000000000004</v>
          </cell>
          <cell r="CK12">
            <v>4.7</v>
          </cell>
          <cell r="CO12">
            <v>6.7</v>
          </cell>
          <cell r="CP12">
            <v>6.7</v>
          </cell>
          <cell r="CQ12">
            <v>1.5</v>
          </cell>
          <cell r="CR12">
            <v>2.8</v>
          </cell>
          <cell r="CS12">
            <v>3.1</v>
          </cell>
          <cell r="CV12">
            <v>2.8</v>
          </cell>
          <cell r="CX12">
            <v>3.1</v>
          </cell>
          <cell r="DB12">
            <v>4.7</v>
          </cell>
          <cell r="DC12">
            <v>4.7</v>
          </cell>
          <cell r="DD12">
            <v>1.5</v>
          </cell>
          <cell r="DE12">
            <v>5.9</v>
          </cell>
          <cell r="DF12">
            <v>6.2</v>
          </cell>
          <cell r="DI12">
            <v>5.9</v>
          </cell>
          <cell r="DK12">
            <v>6.2</v>
          </cell>
          <cell r="DO12">
            <v>8.9</v>
          </cell>
          <cell r="DP12">
            <v>8.9</v>
          </cell>
          <cell r="DQ12">
            <v>1.5</v>
          </cell>
          <cell r="DR12">
            <v>2.5</v>
          </cell>
          <cell r="DS12">
            <v>3.2</v>
          </cell>
          <cell r="DT12">
            <v>2.5</v>
          </cell>
          <cell r="DU12">
            <v>2.5</v>
          </cell>
          <cell r="DV12">
            <v>2.5</v>
          </cell>
          <cell r="DW12">
            <v>2.5</v>
          </cell>
          <cell r="DX12">
            <v>3.2</v>
          </cell>
          <cell r="DY12">
            <v>3.2</v>
          </cell>
          <cell r="DZ12">
            <v>3.2</v>
          </cell>
          <cell r="EA12">
            <v>4.3</v>
          </cell>
          <cell r="EB12">
            <v>4.3</v>
          </cell>
          <cell r="EC12">
            <v>4.3</v>
          </cell>
          <cell r="ED12">
            <v>1.5</v>
          </cell>
          <cell r="EE12">
            <v>2.2999999999999998</v>
          </cell>
          <cell r="EF12">
            <v>2.8</v>
          </cell>
          <cell r="EG12">
            <v>1.5</v>
          </cell>
          <cell r="EH12">
            <v>0.8</v>
          </cell>
          <cell r="EI12">
            <v>0.8</v>
          </cell>
          <cell r="EJ12">
            <v>0.8</v>
          </cell>
          <cell r="EK12">
            <v>0.8</v>
          </cell>
          <cell r="EL12">
            <v>0.8</v>
          </cell>
          <cell r="EM12">
            <v>0.8</v>
          </cell>
          <cell r="EN12">
            <v>0.8</v>
          </cell>
          <cell r="EO12">
            <v>1</v>
          </cell>
          <cell r="EP12">
            <v>1</v>
          </cell>
          <cell r="EQ12">
            <v>1</v>
          </cell>
          <cell r="ER12">
            <v>1</v>
          </cell>
          <cell r="ES12">
            <v>1</v>
          </cell>
          <cell r="ET12">
            <v>1.5</v>
          </cell>
          <cell r="EU12">
            <v>0.17</v>
          </cell>
          <cell r="EV12">
            <v>0.25</v>
          </cell>
          <cell r="EY12">
            <v>0.17</v>
          </cell>
          <cell r="FA12">
            <v>0.25</v>
          </cell>
          <cell r="FE12">
            <v>0.36</v>
          </cell>
          <cell r="FF12">
            <v>0.36</v>
          </cell>
        </row>
        <row r="13">
          <cell r="A13">
            <v>2</v>
          </cell>
          <cell r="B13">
            <v>3.5999999999999997E-2</v>
          </cell>
          <cell r="C13">
            <v>4.3999999999999997E-2</v>
          </cell>
          <cell r="D13">
            <v>3.5999999999999997E-2</v>
          </cell>
          <cell r="E13">
            <v>3.5999999999999997E-2</v>
          </cell>
          <cell r="F13">
            <v>3.5999999999999997E-2</v>
          </cell>
          <cell r="G13">
            <v>3.5999999999999997E-2</v>
          </cell>
          <cell r="H13">
            <v>4.3999999999999997E-2</v>
          </cell>
          <cell r="I13">
            <v>4.3999999999999997E-2</v>
          </cell>
          <cell r="J13">
            <v>5.2999999999999999E-2</v>
          </cell>
          <cell r="K13">
            <v>5.2999999999999999E-2</v>
          </cell>
          <cell r="L13">
            <v>5.2999999999999999E-2</v>
          </cell>
          <cell r="M13">
            <v>5.2999999999999999E-2</v>
          </cell>
          <cell r="N13">
            <v>2</v>
          </cell>
          <cell r="O13">
            <v>0.8</v>
          </cell>
          <cell r="P13">
            <v>0.9</v>
          </cell>
          <cell r="S13">
            <v>0.8</v>
          </cell>
          <cell r="U13">
            <v>0.9</v>
          </cell>
          <cell r="Y13">
            <v>1.4</v>
          </cell>
          <cell r="Z13">
            <v>1.4</v>
          </cell>
          <cell r="AA13">
            <v>2</v>
          </cell>
          <cell r="AB13">
            <v>0.09</v>
          </cell>
          <cell r="AC13">
            <v>0.13</v>
          </cell>
          <cell r="AF13">
            <v>0.09</v>
          </cell>
          <cell r="AH13">
            <v>0.13</v>
          </cell>
          <cell r="AL13">
            <v>0.18</v>
          </cell>
          <cell r="AM13">
            <v>0.18</v>
          </cell>
          <cell r="AN13">
            <v>2</v>
          </cell>
          <cell r="AO13">
            <v>7.0000000000000007E-2</v>
          </cell>
          <cell r="AP13">
            <v>0.1</v>
          </cell>
          <cell r="AS13">
            <v>7.0000000000000007E-2</v>
          </cell>
          <cell r="AU13">
            <v>0.1</v>
          </cell>
          <cell r="AY13">
            <v>0.14000000000000001</v>
          </cell>
          <cell r="AZ13">
            <v>0.14000000000000001</v>
          </cell>
          <cell r="BA13">
            <v>2</v>
          </cell>
          <cell r="BB13">
            <v>1.1000000000000001</v>
          </cell>
          <cell r="BC13">
            <v>1.2</v>
          </cell>
          <cell r="BD13">
            <v>1.6</v>
          </cell>
          <cell r="BE13">
            <v>1.6</v>
          </cell>
          <cell r="BF13">
            <v>2.1</v>
          </cell>
          <cell r="BG13">
            <v>2.4</v>
          </cell>
          <cell r="BH13">
            <v>2.6</v>
          </cell>
          <cell r="BI13">
            <v>2</v>
          </cell>
          <cell r="BJ13">
            <v>1.05</v>
          </cell>
          <cell r="BK13">
            <v>1.2</v>
          </cell>
          <cell r="BL13">
            <v>1.2</v>
          </cell>
          <cell r="BM13">
            <v>1.5</v>
          </cell>
          <cell r="BN13">
            <v>1.5</v>
          </cell>
          <cell r="BO13">
            <v>1.6</v>
          </cell>
          <cell r="BP13">
            <v>1.7</v>
          </cell>
          <cell r="BQ13">
            <v>2</v>
          </cell>
          <cell r="BR13">
            <v>2.2000000000000002</v>
          </cell>
          <cell r="BS13">
            <v>2.7</v>
          </cell>
          <cell r="BV13">
            <v>2.2000000000000002</v>
          </cell>
          <cell r="BX13">
            <v>2.7</v>
          </cell>
          <cell r="CB13">
            <v>4.5999999999999996</v>
          </cell>
          <cell r="CC13">
            <v>4.5999999999999996</v>
          </cell>
          <cell r="CD13">
            <v>2</v>
          </cell>
          <cell r="CE13">
            <v>4.5999999999999996</v>
          </cell>
          <cell r="CF13">
            <v>5.0999999999999996</v>
          </cell>
          <cell r="CI13">
            <v>4.5999999999999996</v>
          </cell>
          <cell r="CK13">
            <v>5.0999999999999996</v>
          </cell>
          <cell r="CO13">
            <v>8.6</v>
          </cell>
          <cell r="CP13">
            <v>8.6</v>
          </cell>
          <cell r="CQ13">
            <v>2</v>
          </cell>
          <cell r="CR13">
            <v>2.9</v>
          </cell>
          <cell r="CS13">
            <v>3.6</v>
          </cell>
          <cell r="CV13">
            <v>2.9</v>
          </cell>
          <cell r="CX13">
            <v>3.6</v>
          </cell>
          <cell r="DB13">
            <v>6.2</v>
          </cell>
          <cell r="DC13">
            <v>6.2</v>
          </cell>
          <cell r="DD13">
            <v>2</v>
          </cell>
          <cell r="DE13">
            <v>6</v>
          </cell>
          <cell r="DF13">
            <v>6.7</v>
          </cell>
          <cell r="DI13">
            <v>6</v>
          </cell>
          <cell r="DK13">
            <v>6.7</v>
          </cell>
          <cell r="DO13">
            <v>11.6</v>
          </cell>
          <cell r="DP13">
            <v>11.6</v>
          </cell>
          <cell r="DQ13">
            <v>2</v>
          </cell>
          <cell r="DR13">
            <v>3.4</v>
          </cell>
          <cell r="DS13">
            <v>4.2</v>
          </cell>
          <cell r="DT13">
            <v>3.4</v>
          </cell>
          <cell r="DU13">
            <v>3.4</v>
          </cell>
          <cell r="DV13">
            <v>3.4</v>
          </cell>
          <cell r="DW13">
            <v>3.4</v>
          </cell>
          <cell r="DX13">
            <v>4.2</v>
          </cell>
          <cell r="DY13">
            <v>4.2</v>
          </cell>
          <cell r="DZ13">
            <v>4.2</v>
          </cell>
          <cell r="EA13">
            <v>5.6</v>
          </cell>
          <cell r="EB13">
            <v>5.6</v>
          </cell>
          <cell r="EC13">
            <v>5.6</v>
          </cell>
          <cell r="ED13">
            <v>2</v>
          </cell>
          <cell r="EE13">
            <v>2.9</v>
          </cell>
          <cell r="EF13">
            <v>3.6</v>
          </cell>
          <cell r="EG13">
            <v>2</v>
          </cell>
          <cell r="EH13">
            <v>0.9</v>
          </cell>
          <cell r="EI13">
            <v>0.9</v>
          </cell>
          <cell r="EJ13">
            <v>0.9</v>
          </cell>
          <cell r="EK13">
            <v>0.9</v>
          </cell>
          <cell r="EL13">
            <v>0.9</v>
          </cell>
          <cell r="EM13">
            <v>0.9</v>
          </cell>
          <cell r="EN13">
            <v>0.9</v>
          </cell>
          <cell r="EO13">
            <v>1.3</v>
          </cell>
          <cell r="EP13">
            <v>1.3</v>
          </cell>
          <cell r="EQ13">
            <v>1.3</v>
          </cell>
          <cell r="ER13">
            <v>1.3</v>
          </cell>
          <cell r="ES13">
            <v>1.3</v>
          </cell>
          <cell r="ET13">
            <v>2</v>
          </cell>
          <cell r="EU13">
            <v>0.17</v>
          </cell>
          <cell r="EV13">
            <v>0.25</v>
          </cell>
          <cell r="EY13">
            <v>0.17</v>
          </cell>
          <cell r="FA13">
            <v>0.25</v>
          </cell>
          <cell r="FE13">
            <v>0.36</v>
          </cell>
          <cell r="FF13">
            <v>0.36</v>
          </cell>
        </row>
        <row r="14">
          <cell r="A14">
            <v>2.5</v>
          </cell>
          <cell r="B14">
            <v>3.9E-2</v>
          </cell>
          <cell r="C14">
            <v>4.8000000000000001E-2</v>
          </cell>
          <cell r="D14">
            <v>3.9E-2</v>
          </cell>
          <cell r="E14">
            <v>3.9E-2</v>
          </cell>
          <cell r="F14">
            <v>3.9E-2</v>
          </cell>
          <cell r="G14">
            <v>3.9E-2</v>
          </cell>
          <cell r="H14">
            <v>4.8000000000000001E-2</v>
          </cell>
          <cell r="I14">
            <v>4.8000000000000001E-2</v>
          </cell>
          <cell r="J14">
            <v>5.8999999999999997E-2</v>
          </cell>
          <cell r="K14">
            <v>5.8999999999999997E-2</v>
          </cell>
          <cell r="L14">
            <v>5.8999999999999997E-2</v>
          </cell>
          <cell r="M14">
            <v>5.8999999999999997E-2</v>
          </cell>
          <cell r="N14">
            <v>2.5</v>
          </cell>
          <cell r="O14">
            <v>1</v>
          </cell>
          <cell r="P14">
            <v>1.1000000000000001</v>
          </cell>
          <cell r="S14">
            <v>1</v>
          </cell>
          <cell r="U14">
            <v>1.1000000000000001</v>
          </cell>
          <cell r="Y14">
            <v>1.6</v>
          </cell>
          <cell r="Z14">
            <v>1.6</v>
          </cell>
          <cell r="AA14">
            <v>2.5</v>
          </cell>
          <cell r="AB14">
            <v>0.1</v>
          </cell>
          <cell r="AC14">
            <v>0.15</v>
          </cell>
          <cell r="AF14">
            <v>0.1</v>
          </cell>
          <cell r="AH14">
            <v>0.15</v>
          </cell>
          <cell r="AL14">
            <v>0.2</v>
          </cell>
          <cell r="AM14">
            <v>0.2</v>
          </cell>
          <cell r="AN14">
            <v>2.5</v>
          </cell>
          <cell r="AO14">
            <v>0.08</v>
          </cell>
          <cell r="AP14">
            <v>0.12</v>
          </cell>
          <cell r="AS14">
            <v>0.08</v>
          </cell>
          <cell r="AU14">
            <v>0.12</v>
          </cell>
          <cell r="AY14">
            <v>0.16</v>
          </cell>
          <cell r="AZ14">
            <v>0.16</v>
          </cell>
          <cell r="BA14">
            <v>2.5</v>
          </cell>
          <cell r="BB14">
            <v>1.3</v>
          </cell>
          <cell r="BC14">
            <v>1.5</v>
          </cell>
          <cell r="BD14">
            <v>2</v>
          </cell>
          <cell r="BE14">
            <v>2</v>
          </cell>
          <cell r="BF14">
            <v>2.6</v>
          </cell>
          <cell r="BG14">
            <v>2.9</v>
          </cell>
          <cell r="BH14">
            <v>3.2</v>
          </cell>
          <cell r="BI14">
            <v>2.5</v>
          </cell>
          <cell r="BJ14">
            <v>1.4</v>
          </cell>
          <cell r="BK14">
            <v>1.6</v>
          </cell>
          <cell r="BL14">
            <v>1.6</v>
          </cell>
          <cell r="BM14">
            <v>1.8</v>
          </cell>
          <cell r="BN14">
            <v>1.8</v>
          </cell>
          <cell r="BO14">
            <v>1.9</v>
          </cell>
          <cell r="BP14">
            <v>2.2000000000000002</v>
          </cell>
          <cell r="BQ14">
            <v>2.5</v>
          </cell>
          <cell r="BR14">
            <v>2.4</v>
          </cell>
          <cell r="BS14">
            <v>3.3</v>
          </cell>
          <cell r="BV14">
            <v>2.4</v>
          </cell>
          <cell r="BX14">
            <v>3.3</v>
          </cell>
          <cell r="CB14">
            <v>5.0999999999999996</v>
          </cell>
          <cell r="CC14">
            <v>5.0999999999999996</v>
          </cell>
          <cell r="CD14">
            <v>2.5</v>
          </cell>
          <cell r="CE14">
            <v>5</v>
          </cell>
          <cell r="CF14">
            <v>6.1</v>
          </cell>
          <cell r="CI14">
            <v>5</v>
          </cell>
          <cell r="CK14">
            <v>6.1</v>
          </cell>
          <cell r="CO14">
            <v>9.4</v>
          </cell>
          <cell r="CP14">
            <v>9.4</v>
          </cell>
          <cell r="CQ14">
            <v>2.5</v>
          </cell>
          <cell r="CR14">
            <v>3.3</v>
          </cell>
          <cell r="CS14">
            <v>4.4000000000000004</v>
          </cell>
          <cell r="CV14">
            <v>3.3</v>
          </cell>
          <cell r="CX14">
            <v>4.4000000000000004</v>
          </cell>
          <cell r="DB14">
            <v>6.9</v>
          </cell>
          <cell r="DC14">
            <v>6.9</v>
          </cell>
          <cell r="DD14">
            <v>2.5</v>
          </cell>
          <cell r="DE14">
            <v>6.8</v>
          </cell>
          <cell r="DF14">
            <v>8.1</v>
          </cell>
          <cell r="DI14">
            <v>6.8</v>
          </cell>
          <cell r="DK14">
            <v>8.1</v>
          </cell>
          <cell r="DO14">
            <v>12.7</v>
          </cell>
          <cell r="DP14">
            <v>12.7</v>
          </cell>
          <cell r="DQ14">
            <v>2.5</v>
          </cell>
          <cell r="DR14">
            <v>4</v>
          </cell>
          <cell r="DS14">
            <v>5.0999999999999996</v>
          </cell>
          <cell r="DT14">
            <v>4</v>
          </cell>
          <cell r="DU14">
            <v>4</v>
          </cell>
          <cell r="DV14">
            <v>4</v>
          </cell>
          <cell r="DW14">
            <v>4</v>
          </cell>
          <cell r="DX14">
            <v>5.0999999999999996</v>
          </cell>
          <cell r="DY14">
            <v>5.0999999999999996</v>
          </cell>
          <cell r="DZ14">
            <v>5.0999999999999996</v>
          </cell>
          <cell r="EA14">
            <v>6.7</v>
          </cell>
          <cell r="EB14">
            <v>6.7</v>
          </cell>
          <cell r="EC14">
            <v>6.7</v>
          </cell>
          <cell r="ED14">
            <v>2.5</v>
          </cell>
          <cell r="EE14">
            <v>3.4</v>
          </cell>
          <cell r="EF14">
            <v>4.2</v>
          </cell>
          <cell r="EG14">
            <v>2.5</v>
          </cell>
          <cell r="EH14">
            <v>1.1000000000000001</v>
          </cell>
          <cell r="EI14">
            <v>1.1000000000000001</v>
          </cell>
          <cell r="EJ14">
            <v>1.1000000000000001</v>
          </cell>
          <cell r="EK14">
            <v>1.1000000000000001</v>
          </cell>
          <cell r="EL14">
            <v>1.1000000000000001</v>
          </cell>
          <cell r="EM14">
            <v>1.1000000000000001</v>
          </cell>
          <cell r="EN14">
            <v>1.1000000000000001</v>
          </cell>
          <cell r="EO14">
            <v>1.4</v>
          </cell>
          <cell r="EP14">
            <v>1.4</v>
          </cell>
          <cell r="EQ14">
            <v>1.4</v>
          </cell>
          <cell r="ER14">
            <v>1.4</v>
          </cell>
          <cell r="ES14">
            <v>1.4</v>
          </cell>
          <cell r="ET14">
            <v>2.5</v>
          </cell>
          <cell r="EU14">
            <v>0.23</v>
          </cell>
          <cell r="EV14">
            <v>0.34</v>
          </cell>
          <cell r="EY14">
            <v>0.23</v>
          </cell>
          <cell r="FA14">
            <v>0.34</v>
          </cell>
          <cell r="FE14">
            <v>0.4</v>
          </cell>
          <cell r="FF14">
            <v>0.4</v>
          </cell>
        </row>
        <row r="15">
          <cell r="A15">
            <v>3</v>
          </cell>
          <cell r="B15">
            <v>4.1000000000000002E-2</v>
          </cell>
          <cell r="C15">
            <v>5.2999999999999999E-2</v>
          </cell>
          <cell r="D15">
            <v>4.1000000000000002E-2</v>
          </cell>
          <cell r="E15">
            <v>4.1000000000000002E-2</v>
          </cell>
          <cell r="F15">
            <v>4.1000000000000002E-2</v>
          </cell>
          <cell r="G15">
            <v>4.1000000000000002E-2</v>
          </cell>
          <cell r="H15">
            <v>5.2999999999999999E-2</v>
          </cell>
          <cell r="I15">
            <v>5.2999999999999999E-2</v>
          </cell>
          <cell r="J15">
            <v>6.5000000000000002E-2</v>
          </cell>
          <cell r="K15">
            <v>6.5000000000000002E-2</v>
          </cell>
          <cell r="L15">
            <v>6.5000000000000002E-2</v>
          </cell>
          <cell r="M15">
            <v>6.5000000000000002E-2</v>
          </cell>
          <cell r="N15">
            <v>3</v>
          </cell>
          <cell r="O15">
            <v>1.1000000000000001</v>
          </cell>
          <cell r="P15">
            <v>1.2</v>
          </cell>
          <cell r="S15">
            <v>1.1000000000000001</v>
          </cell>
          <cell r="U15">
            <v>1.2</v>
          </cell>
          <cell r="Y15">
            <v>1.8</v>
          </cell>
          <cell r="Z15">
            <v>1.8</v>
          </cell>
          <cell r="AA15">
            <v>3</v>
          </cell>
          <cell r="AB15">
            <v>0.13</v>
          </cell>
          <cell r="AC15">
            <v>0.18</v>
          </cell>
          <cell r="AF15">
            <v>0.13</v>
          </cell>
          <cell r="AH15">
            <v>0.18</v>
          </cell>
          <cell r="AL15">
            <v>0.24</v>
          </cell>
          <cell r="AM15">
            <v>0.24</v>
          </cell>
          <cell r="AN15">
            <v>3</v>
          </cell>
          <cell r="AO15">
            <v>0.1</v>
          </cell>
          <cell r="AP15">
            <v>0.14000000000000001</v>
          </cell>
          <cell r="AS15">
            <v>0.1</v>
          </cell>
          <cell r="AU15">
            <v>0.14000000000000001</v>
          </cell>
          <cell r="AY15">
            <v>0.19</v>
          </cell>
          <cell r="AZ15">
            <v>0.19</v>
          </cell>
          <cell r="BA15">
            <v>3</v>
          </cell>
          <cell r="BB15">
            <v>1.6</v>
          </cell>
          <cell r="BC15">
            <v>1.8</v>
          </cell>
          <cell r="BD15">
            <v>2.5</v>
          </cell>
          <cell r="BE15">
            <v>2.5</v>
          </cell>
          <cell r="BF15">
            <v>3.1</v>
          </cell>
          <cell r="BG15">
            <v>3.5</v>
          </cell>
          <cell r="BH15">
            <v>3.9</v>
          </cell>
          <cell r="BI15">
            <v>3</v>
          </cell>
          <cell r="BJ15">
            <v>1.7</v>
          </cell>
          <cell r="BK15">
            <v>1.9</v>
          </cell>
          <cell r="BL15">
            <v>1.9</v>
          </cell>
          <cell r="BM15">
            <v>2.2000000000000002</v>
          </cell>
          <cell r="BN15">
            <v>2.2000000000000002</v>
          </cell>
          <cell r="BO15">
            <v>2.2999999999999998</v>
          </cell>
          <cell r="BP15">
            <v>2.4</v>
          </cell>
          <cell r="BQ15">
            <v>3</v>
          </cell>
          <cell r="BR15">
            <v>2.8</v>
          </cell>
          <cell r="BS15">
            <v>3.8</v>
          </cell>
          <cell r="BV15">
            <v>2.8</v>
          </cell>
          <cell r="BX15">
            <v>3.8</v>
          </cell>
          <cell r="CB15">
            <v>5.7</v>
          </cell>
          <cell r="CC15">
            <v>5.7</v>
          </cell>
          <cell r="CD15">
            <v>3</v>
          </cell>
          <cell r="CE15">
            <v>5.8</v>
          </cell>
          <cell r="CF15">
            <v>6.9</v>
          </cell>
          <cell r="CI15">
            <v>5.8</v>
          </cell>
          <cell r="CK15">
            <v>6.9</v>
          </cell>
          <cell r="CO15">
            <v>10.4</v>
          </cell>
          <cell r="CP15">
            <v>10.4</v>
          </cell>
          <cell r="CQ15">
            <v>3</v>
          </cell>
          <cell r="CR15">
            <v>3.8</v>
          </cell>
          <cell r="CS15">
            <v>5.0999999999999996</v>
          </cell>
          <cell r="CV15">
            <v>3.8</v>
          </cell>
          <cell r="CX15">
            <v>5.0999999999999996</v>
          </cell>
          <cell r="DB15">
            <v>7.7</v>
          </cell>
          <cell r="DC15">
            <v>7.7</v>
          </cell>
          <cell r="DD15">
            <v>3</v>
          </cell>
          <cell r="DE15">
            <v>7.6</v>
          </cell>
          <cell r="DF15">
            <v>9.1</v>
          </cell>
          <cell r="DI15">
            <v>7.6</v>
          </cell>
          <cell r="DK15">
            <v>9.1</v>
          </cell>
          <cell r="DO15">
            <v>14</v>
          </cell>
          <cell r="DP15">
            <v>14</v>
          </cell>
          <cell r="DQ15">
            <v>3</v>
          </cell>
          <cell r="DR15">
            <v>4.5999999999999996</v>
          </cell>
          <cell r="DS15">
            <v>5.9</v>
          </cell>
          <cell r="DT15">
            <v>4.5999999999999996</v>
          </cell>
          <cell r="DU15">
            <v>4.5999999999999996</v>
          </cell>
          <cell r="DV15">
            <v>4.5999999999999996</v>
          </cell>
          <cell r="DW15">
            <v>4.5999999999999996</v>
          </cell>
          <cell r="DX15">
            <v>5.9</v>
          </cell>
          <cell r="DY15">
            <v>5.9</v>
          </cell>
          <cell r="DZ15">
            <v>5.9</v>
          </cell>
          <cell r="EA15">
            <v>9.1999999999999993</v>
          </cell>
          <cell r="EB15">
            <v>9.1999999999999993</v>
          </cell>
          <cell r="EC15">
            <v>9.1999999999999993</v>
          </cell>
          <cell r="ED15">
            <v>3</v>
          </cell>
          <cell r="EE15">
            <v>4</v>
          </cell>
          <cell r="EF15">
            <v>4.9000000000000004</v>
          </cell>
          <cell r="EG15">
            <v>3</v>
          </cell>
          <cell r="EH15">
            <v>1.2</v>
          </cell>
          <cell r="EI15">
            <v>1.2</v>
          </cell>
          <cell r="EJ15">
            <v>1.2</v>
          </cell>
          <cell r="EK15">
            <v>1.2</v>
          </cell>
          <cell r="EL15">
            <v>1.2</v>
          </cell>
          <cell r="EM15">
            <v>1.2</v>
          </cell>
          <cell r="EN15">
            <v>1.2</v>
          </cell>
          <cell r="EO15">
            <v>1.7</v>
          </cell>
          <cell r="EP15">
            <v>1.7</v>
          </cell>
          <cell r="EQ15">
            <v>1.7</v>
          </cell>
          <cell r="ER15">
            <v>1.7</v>
          </cell>
          <cell r="ES15">
            <v>1.7</v>
          </cell>
          <cell r="ET15">
            <v>3</v>
          </cell>
          <cell r="EU15">
            <v>0.25</v>
          </cell>
          <cell r="EV15">
            <v>0.36</v>
          </cell>
          <cell r="EY15">
            <v>0.25</v>
          </cell>
          <cell r="FA15">
            <v>0.36</v>
          </cell>
          <cell r="FE15">
            <v>0.49</v>
          </cell>
          <cell r="FF15">
            <v>0.49</v>
          </cell>
        </row>
        <row r="16">
          <cell r="A16">
            <v>3.5</v>
          </cell>
          <cell r="B16">
            <v>4.3999999999999997E-2</v>
          </cell>
          <cell r="C16">
            <v>5.5E-2</v>
          </cell>
          <cell r="D16">
            <v>4.3999999999999997E-2</v>
          </cell>
          <cell r="E16">
            <v>4.3999999999999997E-2</v>
          </cell>
          <cell r="F16">
            <v>4.3999999999999997E-2</v>
          </cell>
          <cell r="G16">
            <v>4.3999999999999997E-2</v>
          </cell>
          <cell r="H16">
            <v>5.5E-2</v>
          </cell>
          <cell r="I16">
            <v>5.5E-2</v>
          </cell>
          <cell r="J16">
            <v>6.8000000000000005E-2</v>
          </cell>
          <cell r="K16">
            <v>6.8000000000000005E-2</v>
          </cell>
          <cell r="L16">
            <v>6.8000000000000005E-2</v>
          </cell>
          <cell r="M16">
            <v>6.8000000000000005E-2</v>
          </cell>
          <cell r="N16">
            <v>3.5</v>
          </cell>
          <cell r="O16">
            <v>1.2</v>
          </cell>
          <cell r="P16">
            <v>1.4</v>
          </cell>
          <cell r="S16">
            <v>1.2</v>
          </cell>
          <cell r="U16">
            <v>1.4</v>
          </cell>
          <cell r="Y16">
            <v>2.3100000000000005</v>
          </cell>
          <cell r="Z16">
            <v>2.3100000000000005</v>
          </cell>
          <cell r="AA16">
            <v>3.5</v>
          </cell>
          <cell r="AB16">
            <v>0.155</v>
          </cell>
          <cell r="AC16">
            <v>0.21</v>
          </cell>
          <cell r="AF16">
            <v>0.155</v>
          </cell>
          <cell r="AH16">
            <v>0.21</v>
          </cell>
          <cell r="AL16">
            <v>0.3</v>
          </cell>
          <cell r="AM16">
            <v>0.3</v>
          </cell>
          <cell r="AN16">
            <v>3.5</v>
          </cell>
          <cell r="AO16">
            <v>0.12</v>
          </cell>
          <cell r="AP16">
            <v>0.16500000000000001</v>
          </cell>
          <cell r="AS16">
            <v>0.12</v>
          </cell>
          <cell r="AU16">
            <v>0.16500000000000001</v>
          </cell>
          <cell r="AY16">
            <v>0.23499999999999999</v>
          </cell>
          <cell r="AZ16">
            <v>0.23499999999999999</v>
          </cell>
          <cell r="BA16">
            <v>3.5</v>
          </cell>
          <cell r="BB16">
            <v>1.9</v>
          </cell>
          <cell r="BC16">
            <v>2.1</v>
          </cell>
          <cell r="BD16">
            <v>2.9</v>
          </cell>
          <cell r="BE16">
            <v>2.9</v>
          </cell>
          <cell r="BF16">
            <v>3.7</v>
          </cell>
          <cell r="BG16">
            <v>4.0999999999999996</v>
          </cell>
          <cell r="BH16">
            <v>4.5999999999999996</v>
          </cell>
          <cell r="BI16">
            <v>3.5</v>
          </cell>
          <cell r="BJ16">
            <v>1.9</v>
          </cell>
          <cell r="BK16">
            <v>2.1</v>
          </cell>
          <cell r="BL16">
            <v>2.1</v>
          </cell>
          <cell r="BM16">
            <v>2.4</v>
          </cell>
          <cell r="BN16">
            <v>2.4</v>
          </cell>
          <cell r="BO16">
            <v>2.6</v>
          </cell>
          <cell r="BP16">
            <v>2.7</v>
          </cell>
          <cell r="BQ16">
            <v>3.5</v>
          </cell>
          <cell r="BR16">
            <v>3.2</v>
          </cell>
          <cell r="BS16">
            <v>4.3</v>
          </cell>
          <cell r="BV16">
            <v>3.2</v>
          </cell>
          <cell r="BX16">
            <v>4.3</v>
          </cell>
          <cell r="CB16">
            <v>6.6</v>
          </cell>
          <cell r="CC16">
            <v>6.6</v>
          </cell>
          <cell r="CD16">
            <v>3.5</v>
          </cell>
          <cell r="CE16">
            <v>6.5</v>
          </cell>
          <cell r="CF16">
            <v>7.6</v>
          </cell>
          <cell r="CI16">
            <v>6.5</v>
          </cell>
          <cell r="CK16">
            <v>7.6</v>
          </cell>
          <cell r="CO16">
            <v>11.85</v>
          </cell>
          <cell r="CP16">
            <v>11.85</v>
          </cell>
          <cell r="CQ16">
            <v>3.5</v>
          </cell>
          <cell r="CR16">
            <v>4.3</v>
          </cell>
          <cell r="CS16">
            <v>5.6</v>
          </cell>
          <cell r="CV16">
            <v>4.3</v>
          </cell>
          <cell r="CX16">
            <v>5.6</v>
          </cell>
          <cell r="DB16">
            <v>8.8000000000000007</v>
          </cell>
          <cell r="DC16">
            <v>8.8000000000000007</v>
          </cell>
          <cell r="DD16">
            <v>3.5</v>
          </cell>
          <cell r="DE16">
            <v>8.6999999999999993</v>
          </cell>
          <cell r="DF16">
            <v>10.1</v>
          </cell>
          <cell r="DI16">
            <v>8.6999999999999993</v>
          </cell>
          <cell r="DK16">
            <v>10.1</v>
          </cell>
          <cell r="DO16">
            <v>15.8</v>
          </cell>
          <cell r="DP16">
            <v>15.8</v>
          </cell>
          <cell r="DQ16">
            <v>3.5</v>
          </cell>
          <cell r="DR16">
            <v>5.35</v>
          </cell>
          <cell r="DS16">
            <v>6.65</v>
          </cell>
          <cell r="DT16">
            <v>5.35</v>
          </cell>
          <cell r="DU16">
            <v>5.35</v>
          </cell>
          <cell r="DV16">
            <v>5.35</v>
          </cell>
          <cell r="DW16">
            <v>5.35</v>
          </cell>
          <cell r="DX16">
            <v>6.65</v>
          </cell>
          <cell r="DY16">
            <v>6.65</v>
          </cell>
          <cell r="DZ16">
            <v>6.65</v>
          </cell>
          <cell r="EA16">
            <v>9.5</v>
          </cell>
          <cell r="EB16">
            <v>9.5</v>
          </cell>
          <cell r="EC16">
            <v>9.5</v>
          </cell>
          <cell r="ET16">
            <v>3.5</v>
          </cell>
          <cell r="EU16">
            <v>0.30499999999999999</v>
          </cell>
          <cell r="EV16">
            <v>0.42499999999999999</v>
          </cell>
          <cell r="EY16">
            <v>0.30499999999999999</v>
          </cell>
          <cell r="FA16">
            <v>0.42499999999999999</v>
          </cell>
          <cell r="FE16">
            <v>0.63</v>
          </cell>
          <cell r="FF16">
            <v>0.63</v>
          </cell>
        </row>
        <row r="17">
          <cell r="A17">
            <v>4</v>
          </cell>
          <cell r="B17">
            <v>4.4999999999999998E-2</v>
          </cell>
          <cell r="C17">
            <v>5.8000000000000003E-2</v>
          </cell>
          <cell r="D17">
            <v>4.4999999999999998E-2</v>
          </cell>
          <cell r="E17">
            <v>4.4999999999999998E-2</v>
          </cell>
          <cell r="F17">
            <v>4.4999999999999998E-2</v>
          </cell>
          <cell r="G17">
            <v>4.4999999999999998E-2</v>
          </cell>
          <cell r="H17">
            <v>5.8000000000000003E-2</v>
          </cell>
          <cell r="I17">
            <v>5.8000000000000003E-2</v>
          </cell>
          <cell r="J17">
            <v>7.0999999999999994E-2</v>
          </cell>
          <cell r="K17">
            <v>7.0999999999999994E-2</v>
          </cell>
          <cell r="L17">
            <v>7.0999999999999994E-2</v>
          </cell>
          <cell r="M17">
            <v>7.0999999999999994E-2</v>
          </cell>
          <cell r="N17">
            <v>4</v>
          </cell>
          <cell r="O17">
            <v>1.3</v>
          </cell>
          <cell r="P17">
            <v>1.6</v>
          </cell>
          <cell r="S17">
            <v>1.3</v>
          </cell>
          <cell r="U17">
            <v>1.6</v>
          </cell>
          <cell r="W17">
            <v>2.4</v>
          </cell>
          <cell r="Y17">
            <v>2.6</v>
          </cell>
          <cell r="Z17">
            <v>2.6</v>
          </cell>
          <cell r="AA17">
            <v>4</v>
          </cell>
          <cell r="AB17">
            <v>0.18</v>
          </cell>
          <cell r="AC17">
            <v>0.24</v>
          </cell>
          <cell r="AF17">
            <v>0.18</v>
          </cell>
          <cell r="AH17">
            <v>0.24</v>
          </cell>
          <cell r="AJ17">
            <v>0.33</v>
          </cell>
          <cell r="AL17">
            <v>0.36</v>
          </cell>
          <cell r="AM17">
            <v>0.36</v>
          </cell>
          <cell r="AN17">
            <v>4</v>
          </cell>
          <cell r="AO17">
            <v>0.14000000000000001</v>
          </cell>
          <cell r="AP17">
            <v>0.19</v>
          </cell>
          <cell r="AS17">
            <v>0.14000000000000001</v>
          </cell>
          <cell r="AU17">
            <v>0.19</v>
          </cell>
          <cell r="AW17">
            <v>0.26</v>
          </cell>
          <cell r="AY17">
            <v>0.28000000000000003</v>
          </cell>
          <cell r="AZ17">
            <v>0.28000000000000003</v>
          </cell>
          <cell r="BA17">
            <v>4</v>
          </cell>
          <cell r="BB17">
            <v>2.1</v>
          </cell>
          <cell r="BC17">
            <v>2.2999999999999998</v>
          </cell>
          <cell r="BD17">
            <v>3</v>
          </cell>
          <cell r="BE17">
            <v>3.3</v>
          </cell>
          <cell r="BF17">
            <v>4.2</v>
          </cell>
          <cell r="BG17">
            <v>4.7</v>
          </cell>
          <cell r="BH17">
            <v>5.2</v>
          </cell>
          <cell r="BI17">
            <v>4</v>
          </cell>
          <cell r="BJ17">
            <v>2.1</v>
          </cell>
          <cell r="BK17">
            <v>2.2999999999999998</v>
          </cell>
          <cell r="BL17">
            <v>2.2999999999999998</v>
          </cell>
          <cell r="BM17">
            <v>2.6</v>
          </cell>
          <cell r="BN17">
            <v>2.6</v>
          </cell>
          <cell r="BO17">
            <v>2.9</v>
          </cell>
          <cell r="BP17">
            <v>3</v>
          </cell>
          <cell r="BQ17">
            <v>4</v>
          </cell>
          <cell r="BR17">
            <v>3.5</v>
          </cell>
          <cell r="BS17">
            <v>4.9000000000000004</v>
          </cell>
          <cell r="BV17">
            <v>3.5</v>
          </cell>
          <cell r="BX17">
            <v>4.9000000000000004</v>
          </cell>
          <cell r="BZ17">
            <v>6.1</v>
          </cell>
          <cell r="CB17">
            <v>7.5</v>
          </cell>
          <cell r="CC17">
            <v>7.5</v>
          </cell>
          <cell r="CD17">
            <v>4</v>
          </cell>
          <cell r="CE17">
            <v>7</v>
          </cell>
          <cell r="CF17">
            <v>8.6999999999999993</v>
          </cell>
          <cell r="CI17">
            <v>7</v>
          </cell>
          <cell r="CK17">
            <v>8.6999999999999993</v>
          </cell>
          <cell r="CM17">
            <v>10.9</v>
          </cell>
          <cell r="CO17">
            <v>13.3</v>
          </cell>
          <cell r="CP17">
            <v>13.3</v>
          </cell>
          <cell r="CQ17">
            <v>4</v>
          </cell>
          <cell r="CR17">
            <v>4.8</v>
          </cell>
          <cell r="CS17">
            <v>6.6</v>
          </cell>
          <cell r="CV17">
            <v>4.8</v>
          </cell>
          <cell r="CX17">
            <v>6.6</v>
          </cell>
          <cell r="CZ17">
            <v>8.1999999999999993</v>
          </cell>
          <cell r="DB17">
            <v>9.9</v>
          </cell>
          <cell r="DC17">
            <v>9.9</v>
          </cell>
          <cell r="DD17">
            <v>4</v>
          </cell>
          <cell r="DE17">
            <v>9.6999999999999993</v>
          </cell>
          <cell r="DF17">
            <v>11.7</v>
          </cell>
          <cell r="DI17">
            <v>9.6999999999999993</v>
          </cell>
          <cell r="DK17">
            <v>11.7</v>
          </cell>
          <cell r="DM17">
            <v>14.5</v>
          </cell>
          <cell r="DO17">
            <v>17.600000000000001</v>
          </cell>
          <cell r="DP17">
            <v>17.600000000000001</v>
          </cell>
          <cell r="DQ17">
            <v>4</v>
          </cell>
          <cell r="DR17">
            <v>6.1</v>
          </cell>
          <cell r="DS17">
            <v>7.4</v>
          </cell>
          <cell r="DT17">
            <v>6.1</v>
          </cell>
          <cell r="DU17">
            <v>6.1</v>
          </cell>
          <cell r="DV17">
            <v>6.1</v>
          </cell>
          <cell r="DW17">
            <v>6.1</v>
          </cell>
          <cell r="DX17">
            <v>7.4</v>
          </cell>
          <cell r="DY17">
            <v>7.4</v>
          </cell>
          <cell r="DZ17">
            <v>7.4</v>
          </cell>
          <cell r="EA17">
            <v>9.8000000000000007</v>
          </cell>
          <cell r="EB17">
            <v>9.8000000000000007</v>
          </cell>
          <cell r="EC17">
            <v>9.8000000000000007</v>
          </cell>
          <cell r="ET17">
            <v>4</v>
          </cell>
          <cell r="EU17">
            <v>0.36</v>
          </cell>
          <cell r="EV17">
            <v>0.49</v>
          </cell>
          <cell r="EY17">
            <v>0.36</v>
          </cell>
          <cell r="FA17">
            <v>0.49</v>
          </cell>
          <cell r="FC17">
            <v>0.71</v>
          </cell>
          <cell r="FE17">
            <v>0.76</v>
          </cell>
          <cell r="FF17">
            <v>0.76</v>
          </cell>
        </row>
        <row r="18">
          <cell r="A18">
            <v>5</v>
          </cell>
          <cell r="B18">
            <v>4.8000000000000001E-2</v>
          </cell>
          <cell r="C18">
            <v>6.3E-2</v>
          </cell>
          <cell r="D18">
            <v>4.8000000000000001E-2</v>
          </cell>
          <cell r="E18">
            <v>4.8000000000000001E-2</v>
          </cell>
          <cell r="F18">
            <v>4.8000000000000001E-2</v>
          </cell>
          <cell r="G18">
            <v>4.8000000000000001E-2</v>
          </cell>
          <cell r="H18">
            <v>6.3E-2</v>
          </cell>
          <cell r="I18">
            <v>6.3E-2</v>
          </cell>
          <cell r="J18">
            <v>7.9000000000000001E-2</v>
          </cell>
          <cell r="K18">
            <v>7.9000000000000001E-2</v>
          </cell>
          <cell r="L18">
            <v>7.9000000000000001E-2</v>
          </cell>
          <cell r="M18">
            <v>7.9000000000000001E-2</v>
          </cell>
          <cell r="N18">
            <v>5</v>
          </cell>
          <cell r="O18">
            <v>1.5</v>
          </cell>
          <cell r="P18">
            <v>1.9</v>
          </cell>
          <cell r="S18">
            <v>1.5</v>
          </cell>
          <cell r="U18">
            <v>1.9</v>
          </cell>
          <cell r="W18">
            <v>2.5</v>
          </cell>
          <cell r="Y18">
            <v>3.3</v>
          </cell>
          <cell r="Z18">
            <v>3.3</v>
          </cell>
          <cell r="AA18">
            <v>5</v>
          </cell>
          <cell r="AB18">
            <v>0.21</v>
          </cell>
          <cell r="AC18">
            <v>0.31</v>
          </cell>
          <cell r="AF18">
            <v>0.21</v>
          </cell>
          <cell r="AH18">
            <v>0.31</v>
          </cell>
          <cell r="AJ18">
            <v>0.38</v>
          </cell>
          <cell r="AL18">
            <v>0.43</v>
          </cell>
          <cell r="AM18">
            <v>0.43</v>
          </cell>
          <cell r="AN18">
            <v>5</v>
          </cell>
          <cell r="AO18">
            <v>0.17</v>
          </cell>
          <cell r="AP18">
            <v>0.24</v>
          </cell>
          <cell r="AS18">
            <v>0.17</v>
          </cell>
          <cell r="AU18">
            <v>0.24</v>
          </cell>
          <cell r="AW18">
            <v>0.3</v>
          </cell>
          <cell r="AY18">
            <v>0.34</v>
          </cell>
          <cell r="AZ18">
            <v>0.34</v>
          </cell>
          <cell r="BA18">
            <v>5</v>
          </cell>
          <cell r="BB18">
            <v>2.6</v>
          </cell>
          <cell r="BC18">
            <v>2.9</v>
          </cell>
          <cell r="BD18">
            <v>3.9</v>
          </cell>
          <cell r="BE18">
            <v>4.2</v>
          </cell>
          <cell r="BF18">
            <v>5.3</v>
          </cell>
          <cell r="BG18">
            <v>5.9</v>
          </cell>
          <cell r="BH18">
            <v>6.5</v>
          </cell>
          <cell r="BI18">
            <v>5</v>
          </cell>
          <cell r="BJ18">
            <v>2.5</v>
          </cell>
          <cell r="BK18">
            <v>2.8</v>
          </cell>
          <cell r="BL18">
            <v>2.8</v>
          </cell>
          <cell r="BM18">
            <v>3.1</v>
          </cell>
          <cell r="BN18">
            <v>3.1</v>
          </cell>
          <cell r="BO18">
            <v>3.4</v>
          </cell>
          <cell r="BP18">
            <v>3.5</v>
          </cell>
          <cell r="BQ18">
            <v>5</v>
          </cell>
          <cell r="BR18">
            <v>4.4000000000000004</v>
          </cell>
          <cell r="BS18">
            <v>6</v>
          </cell>
          <cell r="BV18">
            <v>4.4000000000000004</v>
          </cell>
          <cell r="BX18">
            <v>6</v>
          </cell>
          <cell r="BZ18">
            <v>7.5</v>
          </cell>
          <cell r="CB18">
            <v>9.3000000000000007</v>
          </cell>
          <cell r="CC18">
            <v>9.3000000000000007</v>
          </cell>
          <cell r="CD18">
            <v>5</v>
          </cell>
          <cell r="CE18">
            <v>8.5</v>
          </cell>
          <cell r="CF18">
            <v>10.3</v>
          </cell>
          <cell r="CI18">
            <v>8.5</v>
          </cell>
          <cell r="CK18">
            <v>10.3</v>
          </cell>
          <cell r="CM18">
            <v>13.1</v>
          </cell>
          <cell r="CO18">
            <v>16</v>
          </cell>
          <cell r="CP18">
            <v>16</v>
          </cell>
          <cell r="CQ18">
            <v>5</v>
          </cell>
          <cell r="CR18">
            <v>5.8</v>
          </cell>
          <cell r="CS18">
            <v>7.9</v>
          </cell>
          <cell r="CV18">
            <v>5.8</v>
          </cell>
          <cell r="CX18">
            <v>7.9</v>
          </cell>
          <cell r="CZ18">
            <v>10.199999999999999</v>
          </cell>
          <cell r="DB18">
            <v>12.5</v>
          </cell>
          <cell r="DC18">
            <v>12.5</v>
          </cell>
          <cell r="DD18">
            <v>5</v>
          </cell>
          <cell r="DE18">
            <v>11.4</v>
          </cell>
          <cell r="DF18">
            <v>13.7</v>
          </cell>
          <cell r="DI18">
            <v>11.4</v>
          </cell>
          <cell r="DK18">
            <v>13.7</v>
          </cell>
          <cell r="DM18">
            <v>17.2</v>
          </cell>
          <cell r="DO18">
            <v>21.7</v>
          </cell>
          <cell r="DP18">
            <v>21.7</v>
          </cell>
          <cell r="DQ18">
            <v>5</v>
          </cell>
          <cell r="DR18">
            <v>6.9</v>
          </cell>
          <cell r="DS18">
            <v>8.1</v>
          </cell>
          <cell r="DT18">
            <v>6.9</v>
          </cell>
          <cell r="DU18">
            <v>6.9</v>
          </cell>
          <cell r="DV18">
            <v>6.9</v>
          </cell>
          <cell r="DW18">
            <v>6.9</v>
          </cell>
          <cell r="DX18">
            <v>8.1</v>
          </cell>
          <cell r="DY18">
            <v>8.1</v>
          </cell>
          <cell r="DZ18">
            <v>8.1</v>
          </cell>
          <cell r="EA18">
            <v>11.9</v>
          </cell>
          <cell r="EB18">
            <v>11.9</v>
          </cell>
          <cell r="EC18">
            <v>11.9</v>
          </cell>
          <cell r="ET18">
            <v>5</v>
          </cell>
          <cell r="EU18">
            <v>0.46</v>
          </cell>
          <cell r="EV18">
            <v>0.66</v>
          </cell>
          <cell r="EY18">
            <v>0.46</v>
          </cell>
          <cell r="FA18">
            <v>0.66</v>
          </cell>
          <cell r="FC18">
            <v>0.77</v>
          </cell>
          <cell r="FE18">
            <v>0.91</v>
          </cell>
          <cell r="FF18">
            <v>0.91</v>
          </cell>
        </row>
        <row r="19">
          <cell r="A19">
            <v>6</v>
          </cell>
          <cell r="B19">
            <v>5.0999999999999997E-2</v>
          </cell>
          <cell r="C19">
            <v>7.0000000000000007E-2</v>
          </cell>
          <cell r="D19">
            <v>5.0999999999999997E-2</v>
          </cell>
          <cell r="E19">
            <v>5.0999999999999997E-2</v>
          </cell>
          <cell r="F19">
            <v>5.0999999999999997E-2</v>
          </cell>
          <cell r="G19">
            <v>5.0999999999999997E-2</v>
          </cell>
          <cell r="H19">
            <v>7.0000000000000007E-2</v>
          </cell>
          <cell r="I19">
            <v>7.0000000000000007E-2</v>
          </cell>
          <cell r="J19">
            <v>9.0999999999999998E-2</v>
          </cell>
          <cell r="K19">
            <v>9.0999999999999998E-2</v>
          </cell>
          <cell r="L19">
            <v>9.0999999999999998E-2</v>
          </cell>
          <cell r="M19">
            <v>9.0999999999999998E-2</v>
          </cell>
          <cell r="N19">
            <v>6</v>
          </cell>
          <cell r="O19">
            <v>1.8</v>
          </cell>
          <cell r="P19">
            <v>2.1</v>
          </cell>
          <cell r="S19">
            <v>1.8</v>
          </cell>
          <cell r="U19">
            <v>2.1</v>
          </cell>
          <cell r="W19">
            <v>3.2</v>
          </cell>
          <cell r="Y19">
            <v>4.3</v>
          </cell>
          <cell r="Z19">
            <v>4.3</v>
          </cell>
          <cell r="AA19">
            <v>6</v>
          </cell>
          <cell r="AB19">
            <v>0.28999999999999998</v>
          </cell>
          <cell r="AC19">
            <v>0.38</v>
          </cell>
          <cell r="AF19">
            <v>0.28999999999999998</v>
          </cell>
          <cell r="AH19">
            <v>0.38</v>
          </cell>
          <cell r="AJ19">
            <v>0.49</v>
          </cell>
          <cell r="AL19">
            <v>0.55000000000000004</v>
          </cell>
          <cell r="AM19">
            <v>0.55000000000000004</v>
          </cell>
          <cell r="AN19">
            <v>6</v>
          </cell>
          <cell r="AO19">
            <v>0.23</v>
          </cell>
          <cell r="AP19">
            <v>0.3</v>
          </cell>
          <cell r="AS19">
            <v>0.23</v>
          </cell>
          <cell r="AU19">
            <v>0.3</v>
          </cell>
          <cell r="AW19">
            <v>0.39</v>
          </cell>
          <cell r="AY19">
            <v>0.43</v>
          </cell>
          <cell r="AZ19">
            <v>0.43</v>
          </cell>
          <cell r="BA19">
            <v>6</v>
          </cell>
          <cell r="BB19">
            <v>3.1</v>
          </cell>
          <cell r="BC19">
            <v>3.4</v>
          </cell>
          <cell r="BD19">
            <v>4.5</v>
          </cell>
          <cell r="BE19">
            <v>5.0999999999999996</v>
          </cell>
          <cell r="BF19">
            <v>6.3</v>
          </cell>
          <cell r="BG19">
            <v>7.1</v>
          </cell>
          <cell r="BH19">
            <v>7.8</v>
          </cell>
          <cell r="BI19">
            <v>6</v>
          </cell>
          <cell r="BJ19">
            <v>2.9</v>
          </cell>
          <cell r="BK19">
            <v>3.2</v>
          </cell>
          <cell r="BL19">
            <v>3.2</v>
          </cell>
          <cell r="BM19">
            <v>3.5</v>
          </cell>
          <cell r="BN19">
            <v>3.5</v>
          </cell>
          <cell r="BO19">
            <v>3.9</v>
          </cell>
          <cell r="BP19">
            <v>4</v>
          </cell>
          <cell r="BQ19">
            <v>6</v>
          </cell>
          <cell r="BR19">
            <v>4.7</v>
          </cell>
          <cell r="BS19">
            <v>6.5</v>
          </cell>
          <cell r="BV19">
            <v>4.7</v>
          </cell>
          <cell r="BX19">
            <v>6.5</v>
          </cell>
          <cell r="BZ19">
            <v>9.5</v>
          </cell>
          <cell r="CB19">
            <v>12.1</v>
          </cell>
          <cell r="CC19">
            <v>12.1</v>
          </cell>
          <cell r="CD19">
            <v>6</v>
          </cell>
          <cell r="CE19">
            <v>8.9</v>
          </cell>
          <cell r="CF19">
            <v>11.1</v>
          </cell>
          <cell r="CI19">
            <v>8.9</v>
          </cell>
          <cell r="CK19">
            <v>11.1</v>
          </cell>
          <cell r="CM19">
            <v>16.100000000000001</v>
          </cell>
          <cell r="CO19">
            <v>20.100000000000001</v>
          </cell>
          <cell r="CP19">
            <v>20.100000000000001</v>
          </cell>
          <cell r="CQ19">
            <v>6</v>
          </cell>
          <cell r="CR19">
            <v>6.2</v>
          </cell>
          <cell r="CS19">
            <v>8.6999999999999993</v>
          </cell>
          <cell r="CV19">
            <v>6.2</v>
          </cell>
          <cell r="CX19">
            <v>8.6999999999999993</v>
          </cell>
          <cell r="CZ19">
            <v>12.6</v>
          </cell>
          <cell r="DB19">
            <v>16</v>
          </cell>
          <cell r="DC19">
            <v>16</v>
          </cell>
          <cell r="DD19">
            <v>6</v>
          </cell>
          <cell r="DE19">
            <v>12</v>
          </cell>
          <cell r="DF19">
            <v>14.9</v>
          </cell>
          <cell r="DI19">
            <v>12</v>
          </cell>
          <cell r="DK19">
            <v>14.9</v>
          </cell>
          <cell r="DM19">
            <v>21.3</v>
          </cell>
          <cell r="DO19">
            <v>27.3</v>
          </cell>
          <cell r="DP19">
            <v>27.3</v>
          </cell>
          <cell r="DQ19">
            <v>6</v>
          </cell>
          <cell r="DR19">
            <v>7.6</v>
          </cell>
          <cell r="DS19">
            <v>8.6</v>
          </cell>
          <cell r="DT19">
            <v>7.6</v>
          </cell>
          <cell r="DU19">
            <v>7.6</v>
          </cell>
          <cell r="DV19">
            <v>7.6</v>
          </cell>
          <cell r="DW19">
            <v>7.6</v>
          </cell>
          <cell r="DX19">
            <v>8.6</v>
          </cell>
          <cell r="DY19">
            <v>8.6</v>
          </cell>
          <cell r="DZ19">
            <v>8.6</v>
          </cell>
          <cell r="EA19">
            <v>13.9</v>
          </cell>
          <cell r="EB19">
            <v>13.9</v>
          </cell>
          <cell r="EC19">
            <v>13.9</v>
          </cell>
          <cell r="ET19">
            <v>6</v>
          </cell>
          <cell r="EU19">
            <v>0.59</v>
          </cell>
          <cell r="EV19">
            <v>0.79</v>
          </cell>
          <cell r="EY19">
            <v>0.59</v>
          </cell>
          <cell r="FA19">
            <v>0.79</v>
          </cell>
          <cell r="FC19">
            <v>1</v>
          </cell>
          <cell r="FE19">
            <v>1.1399999999999999</v>
          </cell>
          <cell r="FF19">
            <v>1.1399999999999999</v>
          </cell>
        </row>
        <row r="20">
          <cell r="A20">
            <v>8</v>
          </cell>
          <cell r="B20">
            <v>6.3E-2</v>
          </cell>
          <cell r="C20">
            <v>8.7999999999999995E-2</v>
          </cell>
          <cell r="D20">
            <v>6.3E-2</v>
          </cell>
          <cell r="E20">
            <v>6.3E-2</v>
          </cell>
          <cell r="F20">
            <v>6.3E-2</v>
          </cell>
          <cell r="G20">
            <v>6.3E-2</v>
          </cell>
          <cell r="H20">
            <v>8.7999999999999995E-2</v>
          </cell>
          <cell r="I20">
            <v>8.7999999999999995E-2</v>
          </cell>
          <cell r="J20">
            <v>0.11899999999999999</v>
          </cell>
          <cell r="K20">
            <v>0.11899999999999999</v>
          </cell>
          <cell r="L20">
            <v>0.11899999999999999</v>
          </cell>
          <cell r="M20">
            <v>0.11899999999999999</v>
          </cell>
          <cell r="N20">
            <v>8</v>
          </cell>
          <cell r="O20">
            <v>2.2000000000000002</v>
          </cell>
          <cell r="P20">
            <v>2.8</v>
          </cell>
          <cell r="Q20">
            <v>2.2000000000000002</v>
          </cell>
          <cell r="R20">
            <v>2.2000000000000002</v>
          </cell>
          <cell r="S20">
            <v>2.2000000000000002</v>
          </cell>
          <cell r="T20">
            <v>2.5</v>
          </cell>
          <cell r="U20">
            <v>2.8</v>
          </cell>
          <cell r="V20">
            <v>3.8</v>
          </cell>
          <cell r="W20">
            <v>5.0999999999999996</v>
          </cell>
          <cell r="X20">
            <v>6.4</v>
          </cell>
          <cell r="Y20">
            <v>7.3</v>
          </cell>
          <cell r="Z20">
            <v>7.3</v>
          </cell>
          <cell r="AA20">
            <v>8</v>
          </cell>
          <cell r="AB20">
            <v>0.4</v>
          </cell>
          <cell r="AC20">
            <v>0.56000000000000005</v>
          </cell>
          <cell r="AD20">
            <v>0.4</v>
          </cell>
          <cell r="AE20">
            <v>0.4</v>
          </cell>
          <cell r="AF20">
            <v>0.4</v>
          </cell>
          <cell r="AG20">
            <v>0.51</v>
          </cell>
          <cell r="AH20">
            <v>0.56000000000000005</v>
          </cell>
          <cell r="AI20">
            <v>0.66</v>
          </cell>
          <cell r="AJ20">
            <v>0.75</v>
          </cell>
          <cell r="AK20">
            <v>0.84</v>
          </cell>
          <cell r="AL20">
            <v>0.99</v>
          </cell>
          <cell r="AM20">
            <v>0.99</v>
          </cell>
          <cell r="AN20">
            <v>8</v>
          </cell>
          <cell r="AO20">
            <v>0.32</v>
          </cell>
          <cell r="AP20">
            <v>0.44</v>
          </cell>
          <cell r="AQ20">
            <v>0.32</v>
          </cell>
          <cell r="AR20">
            <v>0.32</v>
          </cell>
          <cell r="AS20">
            <v>0.32</v>
          </cell>
          <cell r="AT20">
            <v>0.4</v>
          </cell>
          <cell r="AU20">
            <v>0.44</v>
          </cell>
          <cell r="AV20">
            <v>0.52</v>
          </cell>
          <cell r="AW20">
            <v>0.59</v>
          </cell>
          <cell r="AX20">
            <v>0.65</v>
          </cell>
          <cell r="AY20">
            <v>0.71</v>
          </cell>
          <cell r="AZ20">
            <v>0.71</v>
          </cell>
          <cell r="BA20">
            <v>8</v>
          </cell>
          <cell r="BB20">
            <v>4.3</v>
          </cell>
          <cell r="BC20">
            <v>4.5999999999999996</v>
          </cell>
          <cell r="BD20">
            <v>6.2</v>
          </cell>
          <cell r="BE20">
            <v>6.8</v>
          </cell>
          <cell r="BF20">
            <v>8.3000000000000007</v>
          </cell>
          <cell r="BG20">
            <v>9.3000000000000007</v>
          </cell>
          <cell r="BH20">
            <v>10.199999999999999</v>
          </cell>
          <cell r="BI20">
            <v>8</v>
          </cell>
          <cell r="BJ20">
            <v>3.6</v>
          </cell>
          <cell r="BK20">
            <v>3.9</v>
          </cell>
          <cell r="BL20">
            <v>3.9</v>
          </cell>
          <cell r="BM20">
            <v>4.3</v>
          </cell>
          <cell r="BN20">
            <v>4.3</v>
          </cell>
          <cell r="BO20">
            <v>4.9000000000000004</v>
          </cell>
          <cell r="BP20">
            <v>5.0999999999999996</v>
          </cell>
          <cell r="BQ20">
            <v>8</v>
          </cell>
          <cell r="BR20">
            <v>5.3</v>
          </cell>
          <cell r="BS20">
            <v>7.5</v>
          </cell>
          <cell r="BT20">
            <v>5.3</v>
          </cell>
          <cell r="BU20">
            <v>5.3</v>
          </cell>
          <cell r="BV20">
            <v>5.3</v>
          </cell>
          <cell r="BW20">
            <v>7</v>
          </cell>
          <cell r="BX20">
            <v>7.5</v>
          </cell>
          <cell r="BY20">
            <v>10.199999999999999</v>
          </cell>
          <cell r="BZ20">
            <v>12.9</v>
          </cell>
          <cell r="CA20">
            <v>15.8</v>
          </cell>
          <cell r="CB20">
            <v>18.2</v>
          </cell>
          <cell r="CC20">
            <v>18.2</v>
          </cell>
          <cell r="CD20">
            <v>8</v>
          </cell>
          <cell r="CE20">
            <v>9.9</v>
          </cell>
          <cell r="CF20">
            <v>12.3</v>
          </cell>
          <cell r="CG20">
            <v>9.9</v>
          </cell>
          <cell r="CH20">
            <v>9.9</v>
          </cell>
          <cell r="CI20">
            <v>9.9</v>
          </cell>
          <cell r="CJ20">
            <v>11.3</v>
          </cell>
          <cell r="CK20">
            <v>12.3</v>
          </cell>
          <cell r="CL20">
            <v>16.8</v>
          </cell>
          <cell r="CM20">
            <v>20.8</v>
          </cell>
          <cell r="CN20">
            <v>24.8</v>
          </cell>
          <cell r="CO20">
            <v>27.8</v>
          </cell>
          <cell r="CP20">
            <v>27.8</v>
          </cell>
          <cell r="CQ20">
            <v>8</v>
          </cell>
          <cell r="CR20">
            <v>7.3</v>
          </cell>
          <cell r="CS20">
            <v>9.9</v>
          </cell>
          <cell r="CT20">
            <v>7.3</v>
          </cell>
          <cell r="CU20">
            <v>7.3</v>
          </cell>
          <cell r="CV20">
            <v>7.3</v>
          </cell>
          <cell r="CW20">
            <v>9.4</v>
          </cell>
          <cell r="CX20">
            <v>9.9</v>
          </cell>
          <cell r="CY20">
            <v>13.5</v>
          </cell>
          <cell r="CZ20">
            <v>17</v>
          </cell>
          <cell r="DA20">
            <v>21.3</v>
          </cell>
          <cell r="DB20">
            <v>24.2</v>
          </cell>
          <cell r="DC20">
            <v>24.2</v>
          </cell>
          <cell r="DD20">
            <v>8</v>
          </cell>
          <cell r="DE20">
            <v>13.4</v>
          </cell>
          <cell r="DF20">
            <v>18.3</v>
          </cell>
          <cell r="DG20">
            <v>13.4</v>
          </cell>
          <cell r="DH20">
            <v>13.4</v>
          </cell>
          <cell r="DI20">
            <v>13.4</v>
          </cell>
          <cell r="DJ20">
            <v>15.3</v>
          </cell>
          <cell r="DK20">
            <v>18.3</v>
          </cell>
          <cell r="DL20">
            <v>22.4</v>
          </cell>
          <cell r="DM20">
            <v>27.8</v>
          </cell>
          <cell r="DN20">
            <v>33.700000000000003</v>
          </cell>
          <cell r="DO20">
            <v>37.700000000000003</v>
          </cell>
          <cell r="DP20">
            <v>37.700000000000003</v>
          </cell>
          <cell r="DQ20">
            <v>8</v>
          </cell>
          <cell r="DR20">
            <v>8.4</v>
          </cell>
          <cell r="DS20">
            <v>9.1999999999999993</v>
          </cell>
          <cell r="DT20">
            <v>8.4</v>
          </cell>
          <cell r="DU20">
            <v>8.4</v>
          </cell>
          <cell r="DV20">
            <v>8.4</v>
          </cell>
          <cell r="DW20">
            <v>8.4</v>
          </cell>
          <cell r="DX20">
            <v>9.1999999999999993</v>
          </cell>
          <cell r="DY20">
            <v>9.1999999999999993</v>
          </cell>
          <cell r="DZ20">
            <v>9.1999999999999993</v>
          </cell>
          <cell r="EA20">
            <v>16.399999999999999</v>
          </cell>
          <cell r="EB20">
            <v>16.399999999999999</v>
          </cell>
          <cell r="EC20">
            <v>16.399999999999999</v>
          </cell>
          <cell r="ET20">
            <v>8</v>
          </cell>
          <cell r="EU20">
            <v>0.82</v>
          </cell>
          <cell r="EV20">
            <v>1.1399999999999999</v>
          </cell>
          <cell r="EW20">
            <v>0.82</v>
          </cell>
          <cell r="EX20">
            <v>0.82</v>
          </cell>
          <cell r="EY20">
            <v>0.82</v>
          </cell>
          <cell r="EZ20">
            <v>1.07</v>
          </cell>
          <cell r="FA20">
            <v>1.1399999999999999</v>
          </cell>
          <cell r="FB20">
            <v>1.39</v>
          </cell>
          <cell r="FC20">
            <v>1.55</v>
          </cell>
          <cell r="FD20">
            <v>1.73</v>
          </cell>
          <cell r="FE20">
            <v>2.02</v>
          </cell>
          <cell r="FF20">
            <v>2.02</v>
          </cell>
        </row>
        <row r="21">
          <cell r="A21">
            <v>10</v>
          </cell>
          <cell r="B21">
            <v>7.9000000000000001E-2</v>
          </cell>
          <cell r="C21">
            <v>0.11</v>
          </cell>
          <cell r="D21">
            <v>7.9000000000000001E-2</v>
          </cell>
          <cell r="E21">
            <v>7.9000000000000001E-2</v>
          </cell>
          <cell r="F21">
            <v>7.9000000000000001E-2</v>
          </cell>
          <cell r="G21">
            <v>7.9000000000000001E-2</v>
          </cell>
          <cell r="H21">
            <v>0.11</v>
          </cell>
          <cell r="I21">
            <v>0.11</v>
          </cell>
          <cell r="J21">
            <v>0.14899999999999999</v>
          </cell>
          <cell r="K21">
            <v>0.14899999999999999</v>
          </cell>
          <cell r="L21">
            <v>0.14899999999999999</v>
          </cell>
          <cell r="M21">
            <v>0.14899999999999999</v>
          </cell>
          <cell r="N21">
            <v>10</v>
          </cell>
          <cell r="O21">
            <v>2.7</v>
          </cell>
          <cell r="P21">
            <v>3.4</v>
          </cell>
          <cell r="Q21">
            <v>2.7</v>
          </cell>
          <cell r="R21">
            <v>2.7</v>
          </cell>
          <cell r="S21">
            <v>2.7</v>
          </cell>
          <cell r="T21">
            <v>3.4</v>
          </cell>
          <cell r="U21">
            <v>4.3</v>
          </cell>
          <cell r="V21">
            <v>5.8</v>
          </cell>
          <cell r="W21">
            <v>8</v>
          </cell>
          <cell r="X21">
            <v>9.6</v>
          </cell>
          <cell r="Y21">
            <v>11.1</v>
          </cell>
          <cell r="Z21">
            <v>11.1</v>
          </cell>
          <cell r="AA21">
            <v>10</v>
          </cell>
          <cell r="AB21">
            <v>0.56000000000000005</v>
          </cell>
          <cell r="AC21">
            <v>0.8</v>
          </cell>
          <cell r="AD21">
            <v>0.56000000000000005</v>
          </cell>
          <cell r="AE21">
            <v>0.56000000000000005</v>
          </cell>
          <cell r="AF21">
            <v>0.56000000000000005</v>
          </cell>
          <cell r="AG21">
            <v>0.8</v>
          </cell>
          <cell r="AH21">
            <v>0.86</v>
          </cell>
          <cell r="AI21">
            <v>0.95</v>
          </cell>
          <cell r="AJ21">
            <v>1.08</v>
          </cell>
          <cell r="AK21">
            <v>1.24</v>
          </cell>
          <cell r="AL21">
            <v>1.5</v>
          </cell>
          <cell r="AM21">
            <v>1.5</v>
          </cell>
          <cell r="AN21">
            <v>10</v>
          </cell>
          <cell r="AO21">
            <v>0.44</v>
          </cell>
          <cell r="AP21">
            <v>0.63</v>
          </cell>
          <cell r="AQ21">
            <v>0.44</v>
          </cell>
          <cell r="AR21">
            <v>0.44</v>
          </cell>
          <cell r="AS21">
            <v>0.44</v>
          </cell>
          <cell r="AT21">
            <v>0.63</v>
          </cell>
          <cell r="AU21">
            <v>0.68</v>
          </cell>
          <cell r="AV21">
            <v>0.75</v>
          </cell>
          <cell r="AW21">
            <v>0.83</v>
          </cell>
          <cell r="AX21">
            <v>0.91</v>
          </cell>
          <cell r="AY21">
            <v>0.99</v>
          </cell>
          <cell r="AZ21">
            <v>0.99</v>
          </cell>
          <cell r="BA21">
            <v>10</v>
          </cell>
          <cell r="BB21">
            <v>5.3</v>
          </cell>
          <cell r="BC21">
            <v>5.8</v>
          </cell>
          <cell r="BD21">
            <v>7.6</v>
          </cell>
          <cell r="BE21">
            <v>9.4</v>
          </cell>
          <cell r="BF21">
            <v>10.6</v>
          </cell>
          <cell r="BG21">
            <v>11.9</v>
          </cell>
          <cell r="BH21">
            <v>13.1</v>
          </cell>
          <cell r="BI21">
            <v>10</v>
          </cell>
          <cell r="BJ21">
            <v>4.5</v>
          </cell>
          <cell r="BK21">
            <v>4.8</v>
          </cell>
          <cell r="BL21">
            <v>4.8</v>
          </cell>
          <cell r="BM21">
            <v>5.3</v>
          </cell>
          <cell r="BN21">
            <v>5.3</v>
          </cell>
          <cell r="BO21">
            <v>6.1</v>
          </cell>
          <cell r="BP21">
            <v>6.2</v>
          </cell>
          <cell r="BQ21">
            <v>10</v>
          </cell>
          <cell r="BR21">
            <v>6</v>
          </cell>
          <cell r="BS21">
            <v>8.6999999999999993</v>
          </cell>
          <cell r="BT21">
            <v>6</v>
          </cell>
          <cell r="BU21">
            <v>6</v>
          </cell>
          <cell r="BV21">
            <v>6</v>
          </cell>
          <cell r="BW21">
            <v>8.6999999999999993</v>
          </cell>
          <cell r="BX21">
            <v>10.7</v>
          </cell>
          <cell r="BY21">
            <v>13.9</v>
          </cell>
          <cell r="BZ21">
            <v>17.899999999999999</v>
          </cell>
          <cell r="CA21">
            <v>23.1</v>
          </cell>
          <cell r="CB21">
            <v>27.8</v>
          </cell>
          <cell r="CC21">
            <v>27.8</v>
          </cell>
          <cell r="CD21">
            <v>10</v>
          </cell>
          <cell r="CE21">
            <v>10.8</v>
          </cell>
          <cell r="CF21">
            <v>13.8</v>
          </cell>
          <cell r="CG21">
            <v>10.8</v>
          </cell>
          <cell r="CH21">
            <v>10.8</v>
          </cell>
          <cell r="CI21">
            <v>10.8</v>
          </cell>
          <cell r="CJ21">
            <v>13.8</v>
          </cell>
          <cell r="CK21">
            <v>17.100000000000001</v>
          </cell>
          <cell r="CL21">
            <v>22.1</v>
          </cell>
          <cell r="CM21">
            <v>26.3</v>
          </cell>
          <cell r="CN21">
            <v>29.5</v>
          </cell>
          <cell r="CO21">
            <v>33.1</v>
          </cell>
          <cell r="CP21">
            <v>33.1</v>
          </cell>
          <cell r="CQ21">
            <v>10</v>
          </cell>
          <cell r="CR21">
            <v>8.1</v>
          </cell>
          <cell r="CS21">
            <v>11.6</v>
          </cell>
          <cell r="CT21">
            <v>8.1</v>
          </cell>
          <cell r="CU21">
            <v>8.1</v>
          </cell>
          <cell r="CV21">
            <v>8.1</v>
          </cell>
          <cell r="CW21">
            <v>11.6</v>
          </cell>
          <cell r="CX21">
            <v>14.1</v>
          </cell>
          <cell r="CY21">
            <v>18.5</v>
          </cell>
          <cell r="CZ21">
            <v>23.8</v>
          </cell>
          <cell r="DA21">
            <v>30.7</v>
          </cell>
          <cell r="DB21">
            <v>37</v>
          </cell>
          <cell r="DC21">
            <v>37</v>
          </cell>
          <cell r="DD21">
            <v>10</v>
          </cell>
          <cell r="DE21">
            <v>14.7</v>
          </cell>
          <cell r="DF21">
            <v>18.399999999999999</v>
          </cell>
          <cell r="DG21">
            <v>14.7</v>
          </cell>
          <cell r="DH21">
            <v>14.7</v>
          </cell>
          <cell r="DI21">
            <v>14.7</v>
          </cell>
          <cell r="DJ21">
            <v>18.399999999999999</v>
          </cell>
          <cell r="DK21">
            <v>22</v>
          </cell>
          <cell r="DL21">
            <v>27.2</v>
          </cell>
          <cell r="DM21">
            <v>37.700000000000003</v>
          </cell>
          <cell r="DN21">
            <v>41.4</v>
          </cell>
          <cell r="DO21">
            <v>45.1</v>
          </cell>
          <cell r="DP21">
            <v>45.1</v>
          </cell>
          <cell r="DQ21">
            <v>10</v>
          </cell>
          <cell r="DR21">
            <v>11.8</v>
          </cell>
          <cell r="DS21">
            <v>16.899999999999999</v>
          </cell>
          <cell r="DT21">
            <v>11.8</v>
          </cell>
          <cell r="DU21">
            <v>11.8</v>
          </cell>
          <cell r="DV21">
            <v>11.8</v>
          </cell>
          <cell r="DW21">
            <v>11.8</v>
          </cell>
          <cell r="DX21">
            <v>16.899999999999999</v>
          </cell>
          <cell r="DY21">
            <v>16.899999999999999</v>
          </cell>
          <cell r="DZ21">
            <v>16.899999999999999</v>
          </cell>
          <cell r="EA21">
            <v>26.3</v>
          </cell>
          <cell r="EB21">
            <v>26.3</v>
          </cell>
          <cell r="EC21">
            <v>26.3</v>
          </cell>
          <cell r="ET21">
            <v>10</v>
          </cell>
          <cell r="EU21">
            <v>1.17</v>
          </cell>
          <cell r="EV21">
            <v>1.56</v>
          </cell>
          <cell r="EW21">
            <v>1.17</v>
          </cell>
          <cell r="EX21">
            <v>1.17</v>
          </cell>
          <cell r="EY21">
            <v>1.17</v>
          </cell>
          <cell r="EZ21">
            <v>1.56</v>
          </cell>
          <cell r="FA21">
            <v>1.79</v>
          </cell>
          <cell r="FB21">
            <v>2.0699999999999998</v>
          </cell>
          <cell r="FC21">
            <v>2.19</v>
          </cell>
          <cell r="FD21">
            <v>2.61</v>
          </cell>
          <cell r="FE21">
            <v>3.09</v>
          </cell>
          <cell r="FF21">
            <v>3.09</v>
          </cell>
        </row>
        <row r="22">
          <cell r="A22">
            <v>12</v>
          </cell>
          <cell r="B22">
            <v>9.6000000000000002E-2</v>
          </cell>
          <cell r="C22">
            <v>0.13400000000000001</v>
          </cell>
          <cell r="D22">
            <v>9.6000000000000002E-2</v>
          </cell>
          <cell r="E22">
            <v>9.6000000000000002E-2</v>
          </cell>
          <cell r="F22">
            <v>9.6000000000000002E-2</v>
          </cell>
          <cell r="G22">
            <v>9.6000000000000002E-2</v>
          </cell>
          <cell r="H22">
            <v>0.13400000000000001</v>
          </cell>
          <cell r="I22">
            <v>0.13400000000000001</v>
          </cell>
          <cell r="J22">
            <v>0.183</v>
          </cell>
          <cell r="K22">
            <v>0.183</v>
          </cell>
          <cell r="L22">
            <v>0.183</v>
          </cell>
          <cell r="M22">
            <v>0.183</v>
          </cell>
          <cell r="N22">
            <v>12</v>
          </cell>
          <cell r="O22">
            <v>3.1</v>
          </cell>
          <cell r="P22">
            <v>4</v>
          </cell>
          <cell r="Q22">
            <v>3.1</v>
          </cell>
          <cell r="R22">
            <v>3.1</v>
          </cell>
          <cell r="S22">
            <v>3.4</v>
          </cell>
          <cell r="T22">
            <v>4.4000000000000004</v>
          </cell>
          <cell r="U22">
            <v>5.6</v>
          </cell>
          <cell r="V22">
            <v>8.4</v>
          </cell>
          <cell r="W22">
            <v>10.4</v>
          </cell>
          <cell r="X22">
            <v>13</v>
          </cell>
          <cell r="Y22">
            <v>15.2</v>
          </cell>
          <cell r="Z22">
            <v>15.2</v>
          </cell>
          <cell r="AA22">
            <v>12</v>
          </cell>
          <cell r="AB22">
            <v>0.61</v>
          </cell>
          <cell r="AC22">
            <v>0.95</v>
          </cell>
          <cell r="AD22">
            <v>0.61</v>
          </cell>
          <cell r="AE22">
            <v>0.61</v>
          </cell>
          <cell r="AF22">
            <v>0.75</v>
          </cell>
          <cell r="AG22">
            <v>1.1299999999999999</v>
          </cell>
          <cell r="AH22">
            <v>1.19</v>
          </cell>
          <cell r="AI22">
            <v>1.29</v>
          </cell>
          <cell r="AJ22">
            <v>1.5</v>
          </cell>
          <cell r="AK22">
            <v>1.66</v>
          </cell>
          <cell r="AL22">
            <v>1.78</v>
          </cell>
          <cell r="AM22">
            <v>1.78</v>
          </cell>
          <cell r="AN22">
            <v>12</v>
          </cell>
          <cell r="AO22">
            <v>0.48</v>
          </cell>
          <cell r="AP22">
            <v>0.75</v>
          </cell>
          <cell r="AQ22">
            <v>0.48</v>
          </cell>
          <cell r="AR22">
            <v>0.48</v>
          </cell>
          <cell r="AS22">
            <v>0.59</v>
          </cell>
          <cell r="AT22">
            <v>0.89</v>
          </cell>
          <cell r="AU22">
            <v>0.94</v>
          </cell>
          <cell r="AV22">
            <v>1.03</v>
          </cell>
          <cell r="AW22">
            <v>1.1200000000000001</v>
          </cell>
          <cell r="AX22">
            <v>1.21</v>
          </cell>
          <cell r="AY22">
            <v>1.3</v>
          </cell>
          <cell r="AZ22">
            <v>1.3</v>
          </cell>
          <cell r="BA22">
            <v>12</v>
          </cell>
          <cell r="BB22">
            <v>6.5</v>
          </cell>
          <cell r="BC22">
            <v>7</v>
          </cell>
          <cell r="BD22">
            <v>9.3000000000000007</v>
          </cell>
          <cell r="BE22">
            <v>11.6</v>
          </cell>
          <cell r="BF22">
            <v>13</v>
          </cell>
          <cell r="BG22">
            <v>14.6</v>
          </cell>
          <cell r="BH22">
            <v>16.100000000000001</v>
          </cell>
          <cell r="BI22">
            <v>12</v>
          </cell>
          <cell r="BJ22">
            <v>5.25</v>
          </cell>
          <cell r="BK22">
            <v>5.7</v>
          </cell>
          <cell r="BL22">
            <v>5.7</v>
          </cell>
          <cell r="BM22">
            <v>6.3</v>
          </cell>
          <cell r="BN22">
            <v>6.3</v>
          </cell>
          <cell r="BO22">
            <v>7.4</v>
          </cell>
          <cell r="BP22">
            <v>8</v>
          </cell>
          <cell r="BQ22">
            <v>12</v>
          </cell>
          <cell r="BR22">
            <v>6.9</v>
          </cell>
          <cell r="BS22">
            <v>10</v>
          </cell>
          <cell r="BT22">
            <v>6.9</v>
          </cell>
          <cell r="BU22">
            <v>6.9</v>
          </cell>
          <cell r="BV22">
            <v>8.4</v>
          </cell>
          <cell r="BW22">
            <v>11.1</v>
          </cell>
          <cell r="BX22">
            <v>14.4</v>
          </cell>
          <cell r="BY22">
            <v>19.899999999999999</v>
          </cell>
          <cell r="BZ22">
            <v>24.3</v>
          </cell>
          <cell r="CA22">
            <v>29.4</v>
          </cell>
          <cell r="CB22">
            <v>33.200000000000003</v>
          </cell>
          <cell r="CC22">
            <v>33.200000000000003</v>
          </cell>
          <cell r="CD22">
            <v>12</v>
          </cell>
          <cell r="CE22">
            <v>12</v>
          </cell>
          <cell r="CF22">
            <v>15.5</v>
          </cell>
          <cell r="CG22">
            <v>12</v>
          </cell>
          <cell r="CH22">
            <v>12</v>
          </cell>
          <cell r="CI22">
            <v>13</v>
          </cell>
          <cell r="CJ22">
            <v>17.2</v>
          </cell>
          <cell r="CK22">
            <v>22.3</v>
          </cell>
          <cell r="CL22">
            <v>30.1</v>
          </cell>
          <cell r="CM22">
            <v>33.5</v>
          </cell>
          <cell r="CN22">
            <v>37.799999999999997</v>
          </cell>
          <cell r="CO22">
            <v>40.4</v>
          </cell>
          <cell r="CP22">
            <v>40.4</v>
          </cell>
          <cell r="CQ22">
            <v>12</v>
          </cell>
          <cell r="CR22">
            <v>9.1999999999999993</v>
          </cell>
          <cell r="CS22">
            <v>13.3</v>
          </cell>
          <cell r="CT22">
            <v>9.1999999999999993</v>
          </cell>
          <cell r="CU22">
            <v>9.1999999999999993</v>
          </cell>
          <cell r="CV22">
            <v>11</v>
          </cell>
          <cell r="CW22">
            <v>14.8</v>
          </cell>
          <cell r="CX22">
            <v>19.399999999999999</v>
          </cell>
          <cell r="CY22">
            <v>20.5</v>
          </cell>
          <cell r="CZ22">
            <v>32.700000000000003</v>
          </cell>
          <cell r="DA22">
            <v>38.700000000000003</v>
          </cell>
          <cell r="DB22">
            <v>44.2</v>
          </cell>
          <cell r="DC22">
            <v>44.2</v>
          </cell>
          <cell r="DD22">
            <v>12</v>
          </cell>
          <cell r="DE22">
            <v>16.3</v>
          </cell>
          <cell r="DF22">
            <v>20.6</v>
          </cell>
          <cell r="DG22">
            <v>16.3</v>
          </cell>
          <cell r="DH22">
            <v>16.3</v>
          </cell>
          <cell r="DI22">
            <v>17.2</v>
          </cell>
          <cell r="DJ22">
            <v>23</v>
          </cell>
          <cell r="DK22">
            <v>30</v>
          </cell>
          <cell r="DL22">
            <v>38.700000000000003</v>
          </cell>
          <cell r="DM22">
            <v>43.8</v>
          </cell>
          <cell r="DN22">
            <v>51.5</v>
          </cell>
          <cell r="DO22">
            <v>60.1</v>
          </cell>
          <cell r="DP22">
            <v>60.1</v>
          </cell>
          <cell r="DQ22">
            <v>12</v>
          </cell>
          <cell r="DR22">
            <v>16.5</v>
          </cell>
          <cell r="DS22">
            <v>19.600000000000001</v>
          </cell>
          <cell r="DT22">
            <v>16.5</v>
          </cell>
          <cell r="DU22">
            <v>16.5</v>
          </cell>
          <cell r="DV22">
            <v>16.5</v>
          </cell>
          <cell r="DW22">
            <v>16.5</v>
          </cell>
          <cell r="DX22">
            <v>19.600000000000001</v>
          </cell>
          <cell r="DY22">
            <v>19.600000000000001</v>
          </cell>
          <cell r="DZ22">
            <v>19.600000000000001</v>
          </cell>
          <cell r="EA22">
            <v>38.9</v>
          </cell>
          <cell r="EB22">
            <v>38.9</v>
          </cell>
          <cell r="EC22">
            <v>38.9</v>
          </cell>
          <cell r="ET22">
            <v>12</v>
          </cell>
          <cell r="EU22">
            <v>1.3</v>
          </cell>
          <cell r="EV22">
            <v>2.0699999999999998</v>
          </cell>
          <cell r="EW22">
            <v>1.3</v>
          </cell>
          <cell r="EX22">
            <v>1.3</v>
          </cell>
          <cell r="EY22">
            <v>1.75</v>
          </cell>
          <cell r="EZ22">
            <v>2.33</v>
          </cell>
          <cell r="FA22">
            <v>2.46</v>
          </cell>
          <cell r="FB22">
            <v>2.69</v>
          </cell>
          <cell r="FC22">
            <v>3.09</v>
          </cell>
          <cell r="FD22">
            <v>3.51</v>
          </cell>
          <cell r="FE22">
            <v>3.71</v>
          </cell>
          <cell r="FF22">
            <v>3.71</v>
          </cell>
        </row>
        <row r="23">
          <cell r="A23">
            <v>14</v>
          </cell>
          <cell r="B23">
            <v>0.11600000000000001</v>
          </cell>
          <cell r="C23">
            <v>0.159</v>
          </cell>
          <cell r="D23">
            <v>0.11600000000000001</v>
          </cell>
          <cell r="E23">
            <v>0.11600000000000001</v>
          </cell>
          <cell r="F23">
            <v>0.11600000000000001</v>
          </cell>
          <cell r="G23">
            <v>0.11600000000000001</v>
          </cell>
          <cell r="H23">
            <v>0.159</v>
          </cell>
          <cell r="I23">
            <v>0.159</v>
          </cell>
          <cell r="J23">
            <v>0.218</v>
          </cell>
          <cell r="K23">
            <v>0.218</v>
          </cell>
          <cell r="L23">
            <v>0.218</v>
          </cell>
          <cell r="M23">
            <v>0.218</v>
          </cell>
          <cell r="N23">
            <v>14</v>
          </cell>
          <cell r="O23">
            <v>3.6</v>
          </cell>
          <cell r="P23">
            <v>4.8</v>
          </cell>
          <cell r="Q23">
            <v>3.6</v>
          </cell>
          <cell r="R23">
            <v>3.6</v>
          </cell>
          <cell r="S23">
            <v>4.2</v>
          </cell>
          <cell r="T23">
            <v>5.8</v>
          </cell>
          <cell r="U23">
            <v>8.1</v>
          </cell>
          <cell r="V23">
            <v>11.2</v>
          </cell>
          <cell r="W23">
            <v>13.7</v>
          </cell>
          <cell r="X23">
            <v>16.3</v>
          </cell>
          <cell r="Y23">
            <v>19.2</v>
          </cell>
          <cell r="Z23">
            <v>19.2</v>
          </cell>
          <cell r="AA23">
            <v>14</v>
          </cell>
          <cell r="AB23">
            <v>0.85</v>
          </cell>
          <cell r="AC23">
            <v>1.1299999999999999</v>
          </cell>
          <cell r="AD23">
            <v>0.85</v>
          </cell>
          <cell r="AE23">
            <v>0.85</v>
          </cell>
          <cell r="AF23">
            <v>1</v>
          </cell>
          <cell r="AG23">
            <v>1.25</v>
          </cell>
          <cell r="AH23">
            <v>1.45</v>
          </cell>
          <cell r="AI23">
            <v>1.55</v>
          </cell>
          <cell r="AJ23">
            <v>1.7</v>
          </cell>
          <cell r="AK23">
            <v>2</v>
          </cell>
          <cell r="AL23">
            <v>2.1</v>
          </cell>
          <cell r="AM23">
            <v>2.1</v>
          </cell>
          <cell r="AN23">
            <v>14</v>
          </cell>
          <cell r="AO23">
            <v>0.67</v>
          </cell>
          <cell r="AP23">
            <v>0.89</v>
          </cell>
          <cell r="AQ23">
            <v>0.67</v>
          </cell>
          <cell r="AR23">
            <v>0.67</v>
          </cell>
          <cell r="AS23">
            <v>0.79</v>
          </cell>
          <cell r="AT23">
            <v>0.98</v>
          </cell>
          <cell r="AU23">
            <v>1.1399999999999999</v>
          </cell>
          <cell r="AV23">
            <v>1.33</v>
          </cell>
          <cell r="AW23">
            <v>1.46</v>
          </cell>
          <cell r="AX23">
            <v>1.62</v>
          </cell>
          <cell r="AY23">
            <v>1.78</v>
          </cell>
          <cell r="AZ23">
            <v>1.78</v>
          </cell>
          <cell r="BA23">
            <v>14</v>
          </cell>
          <cell r="BB23">
            <v>7.6</v>
          </cell>
          <cell r="BC23">
            <v>8.5</v>
          </cell>
          <cell r="BD23">
            <v>11</v>
          </cell>
          <cell r="BE23">
            <v>13.7</v>
          </cell>
          <cell r="BF23">
            <v>15</v>
          </cell>
          <cell r="BG23">
            <v>16.8</v>
          </cell>
          <cell r="BI23">
            <v>14</v>
          </cell>
          <cell r="BJ23">
            <v>6.1</v>
          </cell>
          <cell r="BK23">
            <v>6.6</v>
          </cell>
          <cell r="BL23">
            <v>6.6</v>
          </cell>
          <cell r="BM23">
            <v>7.4</v>
          </cell>
          <cell r="BN23">
            <v>7.4</v>
          </cell>
          <cell r="BO23">
            <v>8.9</v>
          </cell>
          <cell r="BQ23">
            <v>14</v>
          </cell>
          <cell r="BR23">
            <v>7.9</v>
          </cell>
          <cell r="BS23">
            <v>11.5</v>
          </cell>
          <cell r="BT23">
            <v>7.9</v>
          </cell>
          <cell r="BU23">
            <v>7.9</v>
          </cell>
          <cell r="BV23">
            <v>9.8000000000000007</v>
          </cell>
          <cell r="BW23">
            <v>13.6</v>
          </cell>
          <cell r="BX23">
            <v>19.2</v>
          </cell>
          <cell r="BY23">
            <v>24.5</v>
          </cell>
          <cell r="BZ23">
            <v>29.3</v>
          </cell>
          <cell r="CA23">
            <v>33</v>
          </cell>
          <cell r="CB23">
            <v>40.6</v>
          </cell>
          <cell r="CD23">
            <v>14</v>
          </cell>
          <cell r="CE23">
            <v>13.6</v>
          </cell>
          <cell r="CF23">
            <v>17.5</v>
          </cell>
          <cell r="CG23">
            <v>13.6</v>
          </cell>
          <cell r="CH23">
            <v>13.6</v>
          </cell>
          <cell r="CI23">
            <v>15.1</v>
          </cell>
          <cell r="CJ23">
            <v>20.6</v>
          </cell>
          <cell r="CK23">
            <v>29.2</v>
          </cell>
          <cell r="CL23">
            <v>37.299999999999997</v>
          </cell>
          <cell r="CM23">
            <v>39.700000000000003</v>
          </cell>
          <cell r="CN23">
            <v>44.6</v>
          </cell>
          <cell r="CO23">
            <v>51.3</v>
          </cell>
          <cell r="CQ23">
            <v>14</v>
          </cell>
          <cell r="CR23">
            <v>10.5</v>
          </cell>
          <cell r="CS23">
            <v>15.4</v>
          </cell>
          <cell r="CT23">
            <v>10.5</v>
          </cell>
          <cell r="CU23">
            <v>10.5</v>
          </cell>
          <cell r="CV23">
            <v>13</v>
          </cell>
          <cell r="CW23">
            <v>18.100000000000001</v>
          </cell>
          <cell r="CX23">
            <v>25.5</v>
          </cell>
          <cell r="CY23">
            <v>32.5</v>
          </cell>
          <cell r="CZ23">
            <v>38.9</v>
          </cell>
          <cell r="DA23">
            <v>43.7</v>
          </cell>
          <cell r="DB23">
            <v>54.4</v>
          </cell>
          <cell r="DD23">
            <v>14</v>
          </cell>
          <cell r="DE23">
            <v>17.8</v>
          </cell>
          <cell r="DF23">
            <v>23.4</v>
          </cell>
          <cell r="DG23">
            <v>17.8</v>
          </cell>
          <cell r="DH23">
            <v>17.8</v>
          </cell>
          <cell r="DI23">
            <v>19.8</v>
          </cell>
          <cell r="DJ23">
            <v>27.6</v>
          </cell>
          <cell r="DK23">
            <v>38.9</v>
          </cell>
          <cell r="DL23">
            <v>44.6</v>
          </cell>
          <cell r="DM23">
            <v>52.7</v>
          </cell>
          <cell r="DN23">
            <v>59.7</v>
          </cell>
          <cell r="DO23">
            <v>68.8</v>
          </cell>
          <cell r="DQ23">
            <v>14</v>
          </cell>
          <cell r="DR23">
            <v>20.7</v>
          </cell>
          <cell r="DS23">
            <v>23</v>
          </cell>
          <cell r="DT23">
            <v>20.7</v>
          </cell>
          <cell r="DU23">
            <v>20.7</v>
          </cell>
          <cell r="DV23">
            <v>20.7</v>
          </cell>
          <cell r="DW23">
            <v>20.7</v>
          </cell>
          <cell r="DX23">
            <v>23</v>
          </cell>
          <cell r="DY23">
            <v>23</v>
          </cell>
          <cell r="DZ23">
            <v>23</v>
          </cell>
          <cell r="EA23">
            <v>51</v>
          </cell>
          <cell r="EB23">
            <v>51</v>
          </cell>
          <cell r="EC23">
            <v>51</v>
          </cell>
          <cell r="ET23">
            <v>14</v>
          </cell>
          <cell r="EU23">
            <v>1.75</v>
          </cell>
          <cell r="EV23">
            <v>2.2599999999999998</v>
          </cell>
          <cell r="EW23">
            <v>1.75</v>
          </cell>
          <cell r="EX23">
            <v>1.75</v>
          </cell>
          <cell r="EY23">
            <v>2.2599999999999998</v>
          </cell>
          <cell r="EZ23">
            <v>2.5</v>
          </cell>
          <cell r="FA23">
            <v>2.87</v>
          </cell>
          <cell r="FB23">
            <v>3.26</v>
          </cell>
          <cell r="FC23">
            <v>3.51</v>
          </cell>
        </row>
        <row r="24">
          <cell r="A24">
            <v>16</v>
          </cell>
          <cell r="B24">
            <v>0.13800000000000001</v>
          </cell>
          <cell r="C24">
            <v>0.186</v>
          </cell>
          <cell r="D24">
            <v>0.13800000000000001</v>
          </cell>
          <cell r="E24">
            <v>0.13800000000000001</v>
          </cell>
          <cell r="F24">
            <v>0.13800000000000001</v>
          </cell>
          <cell r="G24">
            <v>0.13800000000000001</v>
          </cell>
          <cell r="H24">
            <v>0.186</v>
          </cell>
          <cell r="I24">
            <v>0.186</v>
          </cell>
          <cell r="J24">
            <v>0.254</v>
          </cell>
          <cell r="K24">
            <v>0.254</v>
          </cell>
          <cell r="L24">
            <v>0.254</v>
          </cell>
          <cell r="M24">
            <v>0.254</v>
          </cell>
          <cell r="N24">
            <v>16</v>
          </cell>
          <cell r="O24">
            <v>4.2</v>
          </cell>
          <cell r="P24">
            <v>5.6</v>
          </cell>
          <cell r="Q24">
            <v>4.2</v>
          </cell>
          <cell r="R24">
            <v>4.2</v>
          </cell>
          <cell r="S24">
            <v>5.6</v>
          </cell>
          <cell r="T24">
            <v>7.1</v>
          </cell>
          <cell r="U24">
            <v>10.5</v>
          </cell>
          <cell r="V24">
            <v>14.3</v>
          </cell>
          <cell r="W24">
            <v>17.600000000000001</v>
          </cell>
          <cell r="X24">
            <v>21.1</v>
          </cell>
          <cell r="Y24">
            <v>23.5</v>
          </cell>
          <cell r="Z24">
            <v>23.5</v>
          </cell>
          <cell r="AA24">
            <v>16</v>
          </cell>
          <cell r="AB24">
            <v>0.95</v>
          </cell>
          <cell r="AC24">
            <v>1.4</v>
          </cell>
          <cell r="AD24">
            <v>0.95</v>
          </cell>
          <cell r="AE24">
            <v>0.95</v>
          </cell>
          <cell r="AF24">
            <v>1.4</v>
          </cell>
          <cell r="AG24">
            <v>1.55</v>
          </cell>
          <cell r="AH24">
            <v>1.65</v>
          </cell>
          <cell r="AI24">
            <v>1.85</v>
          </cell>
          <cell r="AJ24">
            <v>2</v>
          </cell>
          <cell r="AK24">
            <v>2.25</v>
          </cell>
          <cell r="AL24">
            <v>2.5499999999999998</v>
          </cell>
          <cell r="AM24">
            <v>2.5499999999999998</v>
          </cell>
          <cell r="AN24">
            <v>16</v>
          </cell>
          <cell r="AO24">
            <v>0.75</v>
          </cell>
          <cell r="AP24">
            <v>1.1000000000000001</v>
          </cell>
          <cell r="AQ24">
            <v>0.75</v>
          </cell>
          <cell r="AR24">
            <v>0.75</v>
          </cell>
          <cell r="AS24">
            <v>1.1000000000000001</v>
          </cell>
          <cell r="AT24">
            <v>1.22</v>
          </cell>
          <cell r="AU24">
            <v>1.35</v>
          </cell>
          <cell r="AV24">
            <v>1.48</v>
          </cell>
          <cell r="AW24">
            <v>1.61</v>
          </cell>
          <cell r="AX24">
            <v>1.74</v>
          </cell>
          <cell r="AY24">
            <v>1.87</v>
          </cell>
          <cell r="AZ24">
            <v>1.87</v>
          </cell>
          <cell r="BA24">
            <v>16</v>
          </cell>
          <cell r="BB24">
            <v>8.9</v>
          </cell>
          <cell r="BC24">
            <v>9.6</v>
          </cell>
          <cell r="BD24">
            <v>12.7</v>
          </cell>
          <cell r="BE24">
            <v>15.6</v>
          </cell>
          <cell r="BF24">
            <v>17</v>
          </cell>
          <cell r="BG24">
            <v>19</v>
          </cell>
          <cell r="BI24">
            <v>16</v>
          </cell>
          <cell r="BJ24">
            <v>7.1</v>
          </cell>
          <cell r="BK24">
            <v>7.7</v>
          </cell>
          <cell r="BL24">
            <v>7.7</v>
          </cell>
          <cell r="BM24">
            <v>8.6</v>
          </cell>
          <cell r="BN24">
            <v>8.6</v>
          </cell>
          <cell r="BO24">
            <v>11.3</v>
          </cell>
          <cell r="BQ24">
            <v>16</v>
          </cell>
          <cell r="BR24">
            <v>9</v>
          </cell>
          <cell r="BS24">
            <v>12.9</v>
          </cell>
          <cell r="BT24">
            <v>9</v>
          </cell>
          <cell r="BU24">
            <v>9</v>
          </cell>
          <cell r="BV24">
            <v>12.9</v>
          </cell>
          <cell r="BW24">
            <v>17.100000000000001</v>
          </cell>
          <cell r="BX24">
            <v>22.7</v>
          </cell>
          <cell r="BY24">
            <v>30.9</v>
          </cell>
          <cell r="BZ24">
            <v>35.1</v>
          </cell>
          <cell r="CA24">
            <v>38.799999999999997</v>
          </cell>
          <cell r="CB24">
            <v>46.9</v>
          </cell>
          <cell r="CD24">
            <v>16</v>
          </cell>
          <cell r="CE24">
            <v>15.2</v>
          </cell>
          <cell r="CF24">
            <v>19.7</v>
          </cell>
          <cell r="CG24">
            <v>15.2</v>
          </cell>
          <cell r="CH24">
            <v>15.2</v>
          </cell>
          <cell r="CI24">
            <v>19.3</v>
          </cell>
          <cell r="CJ24">
            <v>25.5</v>
          </cell>
          <cell r="CK24">
            <v>34</v>
          </cell>
          <cell r="CL24">
            <v>46.4</v>
          </cell>
          <cell r="CM24">
            <v>48.7</v>
          </cell>
          <cell r="CN24">
            <v>51.4</v>
          </cell>
          <cell r="CO24">
            <v>59.3</v>
          </cell>
          <cell r="CQ24">
            <v>16</v>
          </cell>
          <cell r="CR24">
            <v>12</v>
          </cell>
          <cell r="CS24">
            <v>17.100000000000001</v>
          </cell>
          <cell r="CT24">
            <v>12</v>
          </cell>
          <cell r="CU24">
            <v>12</v>
          </cell>
          <cell r="CV24">
            <v>17.100000000000001</v>
          </cell>
          <cell r="CW24">
            <v>22.7</v>
          </cell>
          <cell r="CX24">
            <v>29.9</v>
          </cell>
          <cell r="CY24">
            <v>41.3</v>
          </cell>
          <cell r="CZ24">
            <v>46.4</v>
          </cell>
          <cell r="DA24">
            <v>51.8</v>
          </cell>
          <cell r="DB24">
            <v>62.8</v>
          </cell>
          <cell r="DD24">
            <v>16</v>
          </cell>
          <cell r="DE24">
            <v>20.100000000000001</v>
          </cell>
          <cell r="DF24">
            <v>25.6</v>
          </cell>
          <cell r="DG24">
            <v>20.100000000000001</v>
          </cell>
          <cell r="DH24">
            <v>20.100000000000001</v>
          </cell>
          <cell r="DI24">
            <v>25.6</v>
          </cell>
          <cell r="DJ24">
            <v>34</v>
          </cell>
          <cell r="DK24">
            <v>44.8</v>
          </cell>
          <cell r="DL24">
            <v>55.7</v>
          </cell>
          <cell r="DM24">
            <v>70</v>
          </cell>
          <cell r="DN24">
            <v>71.8</v>
          </cell>
          <cell r="DO24">
            <v>79.5</v>
          </cell>
          <cell r="DQ24">
            <v>16</v>
          </cell>
          <cell r="DR24">
            <v>24.7</v>
          </cell>
          <cell r="DS24">
            <v>26.4</v>
          </cell>
          <cell r="DT24">
            <v>24.7</v>
          </cell>
          <cell r="DU24">
            <v>24.7</v>
          </cell>
          <cell r="DV24">
            <v>24.7</v>
          </cell>
          <cell r="DW24">
            <v>24.7</v>
          </cell>
          <cell r="DX24">
            <v>26.4</v>
          </cell>
          <cell r="DY24">
            <v>26.4</v>
          </cell>
          <cell r="DZ24">
            <v>26.4</v>
          </cell>
          <cell r="EA24">
            <v>66.3</v>
          </cell>
          <cell r="EB24">
            <v>66.3</v>
          </cell>
          <cell r="EC24">
            <v>66.3</v>
          </cell>
          <cell r="ET24">
            <v>16</v>
          </cell>
          <cell r="EU24">
            <v>2.0099999999999998</v>
          </cell>
          <cell r="EV24">
            <v>2.92</v>
          </cell>
          <cell r="EW24">
            <v>2.0099999999999998</v>
          </cell>
          <cell r="EX24">
            <v>2.0099999999999998</v>
          </cell>
          <cell r="EY24">
            <v>2.92</v>
          </cell>
          <cell r="EZ24">
            <v>3.14</v>
          </cell>
          <cell r="FA24">
            <v>3.51</v>
          </cell>
          <cell r="FB24">
            <v>3.71</v>
          </cell>
          <cell r="FC24">
            <v>4.13</v>
          </cell>
        </row>
        <row r="25">
          <cell r="A25">
            <v>18</v>
          </cell>
          <cell r="B25">
            <v>0.161</v>
          </cell>
          <cell r="C25">
            <v>0.214</v>
          </cell>
          <cell r="D25">
            <v>0.161</v>
          </cell>
          <cell r="E25">
            <v>0.161</v>
          </cell>
          <cell r="F25">
            <v>0.161</v>
          </cell>
          <cell r="G25">
            <v>0.161</v>
          </cell>
          <cell r="H25">
            <v>0.214</v>
          </cell>
          <cell r="I25">
            <v>0.214</v>
          </cell>
          <cell r="J25">
            <v>0.29099999999999998</v>
          </cell>
          <cell r="K25">
            <v>0.29099999999999998</v>
          </cell>
          <cell r="L25">
            <v>0.29099999999999998</v>
          </cell>
          <cell r="M25">
            <v>0.29099999999999998</v>
          </cell>
          <cell r="N25">
            <v>18</v>
          </cell>
          <cell r="O25">
            <v>4.9000000000000004</v>
          </cell>
          <cell r="P25">
            <v>6.5</v>
          </cell>
          <cell r="Q25">
            <v>4.9000000000000004</v>
          </cell>
          <cell r="R25">
            <v>5.7</v>
          </cell>
          <cell r="S25">
            <v>7.3</v>
          </cell>
          <cell r="T25">
            <v>9.5</v>
          </cell>
          <cell r="U25">
            <v>13.9</v>
          </cell>
          <cell r="V25">
            <v>18.5</v>
          </cell>
          <cell r="W25">
            <v>21.7</v>
          </cell>
          <cell r="X25">
            <v>25.4</v>
          </cell>
          <cell r="Y25">
            <v>28.6</v>
          </cell>
          <cell r="Z25">
            <v>28.6</v>
          </cell>
          <cell r="AA25">
            <v>18</v>
          </cell>
          <cell r="AB25">
            <v>1.2</v>
          </cell>
          <cell r="AC25">
            <v>1.7</v>
          </cell>
          <cell r="AD25">
            <v>1.2</v>
          </cell>
          <cell r="AE25">
            <v>1.4</v>
          </cell>
          <cell r="AF25">
            <v>1.7</v>
          </cell>
          <cell r="AG25">
            <v>1.9</v>
          </cell>
          <cell r="AH25">
            <v>2</v>
          </cell>
          <cell r="AI25">
            <v>2.25</v>
          </cell>
          <cell r="AJ25">
            <v>2.4</v>
          </cell>
          <cell r="AK25">
            <v>2.7</v>
          </cell>
          <cell r="AL25">
            <v>3.15</v>
          </cell>
          <cell r="AM25">
            <v>3.15</v>
          </cell>
          <cell r="AN25">
            <v>18</v>
          </cell>
          <cell r="AO25">
            <v>0.94</v>
          </cell>
          <cell r="AP25">
            <v>1.34</v>
          </cell>
          <cell r="AQ25">
            <v>0.94</v>
          </cell>
          <cell r="AR25">
            <v>1.1000000000000001</v>
          </cell>
          <cell r="AS25">
            <v>1.34</v>
          </cell>
          <cell r="AT25">
            <v>1.5</v>
          </cell>
          <cell r="AU25">
            <v>1.66</v>
          </cell>
          <cell r="AV25">
            <v>1.82</v>
          </cell>
          <cell r="AW25">
            <v>1.98</v>
          </cell>
          <cell r="AX25">
            <v>2.14</v>
          </cell>
          <cell r="AY25">
            <v>2.2999999999999998</v>
          </cell>
          <cell r="AZ25">
            <v>2.2999999999999998</v>
          </cell>
          <cell r="BA25">
            <v>18</v>
          </cell>
          <cell r="BB25">
            <v>10.3</v>
          </cell>
          <cell r="BC25">
            <v>11.4</v>
          </cell>
          <cell r="BD25">
            <v>14.8</v>
          </cell>
          <cell r="BE25">
            <v>17.899999999999999</v>
          </cell>
          <cell r="BF25">
            <v>20.100000000000001</v>
          </cell>
          <cell r="BG25">
            <v>22.5</v>
          </cell>
          <cell r="BI25">
            <v>18</v>
          </cell>
          <cell r="BJ25">
            <v>8.3000000000000007</v>
          </cell>
          <cell r="BK25">
            <v>8.9</v>
          </cell>
          <cell r="BL25">
            <v>8.9</v>
          </cell>
          <cell r="BM25">
            <v>10.1</v>
          </cell>
          <cell r="BN25">
            <v>10.1</v>
          </cell>
          <cell r="BO25">
            <v>12</v>
          </cell>
          <cell r="BQ25">
            <v>18</v>
          </cell>
          <cell r="BR25">
            <v>9.8000000000000007</v>
          </cell>
          <cell r="BS25">
            <v>13.8</v>
          </cell>
          <cell r="BT25">
            <v>9.8000000000000007</v>
          </cell>
          <cell r="BU25">
            <v>12.8</v>
          </cell>
          <cell r="BV25">
            <v>16.2</v>
          </cell>
          <cell r="BW25">
            <v>21.6</v>
          </cell>
          <cell r="BX25">
            <v>25.5</v>
          </cell>
          <cell r="BY25">
            <v>37.4</v>
          </cell>
          <cell r="BZ25">
            <v>41.5</v>
          </cell>
          <cell r="CA25">
            <v>45</v>
          </cell>
          <cell r="CB25">
            <v>58.7</v>
          </cell>
          <cell r="CD25">
            <v>18</v>
          </cell>
          <cell r="CE25">
            <v>16.2</v>
          </cell>
          <cell r="CF25">
            <v>20.2</v>
          </cell>
          <cell r="CG25">
            <v>16.2</v>
          </cell>
          <cell r="CH25">
            <v>18.7</v>
          </cell>
          <cell r="CI25">
            <v>23.7</v>
          </cell>
          <cell r="CJ25">
            <v>31.7</v>
          </cell>
          <cell r="CK25">
            <v>38.1</v>
          </cell>
          <cell r="CL25">
            <v>50.4</v>
          </cell>
          <cell r="CM25">
            <v>52.44</v>
          </cell>
          <cell r="CN25">
            <v>55.4</v>
          </cell>
          <cell r="CO25">
            <v>74.2</v>
          </cell>
          <cell r="CQ25">
            <v>18</v>
          </cell>
          <cell r="CR25">
            <v>13.1</v>
          </cell>
          <cell r="CS25">
            <v>18.3</v>
          </cell>
          <cell r="CT25">
            <v>13.1</v>
          </cell>
          <cell r="CU25">
            <v>17</v>
          </cell>
          <cell r="CV25">
            <v>21.6</v>
          </cell>
          <cell r="CW25">
            <v>29.1</v>
          </cell>
          <cell r="CX25">
            <v>34.4</v>
          </cell>
          <cell r="CY25">
            <v>50.1</v>
          </cell>
          <cell r="CZ25">
            <v>55.6</v>
          </cell>
          <cell r="DA25">
            <v>60.1</v>
          </cell>
          <cell r="DB25">
            <v>78.599999999999994</v>
          </cell>
          <cell r="DD25">
            <v>18</v>
          </cell>
          <cell r="DE25">
            <v>21.6</v>
          </cell>
          <cell r="DF25">
            <v>26.8</v>
          </cell>
          <cell r="DG25">
            <v>21.6</v>
          </cell>
          <cell r="DH25">
            <v>24.9</v>
          </cell>
          <cell r="DI25">
            <v>31.7</v>
          </cell>
          <cell r="DJ25">
            <v>42.5</v>
          </cell>
          <cell r="DK25">
            <v>50.4</v>
          </cell>
          <cell r="DL25">
            <v>67.599999999999994</v>
          </cell>
          <cell r="DM25">
            <v>70.3</v>
          </cell>
          <cell r="DN25">
            <v>74.099999999999994</v>
          </cell>
          <cell r="DO25">
            <v>99.5</v>
          </cell>
          <cell r="DQ25">
            <v>18</v>
          </cell>
          <cell r="DR25">
            <v>29.3</v>
          </cell>
          <cell r="DS25">
            <v>32.1</v>
          </cell>
          <cell r="DT25">
            <v>29.3</v>
          </cell>
          <cell r="DU25">
            <v>29.3</v>
          </cell>
          <cell r="DV25">
            <v>29.3</v>
          </cell>
          <cell r="DW25">
            <v>29.3</v>
          </cell>
          <cell r="DX25">
            <v>32.1</v>
          </cell>
          <cell r="DY25">
            <v>32.1</v>
          </cell>
          <cell r="DZ25">
            <v>32.1</v>
          </cell>
          <cell r="EA25">
            <v>85.2</v>
          </cell>
          <cell r="EB25">
            <v>85.2</v>
          </cell>
          <cell r="EC25">
            <v>85.2</v>
          </cell>
          <cell r="ET25">
            <v>18</v>
          </cell>
          <cell r="EU25">
            <v>2.5</v>
          </cell>
          <cell r="EV25">
            <v>3.51</v>
          </cell>
          <cell r="EW25">
            <v>2.5</v>
          </cell>
          <cell r="EX25">
            <v>3.09</v>
          </cell>
          <cell r="EY25">
            <v>3.51</v>
          </cell>
          <cell r="EZ25">
            <v>3.71</v>
          </cell>
          <cell r="FA25">
            <v>4.13</v>
          </cell>
          <cell r="FB25">
            <v>4.59</v>
          </cell>
        </row>
        <row r="26">
          <cell r="A26">
            <v>20</v>
          </cell>
          <cell r="B26">
            <v>0.189</v>
          </cell>
          <cell r="C26">
            <v>0.24099999999999999</v>
          </cell>
          <cell r="D26">
            <v>0.189</v>
          </cell>
          <cell r="E26">
            <v>0.189</v>
          </cell>
          <cell r="F26">
            <v>0.189</v>
          </cell>
          <cell r="G26">
            <v>0.189</v>
          </cell>
          <cell r="H26">
            <v>0.24099999999999999</v>
          </cell>
          <cell r="I26">
            <v>0.24099999999999999</v>
          </cell>
          <cell r="J26">
            <v>0.32900000000000001</v>
          </cell>
          <cell r="K26">
            <v>0.32900000000000001</v>
          </cell>
          <cell r="L26">
            <v>0.32900000000000001</v>
          </cell>
          <cell r="M26">
            <v>0.32900000000000001</v>
          </cell>
          <cell r="N26">
            <v>20</v>
          </cell>
          <cell r="O26">
            <v>5.3</v>
          </cell>
          <cell r="P26">
            <v>7.1</v>
          </cell>
          <cell r="Q26">
            <v>5.3</v>
          </cell>
          <cell r="R26">
            <v>7.1</v>
          </cell>
          <cell r="S26">
            <v>7.9</v>
          </cell>
          <cell r="T26">
            <v>11.7</v>
          </cell>
          <cell r="U26">
            <v>16.5</v>
          </cell>
          <cell r="V26">
            <v>22.1</v>
          </cell>
          <cell r="W26">
            <v>27</v>
          </cell>
          <cell r="X26">
            <v>31.3</v>
          </cell>
          <cell r="Y26">
            <v>34.6</v>
          </cell>
          <cell r="Z26">
            <v>34.6</v>
          </cell>
          <cell r="AA26">
            <v>20</v>
          </cell>
          <cell r="AB26">
            <v>1.45</v>
          </cell>
          <cell r="AC26">
            <v>1.9</v>
          </cell>
          <cell r="AD26">
            <v>1.45</v>
          </cell>
          <cell r="AE26">
            <v>1.95</v>
          </cell>
          <cell r="AF26">
            <v>2.1</v>
          </cell>
          <cell r="AG26">
            <v>2.25</v>
          </cell>
          <cell r="AH26">
            <v>2.4</v>
          </cell>
          <cell r="AI26">
            <v>2.65</v>
          </cell>
          <cell r="AJ26">
            <v>2.8</v>
          </cell>
          <cell r="AK26">
            <v>3.25</v>
          </cell>
          <cell r="AL26">
            <v>3.7</v>
          </cell>
          <cell r="AM26">
            <v>3.7</v>
          </cell>
          <cell r="AN26">
            <v>20</v>
          </cell>
          <cell r="AO26">
            <v>1.1399999999999999</v>
          </cell>
          <cell r="AP26">
            <v>1.5</v>
          </cell>
          <cell r="AQ26">
            <v>1.1399999999999999</v>
          </cell>
          <cell r="AR26">
            <v>1.54</v>
          </cell>
          <cell r="AS26">
            <v>1.65</v>
          </cell>
          <cell r="AT26">
            <v>1.82</v>
          </cell>
          <cell r="AU26">
            <v>1.99</v>
          </cell>
          <cell r="AV26">
            <v>2.16</v>
          </cell>
          <cell r="AW26">
            <v>2.33</v>
          </cell>
          <cell r="AX26">
            <v>2.5</v>
          </cell>
          <cell r="AY26">
            <v>2.67</v>
          </cell>
          <cell r="AZ26">
            <v>2.67</v>
          </cell>
          <cell r="BA26">
            <v>20</v>
          </cell>
          <cell r="BB26">
            <v>12.4</v>
          </cell>
          <cell r="BC26">
            <v>13.6</v>
          </cell>
          <cell r="BD26">
            <v>17.899999999999999</v>
          </cell>
          <cell r="BE26">
            <v>20.100000000000001</v>
          </cell>
          <cell r="BF26">
            <v>23.3</v>
          </cell>
          <cell r="BG26">
            <v>26.1</v>
          </cell>
          <cell r="BI26">
            <v>20</v>
          </cell>
          <cell r="BJ26">
            <v>9.1</v>
          </cell>
          <cell r="BK26">
            <v>9.9</v>
          </cell>
          <cell r="BL26">
            <v>9.9</v>
          </cell>
          <cell r="BM26">
            <v>11.2</v>
          </cell>
          <cell r="BN26">
            <v>11.2</v>
          </cell>
          <cell r="BO26">
            <v>14.3</v>
          </cell>
          <cell r="BQ26">
            <v>20</v>
          </cell>
          <cell r="BR26">
            <v>11</v>
          </cell>
          <cell r="BS26">
            <v>15.5</v>
          </cell>
          <cell r="BT26">
            <v>11</v>
          </cell>
          <cell r="BU26">
            <v>15.5</v>
          </cell>
          <cell r="BV26">
            <v>18.899999999999999</v>
          </cell>
          <cell r="BW26">
            <v>27.6</v>
          </cell>
          <cell r="BX26">
            <v>30</v>
          </cell>
          <cell r="BY26">
            <v>43.3</v>
          </cell>
          <cell r="BZ26">
            <v>47.3</v>
          </cell>
          <cell r="CA26">
            <v>51.6</v>
          </cell>
          <cell r="CB26">
            <v>65.900000000000006</v>
          </cell>
          <cell r="CD26">
            <v>20</v>
          </cell>
          <cell r="CE26">
            <v>17.899999999999999</v>
          </cell>
          <cell r="CF26">
            <v>22.5</v>
          </cell>
          <cell r="CG26">
            <v>17.899999999999999</v>
          </cell>
          <cell r="CH26">
            <v>22.4</v>
          </cell>
          <cell r="CI26">
            <v>27.4</v>
          </cell>
          <cell r="CJ26">
            <v>40</v>
          </cell>
          <cell r="CK26">
            <v>47</v>
          </cell>
          <cell r="CL26">
            <v>54</v>
          </cell>
          <cell r="CM26">
            <v>62.5</v>
          </cell>
          <cell r="CN26">
            <v>71.8</v>
          </cell>
          <cell r="CO26">
            <v>83.3</v>
          </cell>
          <cell r="CQ26">
            <v>20</v>
          </cell>
          <cell r="CR26">
            <v>14.5</v>
          </cell>
          <cell r="CS26">
            <v>20.100000000000001</v>
          </cell>
          <cell r="CT26">
            <v>14.5</v>
          </cell>
          <cell r="CU26">
            <v>20.100000000000001</v>
          </cell>
          <cell r="CV26">
            <v>25.1</v>
          </cell>
          <cell r="CW26">
            <v>36.700000000000003</v>
          </cell>
          <cell r="CX26">
            <v>39.700000000000003</v>
          </cell>
          <cell r="CY26">
            <v>57.9</v>
          </cell>
          <cell r="CZ26">
            <v>63.4</v>
          </cell>
          <cell r="DA26">
            <v>70</v>
          </cell>
          <cell r="DB26">
            <v>88.3</v>
          </cell>
          <cell r="DD26">
            <v>20</v>
          </cell>
          <cell r="DE26">
            <v>23.9</v>
          </cell>
          <cell r="DF26">
            <v>30.2</v>
          </cell>
          <cell r="DG26">
            <v>23.9</v>
          </cell>
          <cell r="DH26">
            <v>30.2</v>
          </cell>
          <cell r="DI26">
            <v>36.9</v>
          </cell>
          <cell r="DJ26">
            <v>53.3</v>
          </cell>
          <cell r="DK26">
            <v>60.4</v>
          </cell>
          <cell r="DL26">
            <v>72.5</v>
          </cell>
          <cell r="DM26">
            <v>83.9</v>
          </cell>
          <cell r="DN26">
            <v>96</v>
          </cell>
          <cell r="DO26">
            <v>1111.8</v>
          </cell>
          <cell r="DQ26">
            <v>20</v>
          </cell>
          <cell r="DR26">
            <v>35.6</v>
          </cell>
          <cell r="DS26">
            <v>39</v>
          </cell>
          <cell r="DT26">
            <v>35.6</v>
          </cell>
          <cell r="DU26">
            <v>35.6</v>
          </cell>
          <cell r="DV26">
            <v>35.6</v>
          </cell>
          <cell r="DW26">
            <v>35.6</v>
          </cell>
          <cell r="DX26">
            <v>39</v>
          </cell>
          <cell r="DY26">
            <v>39</v>
          </cell>
          <cell r="DZ26">
            <v>39</v>
          </cell>
          <cell r="EA26">
            <v>94.6</v>
          </cell>
          <cell r="EB26">
            <v>94.6</v>
          </cell>
          <cell r="EC26">
            <v>94.6</v>
          </cell>
          <cell r="ET26">
            <v>20</v>
          </cell>
          <cell r="EU26">
            <v>3</v>
          </cell>
          <cell r="EV26">
            <v>4</v>
          </cell>
          <cell r="EW26">
            <v>3</v>
          </cell>
          <cell r="EX26">
            <v>4</v>
          </cell>
          <cell r="EY26">
            <v>4.8099999999999996</v>
          </cell>
          <cell r="EZ26">
            <v>5.22</v>
          </cell>
          <cell r="FA26">
            <v>5.5</v>
          </cell>
        </row>
        <row r="27">
          <cell r="A27">
            <v>24</v>
          </cell>
          <cell r="B27">
            <v>0.21</v>
          </cell>
          <cell r="C27">
            <v>0.27300000000000002</v>
          </cell>
          <cell r="D27">
            <v>0.21</v>
          </cell>
          <cell r="E27">
            <v>0.21</v>
          </cell>
          <cell r="F27">
            <v>0.21</v>
          </cell>
          <cell r="G27">
            <v>0.21</v>
          </cell>
          <cell r="H27">
            <v>0.27300000000000002</v>
          </cell>
          <cell r="I27">
            <v>0.27300000000000002</v>
          </cell>
          <cell r="J27">
            <v>0.37</v>
          </cell>
          <cell r="K27">
            <v>0.37</v>
          </cell>
          <cell r="L27">
            <v>0.37</v>
          </cell>
          <cell r="M27">
            <v>0.37</v>
          </cell>
          <cell r="N27">
            <v>24</v>
          </cell>
          <cell r="O27">
            <v>5.9</v>
          </cell>
          <cell r="P27">
            <v>8.5</v>
          </cell>
          <cell r="Q27">
            <v>5.9</v>
          </cell>
          <cell r="R27">
            <v>10.5</v>
          </cell>
          <cell r="S27">
            <v>11.2</v>
          </cell>
          <cell r="T27">
            <v>17</v>
          </cell>
          <cell r="U27">
            <v>26.3</v>
          </cell>
          <cell r="V27">
            <v>30.4</v>
          </cell>
          <cell r="W27">
            <v>36.9</v>
          </cell>
          <cell r="X27">
            <v>41.8</v>
          </cell>
          <cell r="Y27">
            <v>50.2</v>
          </cell>
          <cell r="Z27">
            <v>50.2</v>
          </cell>
          <cell r="AA27">
            <v>24</v>
          </cell>
          <cell r="AB27">
            <v>2.2000000000000002</v>
          </cell>
          <cell r="AC27">
            <v>2.8</v>
          </cell>
          <cell r="AD27">
            <v>2.2000000000000002</v>
          </cell>
          <cell r="AE27">
            <v>2.95</v>
          </cell>
          <cell r="AF27">
            <v>3.1</v>
          </cell>
          <cell r="AG27">
            <v>3.25</v>
          </cell>
          <cell r="AH27">
            <v>3.35</v>
          </cell>
          <cell r="AI27">
            <v>3.65</v>
          </cell>
          <cell r="AJ27">
            <v>4.05</v>
          </cell>
          <cell r="AK27">
            <v>4.55</v>
          </cell>
          <cell r="AL27">
            <v>5.15</v>
          </cell>
          <cell r="AM27">
            <v>5.15</v>
          </cell>
          <cell r="AN27">
            <v>24</v>
          </cell>
          <cell r="AO27">
            <v>1.73</v>
          </cell>
          <cell r="AP27">
            <v>2.2000000000000002</v>
          </cell>
          <cell r="AQ27">
            <v>1.73</v>
          </cell>
          <cell r="AR27">
            <v>2.3199999999999998</v>
          </cell>
          <cell r="AS27">
            <v>2.44</v>
          </cell>
          <cell r="AT27">
            <v>2.68</v>
          </cell>
          <cell r="AU27">
            <v>2.92</v>
          </cell>
          <cell r="AV27">
            <v>3.16</v>
          </cell>
          <cell r="AW27">
            <v>3.4</v>
          </cell>
          <cell r="AX27">
            <v>3.64</v>
          </cell>
          <cell r="AY27">
            <v>3.88</v>
          </cell>
          <cell r="AZ27">
            <v>3.88</v>
          </cell>
          <cell r="BA27">
            <v>24</v>
          </cell>
          <cell r="BB27">
            <v>15.5</v>
          </cell>
          <cell r="BC27">
            <v>17</v>
          </cell>
          <cell r="BD27">
            <v>21.7</v>
          </cell>
          <cell r="BE27">
            <v>26.4</v>
          </cell>
          <cell r="BF27">
            <v>29.5</v>
          </cell>
          <cell r="BG27">
            <v>33</v>
          </cell>
          <cell r="BI27">
            <v>24</v>
          </cell>
          <cell r="BJ27">
            <v>10.199999999999999</v>
          </cell>
          <cell r="BK27">
            <v>11.1</v>
          </cell>
          <cell r="BL27">
            <v>11.1</v>
          </cell>
          <cell r="BM27">
            <v>12.7</v>
          </cell>
          <cell r="BN27">
            <v>12.7</v>
          </cell>
          <cell r="BO27">
            <v>16.3</v>
          </cell>
          <cell r="BQ27">
            <v>24</v>
          </cell>
          <cell r="BR27">
            <v>12</v>
          </cell>
          <cell r="BS27">
            <v>16.8</v>
          </cell>
          <cell r="BT27">
            <v>12</v>
          </cell>
          <cell r="BU27">
            <v>18</v>
          </cell>
          <cell r="BV27">
            <v>23.5</v>
          </cell>
          <cell r="BW27">
            <v>35.299999999999997</v>
          </cell>
          <cell r="BX27">
            <v>39</v>
          </cell>
          <cell r="BY27">
            <v>55</v>
          </cell>
          <cell r="BZ27">
            <v>59</v>
          </cell>
          <cell r="CA27">
            <v>66</v>
          </cell>
          <cell r="CB27">
            <v>77.099999999999994</v>
          </cell>
          <cell r="CD27">
            <v>24</v>
          </cell>
          <cell r="CE27">
            <v>18.899999999999999</v>
          </cell>
          <cell r="CF27">
            <v>23.5</v>
          </cell>
          <cell r="CG27">
            <v>18.899999999999999</v>
          </cell>
          <cell r="CH27">
            <v>25.7</v>
          </cell>
          <cell r="CI27">
            <v>30.9</v>
          </cell>
          <cell r="CJ27">
            <v>44.5</v>
          </cell>
          <cell r="CK27">
            <v>50.4</v>
          </cell>
          <cell r="CL27">
            <v>61.3</v>
          </cell>
          <cell r="CM27">
            <v>72.599999999999994</v>
          </cell>
          <cell r="CN27">
            <v>84</v>
          </cell>
          <cell r="CO27">
            <v>97.4</v>
          </cell>
          <cell r="CQ27">
            <v>24</v>
          </cell>
          <cell r="CR27">
            <v>15.9</v>
          </cell>
          <cell r="CS27">
            <v>22.5</v>
          </cell>
          <cell r="CT27">
            <v>15.9</v>
          </cell>
          <cell r="CU27">
            <v>28.2</v>
          </cell>
          <cell r="CV27">
            <v>30.1</v>
          </cell>
          <cell r="CW27">
            <v>46.8</v>
          </cell>
          <cell r="CX27">
            <v>47.5</v>
          </cell>
          <cell r="CY27">
            <v>73.599999999999994</v>
          </cell>
          <cell r="CZ27">
            <v>79.099999999999994</v>
          </cell>
          <cell r="DA27">
            <v>89.6</v>
          </cell>
          <cell r="DB27">
            <v>103.3</v>
          </cell>
          <cell r="DD27">
            <v>24</v>
          </cell>
          <cell r="DE27">
            <v>25</v>
          </cell>
          <cell r="DF27">
            <v>32.5</v>
          </cell>
          <cell r="DG27">
            <v>25</v>
          </cell>
          <cell r="DH27">
            <v>32.799999999999997</v>
          </cell>
          <cell r="DI27">
            <v>43.3</v>
          </cell>
          <cell r="DJ27">
            <v>60.5</v>
          </cell>
          <cell r="DK27">
            <v>65.099999999999994</v>
          </cell>
          <cell r="DL27">
            <v>82.3</v>
          </cell>
          <cell r="DM27">
            <v>97.4</v>
          </cell>
          <cell r="DN27">
            <v>112.3</v>
          </cell>
          <cell r="DO27">
            <v>130.6</v>
          </cell>
          <cell r="DQ27">
            <v>24</v>
          </cell>
          <cell r="DR27">
            <v>54.5</v>
          </cell>
          <cell r="DS27">
            <v>63.7</v>
          </cell>
          <cell r="DT27">
            <v>54.5</v>
          </cell>
          <cell r="DU27">
            <v>54.5</v>
          </cell>
          <cell r="DV27">
            <v>54.5</v>
          </cell>
          <cell r="DW27">
            <v>54.5</v>
          </cell>
          <cell r="DX27">
            <v>63.7</v>
          </cell>
          <cell r="DY27">
            <v>63.7</v>
          </cell>
          <cell r="DZ27">
            <v>63.7</v>
          </cell>
          <cell r="EA27">
            <v>113.5</v>
          </cell>
          <cell r="EB27">
            <v>113.5</v>
          </cell>
          <cell r="EC27">
            <v>113.5</v>
          </cell>
          <cell r="ET27">
            <v>24</v>
          </cell>
          <cell r="EU27">
            <v>4.3899999999999997</v>
          </cell>
          <cell r="EV27">
            <v>5.84</v>
          </cell>
          <cell r="EW27">
            <v>4.3899999999999997</v>
          </cell>
          <cell r="EX27">
            <v>6.13</v>
          </cell>
          <cell r="EY27">
            <v>6.5</v>
          </cell>
          <cell r="EZ27">
            <v>6.72</v>
          </cell>
          <cell r="FA27">
            <v>7.09</v>
          </cell>
        </row>
      </sheetData>
      <sheetData sheetId="1" refreshError="1">
        <row r="7">
          <cell r="A7" t="str">
            <v>Pipe Size</v>
          </cell>
          <cell r="B7" t="str">
            <v>STD</v>
          </cell>
          <cell r="C7" t="str">
            <v>XS</v>
          </cell>
          <cell r="D7">
            <v>20</v>
          </cell>
          <cell r="E7">
            <v>30</v>
          </cell>
          <cell r="F7">
            <v>40</v>
          </cell>
          <cell r="G7">
            <v>60</v>
          </cell>
          <cell r="H7">
            <v>80</v>
          </cell>
          <cell r="I7">
            <v>100</v>
          </cell>
          <cell r="J7">
            <v>120</v>
          </cell>
          <cell r="K7">
            <v>140</v>
          </cell>
          <cell r="L7">
            <v>160</v>
          </cell>
          <cell r="M7" t="str">
            <v>XXS</v>
          </cell>
          <cell r="N7" t="str">
            <v>Pipe Size</v>
          </cell>
          <cell r="O7" t="str">
            <v>STD</v>
          </cell>
          <cell r="P7" t="str">
            <v>XS</v>
          </cell>
          <cell r="Q7">
            <v>20</v>
          </cell>
          <cell r="R7">
            <v>30</v>
          </cell>
          <cell r="S7">
            <v>40</v>
          </cell>
          <cell r="T7">
            <v>60</v>
          </cell>
          <cell r="U7">
            <v>80</v>
          </cell>
          <cell r="V7">
            <v>100</v>
          </cell>
          <cell r="W7">
            <v>120</v>
          </cell>
          <cell r="X7">
            <v>140</v>
          </cell>
          <cell r="Y7">
            <v>160</v>
          </cell>
          <cell r="Z7" t="str">
            <v>XXS</v>
          </cell>
          <cell r="AA7" t="str">
            <v>Pipe Size</v>
          </cell>
          <cell r="AB7" t="str">
            <v>STD</v>
          </cell>
          <cell r="AC7" t="str">
            <v>XS</v>
          </cell>
          <cell r="AD7">
            <v>20</v>
          </cell>
          <cell r="AE7">
            <v>30</v>
          </cell>
          <cell r="AF7">
            <v>40</v>
          </cell>
          <cell r="AG7">
            <v>60</v>
          </cell>
          <cell r="AH7">
            <v>80</v>
          </cell>
          <cell r="AI7">
            <v>100</v>
          </cell>
          <cell r="AJ7">
            <v>120</v>
          </cell>
          <cell r="AK7">
            <v>140</v>
          </cell>
          <cell r="AL7">
            <v>160</v>
          </cell>
          <cell r="AM7" t="str">
            <v>XXS</v>
          </cell>
          <cell r="AN7" t="str">
            <v>Pipe Size</v>
          </cell>
          <cell r="AO7" t="str">
            <v>STD</v>
          </cell>
          <cell r="AP7" t="str">
            <v>XS</v>
          </cell>
          <cell r="AQ7">
            <v>20</v>
          </cell>
          <cell r="AR7">
            <v>30</v>
          </cell>
          <cell r="AS7">
            <v>40</v>
          </cell>
          <cell r="AT7">
            <v>60</v>
          </cell>
          <cell r="AU7">
            <v>80</v>
          </cell>
          <cell r="AV7">
            <v>100</v>
          </cell>
          <cell r="AW7">
            <v>120</v>
          </cell>
          <cell r="AX7">
            <v>140</v>
          </cell>
          <cell r="AY7">
            <v>160</v>
          </cell>
          <cell r="AZ7" t="str">
            <v>XXS</v>
          </cell>
          <cell r="BA7" t="str">
            <v>Pipe Size</v>
          </cell>
          <cell r="BB7" t="str">
            <v>STD</v>
          </cell>
          <cell r="BC7" t="str">
            <v>XS</v>
          </cell>
          <cell r="BD7">
            <v>20</v>
          </cell>
          <cell r="BE7">
            <v>30</v>
          </cell>
          <cell r="BF7">
            <v>40</v>
          </cell>
          <cell r="BG7">
            <v>60</v>
          </cell>
          <cell r="BH7">
            <v>80</v>
          </cell>
          <cell r="BI7">
            <v>100</v>
          </cell>
          <cell r="BJ7">
            <v>120</v>
          </cell>
          <cell r="BK7">
            <v>140</v>
          </cell>
          <cell r="BL7">
            <v>160</v>
          </cell>
          <cell r="BM7" t="str">
            <v>XXS</v>
          </cell>
          <cell r="BN7" t="str">
            <v>Pipe Size</v>
          </cell>
          <cell r="BO7">
            <v>150</v>
          </cell>
          <cell r="BP7">
            <v>300</v>
          </cell>
          <cell r="BQ7">
            <v>400</v>
          </cell>
          <cell r="BR7" t="str">
            <v>600</v>
          </cell>
          <cell r="BS7" t="str">
            <v>900</v>
          </cell>
          <cell r="BT7">
            <v>1500</v>
          </cell>
          <cell r="BU7">
            <v>2500</v>
          </cell>
          <cell r="BV7" t="str">
            <v>Pipe Size</v>
          </cell>
          <cell r="BW7">
            <v>150</v>
          </cell>
          <cell r="BX7">
            <v>300</v>
          </cell>
          <cell r="BY7">
            <v>400</v>
          </cell>
          <cell r="BZ7" t="str">
            <v>600</v>
          </cell>
          <cell r="CA7" t="str">
            <v>900</v>
          </cell>
          <cell r="CB7">
            <v>1500</v>
          </cell>
          <cell r="CC7">
            <v>2500</v>
          </cell>
          <cell r="CD7" t="str">
            <v>Pipe Size</v>
          </cell>
          <cell r="CE7">
            <v>150</v>
          </cell>
          <cell r="CF7">
            <v>300</v>
          </cell>
          <cell r="CG7">
            <v>400</v>
          </cell>
          <cell r="CH7">
            <v>600</v>
          </cell>
          <cell r="CI7">
            <v>900</v>
          </cell>
          <cell r="CJ7">
            <v>1500</v>
          </cell>
          <cell r="CK7">
            <v>2500</v>
          </cell>
          <cell r="CL7" t="str">
            <v>Pipe Size</v>
          </cell>
          <cell r="CM7">
            <v>150</v>
          </cell>
          <cell r="CN7">
            <v>300</v>
          </cell>
          <cell r="CO7">
            <v>400</v>
          </cell>
          <cell r="CP7">
            <v>600</v>
          </cell>
          <cell r="CQ7">
            <v>900</v>
          </cell>
          <cell r="CR7">
            <v>1500</v>
          </cell>
          <cell r="CS7">
            <v>2500</v>
          </cell>
          <cell r="CT7" t="str">
            <v>Pipe Size</v>
          </cell>
          <cell r="CU7" t="str">
            <v>STD</v>
          </cell>
          <cell r="CV7" t="str">
            <v>XS</v>
          </cell>
          <cell r="CW7">
            <v>20</v>
          </cell>
          <cell r="CX7">
            <v>30</v>
          </cell>
          <cell r="CY7">
            <v>40</v>
          </cell>
          <cell r="CZ7">
            <v>60</v>
          </cell>
          <cell r="DA7">
            <v>80</v>
          </cell>
          <cell r="DB7">
            <v>100</v>
          </cell>
          <cell r="DC7">
            <v>120</v>
          </cell>
          <cell r="DD7">
            <v>140</v>
          </cell>
          <cell r="DE7">
            <v>160</v>
          </cell>
          <cell r="DF7" t="str">
            <v>XXS</v>
          </cell>
          <cell r="DG7" t="str">
            <v>Pipe Size</v>
          </cell>
          <cell r="DH7" t="str">
            <v>STD</v>
          </cell>
          <cell r="DI7" t="str">
            <v>XS</v>
          </cell>
          <cell r="DJ7">
            <v>20</v>
          </cell>
          <cell r="DK7">
            <v>30</v>
          </cell>
          <cell r="DL7">
            <v>40</v>
          </cell>
          <cell r="DM7">
            <v>60</v>
          </cell>
          <cell r="DN7">
            <v>80</v>
          </cell>
          <cell r="DO7">
            <v>100</v>
          </cell>
          <cell r="DP7">
            <v>120</v>
          </cell>
          <cell r="DQ7">
            <v>140</v>
          </cell>
          <cell r="DR7">
            <v>160</v>
          </cell>
          <cell r="DS7" t="str">
            <v>XXS</v>
          </cell>
          <cell r="EG7" t="str">
            <v>Pipe Size</v>
          </cell>
          <cell r="EH7" t="str">
            <v>STD</v>
          </cell>
          <cell r="EI7" t="str">
            <v>XS</v>
          </cell>
          <cell r="EJ7">
            <v>20</v>
          </cell>
          <cell r="EK7">
            <v>30</v>
          </cell>
          <cell r="EL7">
            <v>40</v>
          </cell>
          <cell r="EM7">
            <v>60</v>
          </cell>
          <cell r="EN7">
            <v>80</v>
          </cell>
          <cell r="EO7">
            <v>100</v>
          </cell>
          <cell r="EP7">
            <v>120</v>
          </cell>
          <cell r="EQ7">
            <v>140</v>
          </cell>
          <cell r="ER7">
            <v>160</v>
          </cell>
          <cell r="ES7" t="str">
            <v>XXS</v>
          </cell>
          <cell r="ET7" t="str">
            <v>Pipe Size</v>
          </cell>
          <cell r="EU7" t="str">
            <v>STD</v>
          </cell>
          <cell r="EV7" t="str">
            <v>XS</v>
          </cell>
          <cell r="EW7">
            <v>20</v>
          </cell>
          <cell r="EX7">
            <v>30</v>
          </cell>
          <cell r="EY7">
            <v>40</v>
          </cell>
          <cell r="EZ7">
            <v>60</v>
          </cell>
          <cell r="FA7">
            <v>80</v>
          </cell>
          <cell r="FB7">
            <v>100</v>
          </cell>
          <cell r="FC7">
            <v>120</v>
          </cell>
          <cell r="FD7">
            <v>140</v>
          </cell>
          <cell r="FE7">
            <v>160</v>
          </cell>
          <cell r="FF7" t="str">
            <v>XXS</v>
          </cell>
          <cell r="FG7" t="str">
            <v>Pipe Size</v>
          </cell>
          <cell r="FH7">
            <v>3000</v>
          </cell>
          <cell r="FI7">
            <v>6000</v>
          </cell>
          <cell r="FJ7" t="str">
            <v>Pipe Size</v>
          </cell>
          <cell r="FK7" t="str">
            <v>STD</v>
          </cell>
          <cell r="FL7" t="str">
            <v>XS</v>
          </cell>
          <cell r="FM7">
            <v>20</v>
          </cell>
          <cell r="FN7">
            <v>30</v>
          </cell>
          <cell r="FO7">
            <v>40</v>
          </cell>
          <cell r="FP7">
            <v>60</v>
          </cell>
          <cell r="FQ7">
            <v>80</v>
          </cell>
          <cell r="FR7">
            <v>100</v>
          </cell>
          <cell r="FS7">
            <v>120</v>
          </cell>
          <cell r="FT7">
            <v>140</v>
          </cell>
          <cell r="FU7">
            <v>160</v>
          </cell>
          <cell r="FV7" t="str">
            <v>XXS</v>
          </cell>
          <cell r="FW7" t="str">
            <v>Pipe Size</v>
          </cell>
          <cell r="FX7" t="str">
            <v>Plain</v>
          </cell>
          <cell r="FY7" t="str">
            <v>Back Welded</v>
          </cell>
        </row>
        <row r="8">
          <cell r="A8">
            <v>1</v>
          </cell>
          <cell r="B8">
            <v>2</v>
          </cell>
          <cell r="C8">
            <v>3</v>
          </cell>
          <cell r="D8">
            <v>4</v>
          </cell>
          <cell r="E8">
            <v>5</v>
          </cell>
          <cell r="F8">
            <v>6</v>
          </cell>
          <cell r="G8">
            <v>7</v>
          </cell>
          <cell r="H8">
            <v>8</v>
          </cell>
          <cell r="I8">
            <v>9</v>
          </cell>
          <cell r="J8">
            <v>10</v>
          </cell>
          <cell r="K8">
            <v>11</v>
          </cell>
          <cell r="L8">
            <v>12</v>
          </cell>
          <cell r="M8">
            <v>13</v>
          </cell>
          <cell r="N8">
            <v>1</v>
          </cell>
          <cell r="O8">
            <v>2</v>
          </cell>
          <cell r="P8">
            <v>3</v>
          </cell>
          <cell r="Q8">
            <v>4</v>
          </cell>
          <cell r="R8">
            <v>5</v>
          </cell>
          <cell r="S8">
            <v>6</v>
          </cell>
          <cell r="T8">
            <v>7</v>
          </cell>
          <cell r="U8">
            <v>8</v>
          </cell>
          <cell r="V8">
            <v>9</v>
          </cell>
          <cell r="W8">
            <v>10</v>
          </cell>
          <cell r="X8">
            <v>11</v>
          </cell>
          <cell r="Y8">
            <v>12</v>
          </cell>
          <cell r="Z8">
            <v>13</v>
          </cell>
          <cell r="AA8">
            <v>1</v>
          </cell>
          <cell r="AB8">
            <v>2</v>
          </cell>
          <cell r="AC8">
            <v>3</v>
          </cell>
          <cell r="AD8">
            <v>4</v>
          </cell>
          <cell r="AE8">
            <v>5</v>
          </cell>
          <cell r="AF8">
            <v>6</v>
          </cell>
          <cell r="AG8">
            <v>7</v>
          </cell>
          <cell r="AH8">
            <v>8</v>
          </cell>
          <cell r="AI8">
            <v>9</v>
          </cell>
          <cell r="AJ8">
            <v>10</v>
          </cell>
          <cell r="AK8">
            <v>11</v>
          </cell>
          <cell r="AL8">
            <v>12</v>
          </cell>
          <cell r="AM8">
            <v>13</v>
          </cell>
          <cell r="AN8">
            <v>1</v>
          </cell>
          <cell r="AO8">
            <v>2</v>
          </cell>
          <cell r="AP8">
            <v>3</v>
          </cell>
          <cell r="AQ8">
            <v>4</v>
          </cell>
          <cell r="AR8">
            <v>5</v>
          </cell>
          <cell r="AS8">
            <v>6</v>
          </cell>
          <cell r="AT8">
            <v>7</v>
          </cell>
          <cell r="AU8">
            <v>8</v>
          </cell>
          <cell r="AV8">
            <v>9</v>
          </cell>
          <cell r="AW8">
            <v>10</v>
          </cell>
          <cell r="AX8">
            <v>11</v>
          </cell>
          <cell r="AY8">
            <v>12</v>
          </cell>
          <cell r="AZ8">
            <v>13</v>
          </cell>
          <cell r="BA8">
            <v>1</v>
          </cell>
          <cell r="BB8">
            <v>2</v>
          </cell>
          <cell r="BC8">
            <v>3</v>
          </cell>
          <cell r="BD8">
            <v>4</v>
          </cell>
          <cell r="BE8">
            <v>5</v>
          </cell>
          <cell r="BF8">
            <v>6</v>
          </cell>
          <cell r="BG8">
            <v>7</v>
          </cell>
          <cell r="BH8">
            <v>8</v>
          </cell>
          <cell r="BI8">
            <v>9</v>
          </cell>
          <cell r="BJ8">
            <v>10</v>
          </cell>
          <cell r="BK8">
            <v>11</v>
          </cell>
          <cell r="BL8">
            <v>12</v>
          </cell>
          <cell r="BM8">
            <v>13</v>
          </cell>
          <cell r="BN8">
            <v>1</v>
          </cell>
          <cell r="BO8">
            <v>2</v>
          </cell>
          <cell r="BP8">
            <v>3</v>
          </cell>
          <cell r="BQ8">
            <v>4</v>
          </cell>
          <cell r="BR8">
            <v>5</v>
          </cell>
          <cell r="BS8">
            <v>6</v>
          </cell>
          <cell r="BT8">
            <v>7</v>
          </cell>
          <cell r="BU8">
            <v>8</v>
          </cell>
          <cell r="BV8">
            <v>1</v>
          </cell>
          <cell r="BW8">
            <v>2</v>
          </cell>
          <cell r="BX8">
            <v>3</v>
          </cell>
          <cell r="BY8">
            <v>4</v>
          </cell>
          <cell r="BZ8">
            <v>5</v>
          </cell>
          <cell r="CA8">
            <v>6</v>
          </cell>
          <cell r="CB8">
            <v>7</v>
          </cell>
          <cell r="CC8">
            <v>8</v>
          </cell>
          <cell r="CD8">
            <v>1</v>
          </cell>
          <cell r="CE8">
            <v>2</v>
          </cell>
          <cell r="CF8">
            <v>3</v>
          </cell>
          <cell r="CG8">
            <v>4</v>
          </cell>
          <cell r="CH8">
            <v>5</v>
          </cell>
          <cell r="CI8">
            <v>6</v>
          </cell>
          <cell r="CJ8">
            <v>7</v>
          </cell>
          <cell r="CK8">
            <v>8</v>
          </cell>
          <cell r="CL8">
            <v>1</v>
          </cell>
          <cell r="CM8">
            <v>2</v>
          </cell>
          <cell r="CN8">
            <v>3</v>
          </cell>
          <cell r="CO8">
            <v>4</v>
          </cell>
          <cell r="CP8">
            <v>5</v>
          </cell>
          <cell r="CQ8">
            <v>6</v>
          </cell>
          <cell r="CR8">
            <v>7</v>
          </cell>
          <cell r="CS8">
            <v>8</v>
          </cell>
          <cell r="CT8">
            <v>1</v>
          </cell>
          <cell r="CU8">
            <v>2</v>
          </cell>
          <cell r="CV8">
            <v>3</v>
          </cell>
          <cell r="CW8">
            <v>4</v>
          </cell>
          <cell r="CX8">
            <v>5</v>
          </cell>
          <cell r="CY8">
            <v>6</v>
          </cell>
          <cell r="CZ8">
            <v>7</v>
          </cell>
          <cell r="DA8">
            <v>8</v>
          </cell>
          <cell r="DB8">
            <v>9</v>
          </cell>
          <cell r="DC8">
            <v>10</v>
          </cell>
          <cell r="DD8">
            <v>11</v>
          </cell>
          <cell r="DE8">
            <v>12</v>
          </cell>
          <cell r="DF8">
            <v>13</v>
          </cell>
          <cell r="DG8">
            <v>1</v>
          </cell>
          <cell r="DH8">
            <v>2</v>
          </cell>
          <cell r="DI8">
            <v>3</v>
          </cell>
          <cell r="DJ8">
            <v>4</v>
          </cell>
          <cell r="DK8">
            <v>5</v>
          </cell>
          <cell r="DL8">
            <v>6</v>
          </cell>
          <cell r="DM8">
            <v>7</v>
          </cell>
          <cell r="DN8">
            <v>8</v>
          </cell>
          <cell r="DO8">
            <v>9</v>
          </cell>
          <cell r="DP8">
            <v>10</v>
          </cell>
          <cell r="DQ8">
            <v>11</v>
          </cell>
          <cell r="DR8">
            <v>12</v>
          </cell>
          <cell r="DS8">
            <v>13</v>
          </cell>
          <cell r="EG8">
            <v>1</v>
          </cell>
          <cell r="EH8">
            <v>2</v>
          </cell>
          <cell r="EI8">
            <v>3</v>
          </cell>
          <cell r="EJ8">
            <v>4</v>
          </cell>
          <cell r="EK8">
            <v>5</v>
          </cell>
          <cell r="EL8">
            <v>6</v>
          </cell>
          <cell r="EM8">
            <v>7</v>
          </cell>
          <cell r="EN8">
            <v>8</v>
          </cell>
          <cell r="EO8">
            <v>9</v>
          </cell>
          <cell r="EP8">
            <v>10</v>
          </cell>
          <cell r="EQ8">
            <v>11</v>
          </cell>
          <cell r="ER8">
            <v>12</v>
          </cell>
          <cell r="ES8">
            <v>13</v>
          </cell>
          <cell r="ET8">
            <v>1</v>
          </cell>
          <cell r="EU8">
            <v>2</v>
          </cell>
          <cell r="EV8">
            <v>3</v>
          </cell>
          <cell r="EW8">
            <v>4</v>
          </cell>
          <cell r="EX8">
            <v>5</v>
          </cell>
          <cell r="EY8">
            <v>6</v>
          </cell>
          <cell r="EZ8">
            <v>7</v>
          </cell>
          <cell r="FA8">
            <v>8</v>
          </cell>
          <cell r="FB8">
            <v>9</v>
          </cell>
          <cell r="FC8">
            <v>10</v>
          </cell>
          <cell r="FD8">
            <v>11</v>
          </cell>
          <cell r="FE8">
            <v>12</v>
          </cell>
          <cell r="FF8">
            <v>13</v>
          </cell>
          <cell r="FG8">
            <v>1</v>
          </cell>
          <cell r="FH8">
            <v>2</v>
          </cell>
          <cell r="FI8">
            <v>3</v>
          </cell>
          <cell r="FJ8">
            <v>1</v>
          </cell>
          <cell r="FK8">
            <v>2</v>
          </cell>
          <cell r="FL8">
            <v>3</v>
          </cell>
          <cell r="FM8">
            <v>4</v>
          </cell>
          <cell r="FN8">
            <v>5</v>
          </cell>
          <cell r="FO8">
            <v>6</v>
          </cell>
          <cell r="FP8">
            <v>7</v>
          </cell>
          <cell r="FQ8">
            <v>8</v>
          </cell>
          <cell r="FR8">
            <v>9</v>
          </cell>
          <cell r="FS8">
            <v>10</v>
          </cell>
          <cell r="FT8">
            <v>11</v>
          </cell>
          <cell r="FU8">
            <v>12</v>
          </cell>
          <cell r="FV8">
            <v>13</v>
          </cell>
          <cell r="FW8">
            <v>1</v>
          </cell>
          <cell r="FX8">
            <v>2</v>
          </cell>
          <cell r="FY8">
            <v>3</v>
          </cell>
        </row>
        <row r="9">
          <cell r="A9">
            <v>0.5</v>
          </cell>
          <cell r="B9">
            <v>0.16</v>
          </cell>
          <cell r="C9">
            <v>0.18</v>
          </cell>
          <cell r="D9">
            <v>0.16</v>
          </cell>
          <cell r="E9">
            <v>0.16</v>
          </cell>
          <cell r="F9">
            <v>0.16</v>
          </cell>
          <cell r="G9">
            <v>0.16</v>
          </cell>
          <cell r="H9">
            <v>0.18</v>
          </cell>
          <cell r="I9">
            <v>0.18</v>
          </cell>
          <cell r="J9">
            <v>0.18</v>
          </cell>
          <cell r="K9">
            <v>0.18</v>
          </cell>
          <cell r="L9">
            <v>0.18</v>
          </cell>
          <cell r="M9">
            <v>0.18</v>
          </cell>
          <cell r="N9">
            <v>0.5</v>
          </cell>
          <cell r="O9">
            <v>0.27</v>
          </cell>
          <cell r="P9">
            <v>0.3</v>
          </cell>
          <cell r="Q9">
            <v>0.27</v>
          </cell>
          <cell r="R9">
            <v>0.27</v>
          </cell>
          <cell r="S9">
            <v>0.27</v>
          </cell>
          <cell r="T9">
            <v>0.27</v>
          </cell>
          <cell r="U9">
            <v>0.3</v>
          </cell>
          <cell r="V9">
            <v>0.3</v>
          </cell>
          <cell r="W9">
            <v>0.34</v>
          </cell>
          <cell r="X9">
            <v>0.34</v>
          </cell>
          <cell r="Y9">
            <v>0.34</v>
          </cell>
          <cell r="Z9">
            <v>0.34</v>
          </cell>
          <cell r="AA9">
            <v>0.5</v>
          </cell>
          <cell r="AB9">
            <v>0.7</v>
          </cell>
          <cell r="AC9">
            <v>0.8</v>
          </cell>
          <cell r="AF9">
            <v>0.7</v>
          </cell>
          <cell r="AH9">
            <v>0.8</v>
          </cell>
          <cell r="AL9">
            <v>1</v>
          </cell>
          <cell r="AM9">
            <v>1</v>
          </cell>
          <cell r="AN9">
            <v>0.5</v>
          </cell>
          <cell r="AO9">
            <v>0.1</v>
          </cell>
          <cell r="AP9">
            <v>0.15</v>
          </cell>
          <cell r="AS9">
            <v>0.1</v>
          </cell>
          <cell r="AU9">
            <v>0.15</v>
          </cell>
          <cell r="AY9">
            <v>0.21</v>
          </cell>
          <cell r="AZ9">
            <v>0.21</v>
          </cell>
          <cell r="BA9">
            <v>0.5</v>
          </cell>
          <cell r="BB9">
            <v>0.08</v>
          </cell>
          <cell r="BC9">
            <v>0.12</v>
          </cell>
          <cell r="BF9">
            <v>0.08</v>
          </cell>
          <cell r="BH9">
            <v>0.12</v>
          </cell>
          <cell r="BL9">
            <v>0.16</v>
          </cell>
          <cell r="BM9">
            <v>0.16</v>
          </cell>
          <cell r="BN9">
            <v>0.5</v>
          </cell>
          <cell r="BO9">
            <v>0.9</v>
          </cell>
          <cell r="BP9">
            <v>1</v>
          </cell>
          <cell r="BQ9">
            <v>1.4</v>
          </cell>
          <cell r="BR9">
            <v>1.4</v>
          </cell>
          <cell r="BS9">
            <v>1.6</v>
          </cell>
          <cell r="BT9">
            <v>1.8</v>
          </cell>
          <cell r="BU9">
            <v>2.1</v>
          </cell>
          <cell r="BV9">
            <v>0.5</v>
          </cell>
          <cell r="BW9">
            <v>1.5</v>
          </cell>
          <cell r="BX9">
            <v>1.8</v>
          </cell>
          <cell r="BY9">
            <v>1.8</v>
          </cell>
          <cell r="BZ9">
            <v>2.6</v>
          </cell>
          <cell r="CA9">
            <v>2.6</v>
          </cell>
          <cell r="CB9">
            <v>2.8</v>
          </cell>
          <cell r="CC9">
            <v>3</v>
          </cell>
          <cell r="CD9">
            <v>0.5</v>
          </cell>
          <cell r="CE9">
            <v>0.2</v>
          </cell>
          <cell r="CF9">
            <v>0.2</v>
          </cell>
          <cell r="CG9">
            <v>0.2</v>
          </cell>
          <cell r="CH9">
            <v>0.3</v>
          </cell>
          <cell r="CI9">
            <v>0.3</v>
          </cell>
          <cell r="CJ9">
            <v>0.5</v>
          </cell>
          <cell r="CK9">
            <v>0.5</v>
          </cell>
          <cell r="CL9">
            <v>0.5</v>
          </cell>
          <cell r="CM9">
            <v>0.7</v>
          </cell>
          <cell r="CN9">
            <v>0.8</v>
          </cell>
          <cell r="CO9">
            <v>0.8</v>
          </cell>
          <cell r="CP9">
            <v>0.9</v>
          </cell>
          <cell r="CQ9">
            <v>1</v>
          </cell>
          <cell r="CR9">
            <v>1.2</v>
          </cell>
          <cell r="CS9">
            <v>1.6</v>
          </cell>
          <cell r="CT9">
            <v>0.5</v>
          </cell>
          <cell r="CU9">
            <v>2.1</v>
          </cell>
          <cell r="CV9">
            <v>2.2000000000000002</v>
          </cell>
          <cell r="CY9">
            <v>2.1</v>
          </cell>
          <cell r="DA9">
            <v>2.2000000000000002</v>
          </cell>
          <cell r="DE9">
            <v>3.1</v>
          </cell>
          <cell r="DF9">
            <v>3.1</v>
          </cell>
          <cell r="DG9">
            <v>0.5</v>
          </cell>
          <cell r="DH9">
            <v>5</v>
          </cell>
          <cell r="DI9">
            <v>5.4</v>
          </cell>
          <cell r="DL9">
            <v>5</v>
          </cell>
          <cell r="DN9">
            <v>5.4</v>
          </cell>
          <cell r="DR9">
            <v>7.7</v>
          </cell>
          <cell r="DS9">
            <v>7.7</v>
          </cell>
          <cell r="EG9">
            <v>0.5</v>
          </cell>
          <cell r="EH9">
            <v>6.8</v>
          </cell>
          <cell r="EI9">
            <v>7.1</v>
          </cell>
          <cell r="EL9">
            <v>6.8</v>
          </cell>
          <cell r="EN9">
            <v>7.1</v>
          </cell>
          <cell r="ER9">
            <v>10.199999999999999</v>
          </cell>
          <cell r="ES9">
            <v>10.199999999999999</v>
          </cell>
          <cell r="ET9">
            <v>0.5</v>
          </cell>
          <cell r="EU9">
            <v>1.5</v>
          </cell>
          <cell r="EV9">
            <v>2</v>
          </cell>
          <cell r="EW9">
            <v>1.5</v>
          </cell>
          <cell r="EX9">
            <v>1.5</v>
          </cell>
          <cell r="EY9">
            <v>1.5</v>
          </cell>
          <cell r="EZ9">
            <v>1.5</v>
          </cell>
          <cell r="FA9">
            <v>2</v>
          </cell>
          <cell r="FB9">
            <v>2</v>
          </cell>
          <cell r="FC9">
            <v>2</v>
          </cell>
          <cell r="FD9">
            <v>2.5</v>
          </cell>
          <cell r="FE9">
            <v>2.5</v>
          </cell>
          <cell r="FF9">
            <v>2.5</v>
          </cell>
          <cell r="FG9">
            <v>0.5</v>
          </cell>
          <cell r="FH9">
            <v>1.6</v>
          </cell>
          <cell r="FI9">
            <v>2</v>
          </cell>
          <cell r="FJ9">
            <v>0.5</v>
          </cell>
          <cell r="FK9">
            <v>0.6</v>
          </cell>
          <cell r="FL9">
            <v>0.6</v>
          </cell>
          <cell r="FM9">
            <v>0.6</v>
          </cell>
          <cell r="FN9">
            <v>0.6</v>
          </cell>
          <cell r="FO9">
            <v>0.6</v>
          </cell>
          <cell r="FP9">
            <v>0.6</v>
          </cell>
          <cell r="FQ9">
            <v>0.6</v>
          </cell>
          <cell r="FR9">
            <v>0.6</v>
          </cell>
          <cell r="FS9">
            <v>0.6</v>
          </cell>
          <cell r="FT9">
            <v>0.6</v>
          </cell>
          <cell r="FU9">
            <v>0.6</v>
          </cell>
          <cell r="FV9">
            <v>0.6</v>
          </cell>
          <cell r="FW9">
            <v>0.5</v>
          </cell>
          <cell r="FX9">
            <v>0.1</v>
          </cell>
          <cell r="FY9">
            <v>0.4</v>
          </cell>
        </row>
        <row r="10">
          <cell r="A10">
            <v>0.75</v>
          </cell>
          <cell r="B10">
            <v>0.17</v>
          </cell>
          <cell r="C10">
            <v>0.19</v>
          </cell>
          <cell r="D10">
            <v>0.17</v>
          </cell>
          <cell r="E10">
            <v>0.17</v>
          </cell>
          <cell r="F10">
            <v>0.17</v>
          </cell>
          <cell r="G10">
            <v>0.17</v>
          </cell>
          <cell r="H10">
            <v>0.19</v>
          </cell>
          <cell r="I10">
            <v>0.19</v>
          </cell>
          <cell r="J10">
            <v>0.19</v>
          </cell>
          <cell r="K10">
            <v>0.19</v>
          </cell>
          <cell r="L10">
            <v>0.19</v>
          </cell>
          <cell r="M10">
            <v>0.19</v>
          </cell>
          <cell r="N10">
            <v>0.75</v>
          </cell>
          <cell r="O10">
            <v>0.28000000000000003</v>
          </cell>
          <cell r="P10">
            <v>0.32</v>
          </cell>
          <cell r="Q10">
            <v>0.28000000000000003</v>
          </cell>
          <cell r="R10">
            <v>0.28000000000000003</v>
          </cell>
          <cell r="S10">
            <v>0.28000000000000003</v>
          </cell>
          <cell r="T10">
            <v>0.28000000000000003</v>
          </cell>
          <cell r="U10">
            <v>0.32</v>
          </cell>
          <cell r="V10">
            <v>0.32</v>
          </cell>
          <cell r="W10">
            <v>0.35</v>
          </cell>
          <cell r="X10">
            <v>0.35</v>
          </cell>
          <cell r="Y10">
            <v>0.35</v>
          </cell>
          <cell r="Z10">
            <v>0.35</v>
          </cell>
          <cell r="AA10">
            <v>0.75</v>
          </cell>
          <cell r="AB10">
            <v>0.7</v>
          </cell>
          <cell r="AC10">
            <v>0.8</v>
          </cell>
          <cell r="AF10">
            <v>0.7</v>
          </cell>
          <cell r="AH10">
            <v>0.8</v>
          </cell>
          <cell r="AL10">
            <v>1</v>
          </cell>
          <cell r="AM10">
            <v>1</v>
          </cell>
          <cell r="AN10">
            <v>0.75</v>
          </cell>
          <cell r="AO10">
            <v>0.1</v>
          </cell>
          <cell r="AP10">
            <v>0.15</v>
          </cell>
          <cell r="AS10">
            <v>0.1</v>
          </cell>
          <cell r="AU10">
            <v>0.15</v>
          </cell>
          <cell r="AY10">
            <v>0.21</v>
          </cell>
          <cell r="AZ10">
            <v>0.21</v>
          </cell>
          <cell r="BA10">
            <v>0.75</v>
          </cell>
          <cell r="BB10">
            <v>0.08</v>
          </cell>
          <cell r="BC10">
            <v>0.12</v>
          </cell>
          <cell r="BF10">
            <v>0.08</v>
          </cell>
          <cell r="BH10">
            <v>0.12</v>
          </cell>
          <cell r="BL10">
            <v>0.16</v>
          </cell>
          <cell r="BM10">
            <v>0.16</v>
          </cell>
          <cell r="BN10">
            <v>0.75</v>
          </cell>
          <cell r="BO10">
            <v>0.9</v>
          </cell>
          <cell r="BP10">
            <v>1</v>
          </cell>
          <cell r="BQ10">
            <v>1.4</v>
          </cell>
          <cell r="BR10">
            <v>1.4</v>
          </cell>
          <cell r="BS10">
            <v>1.6</v>
          </cell>
          <cell r="BT10">
            <v>1.8</v>
          </cell>
          <cell r="BU10">
            <v>2.1</v>
          </cell>
          <cell r="BV10">
            <v>0.75</v>
          </cell>
          <cell r="BW10">
            <v>1.5</v>
          </cell>
          <cell r="BX10">
            <v>1.8</v>
          </cell>
          <cell r="BY10">
            <v>1.8</v>
          </cell>
          <cell r="BZ10">
            <v>2.6</v>
          </cell>
          <cell r="CA10">
            <v>2.6</v>
          </cell>
          <cell r="CB10">
            <v>2.8</v>
          </cell>
          <cell r="CC10">
            <v>3</v>
          </cell>
          <cell r="CD10">
            <v>0.75</v>
          </cell>
          <cell r="CE10">
            <v>0.2</v>
          </cell>
          <cell r="CF10">
            <v>0.3</v>
          </cell>
          <cell r="CG10">
            <v>0.3</v>
          </cell>
          <cell r="CH10">
            <v>0.5</v>
          </cell>
          <cell r="CI10">
            <v>0.5</v>
          </cell>
          <cell r="CJ10">
            <v>0.6</v>
          </cell>
          <cell r="CK10">
            <v>0.6</v>
          </cell>
          <cell r="CL10">
            <v>0.75</v>
          </cell>
          <cell r="CM10">
            <v>0.7</v>
          </cell>
          <cell r="CN10">
            <v>0.8</v>
          </cell>
          <cell r="CO10">
            <v>0.8</v>
          </cell>
          <cell r="CP10">
            <v>0.9</v>
          </cell>
          <cell r="CQ10">
            <v>1</v>
          </cell>
          <cell r="CR10">
            <v>1.2</v>
          </cell>
          <cell r="CS10">
            <v>1.6</v>
          </cell>
          <cell r="CT10">
            <v>0.75</v>
          </cell>
          <cell r="CU10">
            <v>2.1</v>
          </cell>
          <cell r="CV10">
            <v>2.2000000000000002</v>
          </cell>
          <cell r="CY10">
            <v>2.1</v>
          </cell>
          <cell r="DA10">
            <v>2.2000000000000002</v>
          </cell>
          <cell r="DE10">
            <v>3.1</v>
          </cell>
          <cell r="DF10">
            <v>3.1</v>
          </cell>
          <cell r="DG10">
            <v>0.75</v>
          </cell>
          <cell r="DH10">
            <v>5</v>
          </cell>
          <cell r="DI10">
            <v>5.4</v>
          </cell>
          <cell r="DL10">
            <v>5</v>
          </cell>
          <cell r="DN10">
            <v>5.4</v>
          </cell>
          <cell r="DR10">
            <v>7.7</v>
          </cell>
          <cell r="DS10">
            <v>7.7</v>
          </cell>
          <cell r="EG10">
            <v>0.75</v>
          </cell>
          <cell r="EH10">
            <v>6.8</v>
          </cell>
          <cell r="EI10">
            <v>7.1</v>
          </cell>
          <cell r="EL10">
            <v>6.8</v>
          </cell>
          <cell r="EN10">
            <v>7.1</v>
          </cell>
          <cell r="ER10">
            <v>10.199999999999999</v>
          </cell>
          <cell r="ES10">
            <v>10.199999999999999</v>
          </cell>
          <cell r="ET10">
            <v>0.75</v>
          </cell>
          <cell r="EU10">
            <v>1.8</v>
          </cell>
          <cell r="EV10">
            <v>2.2000000000000002</v>
          </cell>
          <cell r="EW10">
            <v>1.8</v>
          </cell>
          <cell r="EX10">
            <v>1.8</v>
          </cell>
          <cell r="EY10">
            <v>1.8</v>
          </cell>
          <cell r="EZ10">
            <v>1.8</v>
          </cell>
          <cell r="FA10">
            <v>2.2000000000000002</v>
          </cell>
          <cell r="FB10">
            <v>2.2000000000000002</v>
          </cell>
          <cell r="FC10">
            <v>2.2000000000000002</v>
          </cell>
          <cell r="FD10">
            <v>3</v>
          </cell>
          <cell r="FE10">
            <v>3</v>
          </cell>
          <cell r="FF10">
            <v>3</v>
          </cell>
          <cell r="FG10">
            <v>0.75</v>
          </cell>
          <cell r="FH10">
            <v>1.8</v>
          </cell>
          <cell r="FI10">
            <v>2.2000000000000002</v>
          </cell>
          <cell r="FJ10">
            <v>0.75</v>
          </cell>
          <cell r="FK10">
            <v>0.6</v>
          </cell>
          <cell r="FL10">
            <v>0.6</v>
          </cell>
          <cell r="FM10">
            <v>0.6</v>
          </cell>
          <cell r="FN10">
            <v>0.6</v>
          </cell>
          <cell r="FO10">
            <v>0.6</v>
          </cell>
          <cell r="FP10">
            <v>0.6</v>
          </cell>
          <cell r="FQ10">
            <v>0.6</v>
          </cell>
          <cell r="FR10">
            <v>0.7</v>
          </cell>
          <cell r="FS10">
            <v>0.7</v>
          </cell>
          <cell r="FT10">
            <v>0.7</v>
          </cell>
          <cell r="FU10">
            <v>0.7</v>
          </cell>
          <cell r="FV10">
            <v>0.7</v>
          </cell>
          <cell r="FW10">
            <v>0.75</v>
          </cell>
          <cell r="FX10">
            <v>0.1</v>
          </cell>
          <cell r="FY10">
            <v>0.5</v>
          </cell>
        </row>
        <row r="11">
          <cell r="A11">
            <v>1</v>
          </cell>
          <cell r="B11">
            <v>0.17</v>
          </cell>
          <cell r="C11">
            <v>0.2</v>
          </cell>
          <cell r="D11">
            <v>0.17</v>
          </cell>
          <cell r="E11">
            <v>0.17</v>
          </cell>
          <cell r="F11">
            <v>0.17</v>
          </cell>
          <cell r="G11">
            <v>0.17</v>
          </cell>
          <cell r="H11">
            <v>0.2</v>
          </cell>
          <cell r="I11">
            <v>0.2</v>
          </cell>
          <cell r="J11">
            <v>0.2</v>
          </cell>
          <cell r="K11">
            <v>0.2</v>
          </cell>
          <cell r="L11">
            <v>0.2</v>
          </cell>
          <cell r="M11">
            <v>0.2</v>
          </cell>
          <cell r="N11">
            <v>1</v>
          </cell>
          <cell r="O11">
            <v>0.28999999999999998</v>
          </cell>
          <cell r="P11">
            <v>0.34</v>
          </cell>
          <cell r="Q11">
            <v>0.28999999999999998</v>
          </cell>
          <cell r="R11">
            <v>0.28999999999999998</v>
          </cell>
          <cell r="S11">
            <v>0.28999999999999998</v>
          </cell>
          <cell r="T11">
            <v>0.28999999999999998</v>
          </cell>
          <cell r="U11">
            <v>0.34</v>
          </cell>
          <cell r="V11">
            <v>0.34</v>
          </cell>
          <cell r="W11">
            <v>0.39</v>
          </cell>
          <cell r="X11">
            <v>0.39</v>
          </cell>
          <cell r="Y11">
            <v>0.39</v>
          </cell>
          <cell r="Z11">
            <v>0.39</v>
          </cell>
          <cell r="AA11">
            <v>1</v>
          </cell>
          <cell r="AB11">
            <v>0.7</v>
          </cell>
          <cell r="AC11">
            <v>0.8</v>
          </cell>
          <cell r="AF11">
            <v>0.7</v>
          </cell>
          <cell r="AH11">
            <v>0.8</v>
          </cell>
          <cell r="AL11">
            <v>1</v>
          </cell>
          <cell r="AM11">
            <v>1</v>
          </cell>
          <cell r="AN11">
            <v>1</v>
          </cell>
          <cell r="AO11">
            <v>0.1</v>
          </cell>
          <cell r="AP11">
            <v>0.15</v>
          </cell>
          <cell r="AS11">
            <v>0.1</v>
          </cell>
          <cell r="AU11">
            <v>0.15</v>
          </cell>
          <cell r="AY11">
            <v>0.21</v>
          </cell>
          <cell r="AZ11">
            <v>0.21</v>
          </cell>
          <cell r="BA11">
            <v>1</v>
          </cell>
          <cell r="BB11">
            <v>0.08</v>
          </cell>
          <cell r="BC11">
            <v>0.12</v>
          </cell>
          <cell r="BF11">
            <v>0.08</v>
          </cell>
          <cell r="BH11">
            <v>0.12</v>
          </cell>
          <cell r="BL11">
            <v>0.16</v>
          </cell>
          <cell r="BM11">
            <v>0.16</v>
          </cell>
          <cell r="BN11">
            <v>1</v>
          </cell>
          <cell r="BO11">
            <v>0.9</v>
          </cell>
          <cell r="BP11">
            <v>1</v>
          </cell>
          <cell r="BQ11">
            <v>1.4</v>
          </cell>
          <cell r="BR11">
            <v>1.4</v>
          </cell>
          <cell r="BS11">
            <v>1.6</v>
          </cell>
          <cell r="BT11">
            <v>1.8</v>
          </cell>
          <cell r="BU11">
            <v>2.1</v>
          </cell>
          <cell r="BV11">
            <v>1</v>
          </cell>
          <cell r="BW11">
            <v>1.5</v>
          </cell>
          <cell r="BX11">
            <v>1.8</v>
          </cell>
          <cell r="BY11">
            <v>1.8</v>
          </cell>
          <cell r="BZ11">
            <v>2.6</v>
          </cell>
          <cell r="CA11">
            <v>2.6</v>
          </cell>
          <cell r="CB11">
            <v>2.8</v>
          </cell>
          <cell r="CC11">
            <v>3</v>
          </cell>
          <cell r="CD11">
            <v>1</v>
          </cell>
          <cell r="CE11">
            <v>0.3</v>
          </cell>
          <cell r="CF11">
            <v>0.3</v>
          </cell>
          <cell r="CG11">
            <v>0.3</v>
          </cell>
          <cell r="CH11">
            <v>0.6</v>
          </cell>
          <cell r="CI11">
            <v>0.6</v>
          </cell>
          <cell r="CJ11">
            <v>0.6</v>
          </cell>
          <cell r="CK11">
            <v>0.7</v>
          </cell>
          <cell r="CL11">
            <v>1</v>
          </cell>
          <cell r="CM11">
            <v>0.7</v>
          </cell>
          <cell r="CN11">
            <v>0.8</v>
          </cell>
          <cell r="CO11">
            <v>0.8</v>
          </cell>
          <cell r="CP11">
            <v>0.9</v>
          </cell>
          <cell r="CQ11">
            <v>1</v>
          </cell>
          <cell r="CR11">
            <v>1.2</v>
          </cell>
          <cell r="CS11">
            <v>1.6</v>
          </cell>
          <cell r="CT11">
            <v>1</v>
          </cell>
          <cell r="CU11">
            <v>2.1</v>
          </cell>
          <cell r="CV11">
            <v>2.2000000000000002</v>
          </cell>
          <cell r="CY11">
            <v>2.1</v>
          </cell>
          <cell r="DA11">
            <v>2.2000000000000002</v>
          </cell>
          <cell r="DE11">
            <v>3.1</v>
          </cell>
          <cell r="DF11">
            <v>3.1</v>
          </cell>
          <cell r="DG11">
            <v>1</v>
          </cell>
          <cell r="DH11">
            <v>5</v>
          </cell>
          <cell r="DI11">
            <v>5.4</v>
          </cell>
          <cell r="DL11">
            <v>5</v>
          </cell>
          <cell r="DN11">
            <v>5.4</v>
          </cell>
          <cell r="DR11">
            <v>7.7</v>
          </cell>
          <cell r="DS11">
            <v>7.7</v>
          </cell>
          <cell r="EG11">
            <v>1</v>
          </cell>
          <cell r="EH11">
            <v>6.8</v>
          </cell>
          <cell r="EI11">
            <v>7.1</v>
          </cell>
          <cell r="EL11">
            <v>6.8</v>
          </cell>
          <cell r="EN11">
            <v>7.1</v>
          </cell>
          <cell r="ER11">
            <v>10.199999999999999</v>
          </cell>
          <cell r="ES11">
            <v>10.199999999999999</v>
          </cell>
          <cell r="ET11">
            <v>1</v>
          </cell>
          <cell r="EU11">
            <v>2.1</v>
          </cell>
          <cell r="EV11">
            <v>2.5</v>
          </cell>
          <cell r="EW11">
            <v>2.1</v>
          </cell>
          <cell r="EX11">
            <v>2.1</v>
          </cell>
          <cell r="EY11">
            <v>2.1</v>
          </cell>
          <cell r="EZ11">
            <v>2.1</v>
          </cell>
          <cell r="FA11">
            <v>2.5</v>
          </cell>
          <cell r="FB11">
            <v>2.5</v>
          </cell>
          <cell r="FC11">
            <v>2.5</v>
          </cell>
          <cell r="FD11">
            <v>3.3</v>
          </cell>
          <cell r="FE11">
            <v>3.3</v>
          </cell>
          <cell r="FF11">
            <v>3.3</v>
          </cell>
          <cell r="FG11">
            <v>1</v>
          </cell>
          <cell r="FH11">
            <v>2.1</v>
          </cell>
          <cell r="FI11">
            <v>2.5</v>
          </cell>
          <cell r="FJ11">
            <v>1</v>
          </cell>
          <cell r="FK11">
            <v>0.7</v>
          </cell>
          <cell r="FL11">
            <v>0.7</v>
          </cell>
          <cell r="FM11">
            <v>0.7</v>
          </cell>
          <cell r="FN11">
            <v>0.7</v>
          </cell>
          <cell r="FO11">
            <v>0.7</v>
          </cell>
          <cell r="FP11">
            <v>0.7</v>
          </cell>
          <cell r="FQ11">
            <v>0.7</v>
          </cell>
          <cell r="FR11">
            <v>0.8</v>
          </cell>
          <cell r="FS11">
            <v>0.8</v>
          </cell>
          <cell r="FT11">
            <v>0.8</v>
          </cell>
          <cell r="FU11">
            <v>0.8</v>
          </cell>
          <cell r="FV11">
            <v>0.8</v>
          </cell>
          <cell r="FW11">
            <v>1</v>
          </cell>
          <cell r="FX11">
            <v>0.2</v>
          </cell>
          <cell r="FY11">
            <v>0.5</v>
          </cell>
        </row>
        <row r="12">
          <cell r="A12">
            <v>1.5</v>
          </cell>
          <cell r="B12">
            <v>0.19</v>
          </cell>
          <cell r="C12">
            <v>0.22</v>
          </cell>
          <cell r="D12">
            <v>0.19</v>
          </cell>
          <cell r="E12">
            <v>0.19</v>
          </cell>
          <cell r="F12">
            <v>0.19</v>
          </cell>
          <cell r="G12">
            <v>0.19</v>
          </cell>
          <cell r="H12">
            <v>0.22</v>
          </cell>
          <cell r="I12">
            <v>0.22</v>
          </cell>
          <cell r="J12">
            <v>0.22</v>
          </cell>
          <cell r="K12">
            <v>0.22</v>
          </cell>
          <cell r="L12">
            <v>0.22</v>
          </cell>
          <cell r="M12">
            <v>0.22</v>
          </cell>
          <cell r="N12">
            <v>1.5</v>
          </cell>
          <cell r="O12">
            <v>0.32</v>
          </cell>
          <cell r="P12">
            <v>0.37</v>
          </cell>
          <cell r="Q12">
            <v>0.32</v>
          </cell>
          <cell r="R12">
            <v>0.32</v>
          </cell>
          <cell r="S12">
            <v>0.32</v>
          </cell>
          <cell r="T12">
            <v>0.32</v>
          </cell>
          <cell r="U12">
            <v>0.37</v>
          </cell>
          <cell r="V12">
            <v>0.37</v>
          </cell>
          <cell r="W12">
            <v>0.45</v>
          </cell>
          <cell r="X12">
            <v>0.45</v>
          </cell>
          <cell r="Y12">
            <v>0.45</v>
          </cell>
          <cell r="Z12">
            <v>0.45</v>
          </cell>
          <cell r="AA12">
            <v>1.5</v>
          </cell>
          <cell r="AB12">
            <v>0.8</v>
          </cell>
          <cell r="AC12">
            <v>0.9</v>
          </cell>
          <cell r="AF12">
            <v>0.8</v>
          </cell>
          <cell r="AH12">
            <v>0.9</v>
          </cell>
          <cell r="AL12">
            <v>1.3</v>
          </cell>
          <cell r="AM12">
            <v>1.3</v>
          </cell>
          <cell r="AN12">
            <v>1.5</v>
          </cell>
          <cell r="AO12">
            <v>0.1</v>
          </cell>
          <cell r="AP12">
            <v>0.15</v>
          </cell>
          <cell r="AS12">
            <v>0.1</v>
          </cell>
          <cell r="AU12">
            <v>0.15</v>
          </cell>
          <cell r="AY12">
            <v>0.21</v>
          </cell>
          <cell r="AZ12">
            <v>0.21</v>
          </cell>
          <cell r="BA12">
            <v>1.5</v>
          </cell>
          <cell r="BB12">
            <v>0.08</v>
          </cell>
          <cell r="BC12">
            <v>0.12</v>
          </cell>
          <cell r="BF12">
            <v>0.08</v>
          </cell>
          <cell r="BH12">
            <v>0.12</v>
          </cell>
          <cell r="BL12">
            <v>0.16</v>
          </cell>
          <cell r="BM12">
            <v>0.16</v>
          </cell>
          <cell r="BN12">
            <v>1.5</v>
          </cell>
          <cell r="BO12">
            <v>1</v>
          </cell>
          <cell r="BP12">
            <v>1.3</v>
          </cell>
          <cell r="BQ12">
            <v>1.4</v>
          </cell>
          <cell r="BR12">
            <v>1.4</v>
          </cell>
          <cell r="BS12">
            <v>1.8</v>
          </cell>
          <cell r="BT12">
            <v>2.1</v>
          </cell>
          <cell r="BU12">
            <v>2.2999999999999998</v>
          </cell>
          <cell r="BV12">
            <v>1.5</v>
          </cell>
          <cell r="BW12">
            <v>1.5</v>
          </cell>
          <cell r="BX12">
            <v>1.8</v>
          </cell>
          <cell r="BY12">
            <v>1.8</v>
          </cell>
          <cell r="BZ12">
            <v>2.6</v>
          </cell>
          <cell r="CA12">
            <v>2.6</v>
          </cell>
          <cell r="CB12">
            <v>2.8</v>
          </cell>
          <cell r="CC12">
            <v>3</v>
          </cell>
          <cell r="CD12">
            <v>1.5</v>
          </cell>
          <cell r="CE12">
            <v>0.4</v>
          </cell>
          <cell r="CF12">
            <v>0.3</v>
          </cell>
          <cell r="CG12">
            <v>0.3</v>
          </cell>
          <cell r="CH12">
            <v>1</v>
          </cell>
          <cell r="CI12">
            <v>1</v>
          </cell>
          <cell r="CJ12">
            <v>0.9</v>
          </cell>
          <cell r="CK12">
            <v>1.2</v>
          </cell>
          <cell r="CL12">
            <v>1.5</v>
          </cell>
          <cell r="CM12">
            <v>0.7</v>
          </cell>
          <cell r="CN12">
            <v>0.8</v>
          </cell>
          <cell r="CO12">
            <v>0.8</v>
          </cell>
          <cell r="CP12">
            <v>0.9</v>
          </cell>
          <cell r="CQ12">
            <v>1</v>
          </cell>
          <cell r="CR12">
            <v>1.2</v>
          </cell>
          <cell r="CS12">
            <v>1.6</v>
          </cell>
          <cell r="CT12">
            <v>1.5</v>
          </cell>
          <cell r="CU12">
            <v>2.4</v>
          </cell>
          <cell r="CV12">
            <v>2.6</v>
          </cell>
          <cell r="CY12">
            <v>2.4</v>
          </cell>
          <cell r="DA12">
            <v>2.6</v>
          </cell>
          <cell r="DE12">
            <v>4</v>
          </cell>
          <cell r="DF12">
            <v>4</v>
          </cell>
          <cell r="DG12">
            <v>1.5</v>
          </cell>
          <cell r="DH12">
            <v>5</v>
          </cell>
          <cell r="DI12">
            <v>5.4</v>
          </cell>
          <cell r="DL12">
            <v>5</v>
          </cell>
          <cell r="DN12">
            <v>5.4</v>
          </cell>
          <cell r="DR12">
            <v>7.7</v>
          </cell>
          <cell r="DS12">
            <v>7.7</v>
          </cell>
          <cell r="EG12">
            <v>1.5</v>
          </cell>
          <cell r="EH12">
            <v>6.8</v>
          </cell>
          <cell r="EI12">
            <v>7.1</v>
          </cell>
          <cell r="EL12">
            <v>6.8</v>
          </cell>
          <cell r="EN12">
            <v>7.1</v>
          </cell>
          <cell r="ER12">
            <v>10.199999999999999</v>
          </cell>
          <cell r="ES12">
            <v>10.199999999999999</v>
          </cell>
          <cell r="ET12">
            <v>1.5</v>
          </cell>
          <cell r="EU12">
            <v>2.9</v>
          </cell>
          <cell r="EV12">
            <v>3.7</v>
          </cell>
          <cell r="EW12">
            <v>2.9</v>
          </cell>
          <cell r="EX12">
            <v>2.9</v>
          </cell>
          <cell r="EY12">
            <v>2.9</v>
          </cell>
          <cell r="EZ12">
            <v>2.9</v>
          </cell>
          <cell r="FA12">
            <v>3.7</v>
          </cell>
          <cell r="FB12">
            <v>3.7</v>
          </cell>
          <cell r="FC12">
            <v>3.7</v>
          </cell>
          <cell r="FD12">
            <v>4.9000000000000004</v>
          </cell>
          <cell r="FE12">
            <v>4.9000000000000004</v>
          </cell>
          <cell r="FF12">
            <v>4.9000000000000004</v>
          </cell>
          <cell r="FG12">
            <v>1.5</v>
          </cell>
          <cell r="FH12">
            <v>2.6</v>
          </cell>
          <cell r="FI12">
            <v>3.2</v>
          </cell>
          <cell r="FJ12">
            <v>1.5</v>
          </cell>
          <cell r="FK12">
            <v>0.9</v>
          </cell>
          <cell r="FL12">
            <v>0.9</v>
          </cell>
          <cell r="FM12">
            <v>0.9</v>
          </cell>
          <cell r="FN12">
            <v>0.9</v>
          </cell>
          <cell r="FO12">
            <v>0.9</v>
          </cell>
          <cell r="FP12">
            <v>0.9</v>
          </cell>
          <cell r="FQ12">
            <v>0.9</v>
          </cell>
          <cell r="FR12">
            <v>1.2</v>
          </cell>
          <cell r="FS12">
            <v>1.2</v>
          </cell>
          <cell r="FT12">
            <v>1.2</v>
          </cell>
          <cell r="FU12">
            <v>1.2</v>
          </cell>
          <cell r="FV12">
            <v>1.2</v>
          </cell>
          <cell r="FW12">
            <v>1.5</v>
          </cell>
          <cell r="FX12">
            <v>0.3</v>
          </cell>
          <cell r="FY12">
            <v>0.7</v>
          </cell>
        </row>
        <row r="13">
          <cell r="A13">
            <v>2</v>
          </cell>
          <cell r="B13">
            <v>0.2</v>
          </cell>
          <cell r="C13">
            <v>0.24</v>
          </cell>
          <cell r="D13">
            <v>0.2</v>
          </cell>
          <cell r="E13">
            <v>0.2</v>
          </cell>
          <cell r="F13">
            <v>0.2</v>
          </cell>
          <cell r="G13">
            <v>0.2</v>
          </cell>
          <cell r="H13">
            <v>0.24</v>
          </cell>
          <cell r="I13">
            <v>0.24</v>
          </cell>
          <cell r="J13">
            <v>0.24</v>
          </cell>
          <cell r="K13">
            <v>0.24</v>
          </cell>
          <cell r="L13">
            <v>0.24</v>
          </cell>
          <cell r="M13">
            <v>0.24</v>
          </cell>
          <cell r="N13">
            <v>2</v>
          </cell>
          <cell r="O13">
            <v>0.34</v>
          </cell>
          <cell r="P13">
            <v>0.4</v>
          </cell>
          <cell r="Q13">
            <v>0.34</v>
          </cell>
          <cell r="R13">
            <v>0.34</v>
          </cell>
          <cell r="S13">
            <v>0.34</v>
          </cell>
          <cell r="T13">
            <v>0.34</v>
          </cell>
          <cell r="U13">
            <v>0.4</v>
          </cell>
          <cell r="V13">
            <v>0.4</v>
          </cell>
          <cell r="W13">
            <v>0.49</v>
          </cell>
          <cell r="X13">
            <v>0.49</v>
          </cell>
          <cell r="Y13">
            <v>0.49</v>
          </cell>
          <cell r="Z13">
            <v>0.49</v>
          </cell>
          <cell r="AA13">
            <v>2</v>
          </cell>
          <cell r="AB13">
            <v>1</v>
          </cell>
          <cell r="AC13">
            <v>1</v>
          </cell>
          <cell r="AF13">
            <v>1</v>
          </cell>
          <cell r="AH13">
            <v>1</v>
          </cell>
          <cell r="AL13">
            <v>1.6</v>
          </cell>
          <cell r="AM13">
            <v>1.6</v>
          </cell>
          <cell r="AN13">
            <v>2</v>
          </cell>
          <cell r="AO13">
            <v>0.1</v>
          </cell>
          <cell r="AP13">
            <v>0.15</v>
          </cell>
          <cell r="AS13">
            <v>0.1</v>
          </cell>
          <cell r="AU13">
            <v>0.15</v>
          </cell>
          <cell r="AY13">
            <v>0.21</v>
          </cell>
          <cell r="AZ13">
            <v>0.21</v>
          </cell>
          <cell r="BA13">
            <v>2</v>
          </cell>
          <cell r="BB13">
            <v>0.08</v>
          </cell>
          <cell r="BC13">
            <v>0.12</v>
          </cell>
          <cell r="BF13">
            <v>0.08</v>
          </cell>
          <cell r="BH13">
            <v>0.12</v>
          </cell>
          <cell r="BL13">
            <v>0.16</v>
          </cell>
          <cell r="BM13">
            <v>0.16</v>
          </cell>
          <cell r="BN13">
            <v>2</v>
          </cell>
          <cell r="BO13">
            <v>1.3</v>
          </cell>
          <cell r="BP13">
            <v>1.4</v>
          </cell>
          <cell r="BQ13">
            <v>1.8</v>
          </cell>
          <cell r="BR13">
            <v>1.8</v>
          </cell>
          <cell r="BS13">
            <v>2.4</v>
          </cell>
          <cell r="BT13">
            <v>2.7</v>
          </cell>
          <cell r="BU13">
            <v>3</v>
          </cell>
          <cell r="BV13">
            <v>2</v>
          </cell>
          <cell r="BW13">
            <v>1.5</v>
          </cell>
          <cell r="BX13">
            <v>1.8</v>
          </cell>
          <cell r="BY13">
            <v>1.8</v>
          </cell>
          <cell r="BZ13">
            <v>2.6</v>
          </cell>
          <cell r="CA13">
            <v>2.6</v>
          </cell>
          <cell r="CB13">
            <v>2.8</v>
          </cell>
          <cell r="CC13">
            <v>3</v>
          </cell>
          <cell r="CD13">
            <v>2</v>
          </cell>
          <cell r="CE13">
            <v>0.5</v>
          </cell>
          <cell r="CF13">
            <v>0.8</v>
          </cell>
          <cell r="CG13">
            <v>0.8</v>
          </cell>
          <cell r="CH13">
            <v>1.3</v>
          </cell>
          <cell r="CI13">
            <v>1.3</v>
          </cell>
          <cell r="CJ13">
            <v>1.5</v>
          </cell>
          <cell r="CK13">
            <v>1.8</v>
          </cell>
          <cell r="CL13">
            <v>2</v>
          </cell>
          <cell r="CM13">
            <v>0.7</v>
          </cell>
          <cell r="CN13">
            <v>0.8</v>
          </cell>
          <cell r="CO13">
            <v>0.8</v>
          </cell>
          <cell r="CP13">
            <v>0.9</v>
          </cell>
          <cell r="CQ13">
            <v>1</v>
          </cell>
          <cell r="CR13">
            <v>1.2</v>
          </cell>
          <cell r="CS13">
            <v>1.6</v>
          </cell>
          <cell r="CT13">
            <v>2</v>
          </cell>
          <cell r="CU13">
            <v>2.5</v>
          </cell>
          <cell r="CV13">
            <v>3.1</v>
          </cell>
          <cell r="CY13">
            <v>2.5</v>
          </cell>
          <cell r="DA13">
            <v>3.1</v>
          </cell>
          <cell r="DE13">
            <v>5.3</v>
          </cell>
          <cell r="DF13">
            <v>5.3</v>
          </cell>
          <cell r="DG13">
            <v>2</v>
          </cell>
          <cell r="DH13">
            <v>5.3</v>
          </cell>
          <cell r="DI13">
            <v>5.9</v>
          </cell>
          <cell r="DL13">
            <v>5.3</v>
          </cell>
          <cell r="DN13">
            <v>5.9</v>
          </cell>
          <cell r="DR13">
            <v>9.9</v>
          </cell>
          <cell r="DS13">
            <v>9.9</v>
          </cell>
          <cell r="EG13">
            <v>2</v>
          </cell>
          <cell r="EH13">
            <v>6.9</v>
          </cell>
          <cell r="EI13">
            <v>7.7</v>
          </cell>
          <cell r="EL13">
            <v>6.9</v>
          </cell>
          <cell r="EN13">
            <v>7.7</v>
          </cell>
          <cell r="ER13">
            <v>13.3</v>
          </cell>
          <cell r="ES13">
            <v>13.3</v>
          </cell>
          <cell r="ET13">
            <v>2</v>
          </cell>
          <cell r="EU13">
            <v>3.9</v>
          </cell>
          <cell r="EV13">
            <v>4.8</v>
          </cell>
          <cell r="EW13">
            <v>3.9</v>
          </cell>
          <cell r="EX13">
            <v>3.9</v>
          </cell>
          <cell r="EY13">
            <v>3.9</v>
          </cell>
          <cell r="EZ13">
            <v>3.9</v>
          </cell>
          <cell r="FA13">
            <v>4.8</v>
          </cell>
          <cell r="FB13">
            <v>4.8</v>
          </cell>
          <cell r="FC13">
            <v>4.8</v>
          </cell>
          <cell r="FD13">
            <v>6.4</v>
          </cell>
          <cell r="FE13">
            <v>6.4</v>
          </cell>
          <cell r="FF13">
            <v>6.4</v>
          </cell>
          <cell r="FG13">
            <v>2</v>
          </cell>
          <cell r="FH13">
            <v>3.3</v>
          </cell>
          <cell r="FI13">
            <v>4.0999999999999996</v>
          </cell>
          <cell r="FJ13">
            <v>2</v>
          </cell>
          <cell r="FK13">
            <v>1</v>
          </cell>
          <cell r="FL13">
            <v>1</v>
          </cell>
          <cell r="FM13">
            <v>1</v>
          </cell>
          <cell r="FN13">
            <v>1</v>
          </cell>
          <cell r="FO13">
            <v>1</v>
          </cell>
          <cell r="FP13">
            <v>1</v>
          </cell>
          <cell r="FQ13">
            <v>1</v>
          </cell>
          <cell r="FR13">
            <v>1.5</v>
          </cell>
          <cell r="FS13">
            <v>1.5</v>
          </cell>
          <cell r="FT13">
            <v>1.5</v>
          </cell>
          <cell r="FU13">
            <v>1.5</v>
          </cell>
          <cell r="FV13">
            <v>1.5</v>
          </cell>
          <cell r="FW13">
            <v>2</v>
          </cell>
          <cell r="FX13">
            <v>0.3</v>
          </cell>
          <cell r="FY13">
            <v>0.9</v>
          </cell>
        </row>
        <row r="14">
          <cell r="A14">
            <v>2.5</v>
          </cell>
          <cell r="B14">
            <v>0.21</v>
          </cell>
          <cell r="C14">
            <v>0.26</v>
          </cell>
          <cell r="D14">
            <v>0.21</v>
          </cell>
          <cell r="E14">
            <v>0.21</v>
          </cell>
          <cell r="F14">
            <v>0.21</v>
          </cell>
          <cell r="G14">
            <v>0.21</v>
          </cell>
          <cell r="H14">
            <v>0.26</v>
          </cell>
          <cell r="I14">
            <v>0.26</v>
          </cell>
          <cell r="J14">
            <v>0.26</v>
          </cell>
          <cell r="K14">
            <v>0.26</v>
          </cell>
          <cell r="L14">
            <v>0.26</v>
          </cell>
          <cell r="M14">
            <v>0.26</v>
          </cell>
          <cell r="N14">
            <v>2.5</v>
          </cell>
          <cell r="O14">
            <v>0.36</v>
          </cell>
          <cell r="P14">
            <v>0.44</v>
          </cell>
          <cell r="Q14">
            <v>0.36</v>
          </cell>
          <cell r="R14">
            <v>0.36</v>
          </cell>
          <cell r="S14">
            <v>0.36</v>
          </cell>
          <cell r="T14">
            <v>0.36</v>
          </cell>
          <cell r="U14">
            <v>0.44</v>
          </cell>
          <cell r="V14">
            <v>0.44</v>
          </cell>
          <cell r="W14">
            <v>0.54</v>
          </cell>
          <cell r="X14">
            <v>0.54</v>
          </cell>
          <cell r="Y14">
            <v>0.54</v>
          </cell>
          <cell r="Z14">
            <v>0.54</v>
          </cell>
          <cell r="AA14">
            <v>2.5</v>
          </cell>
          <cell r="AB14">
            <v>1.2</v>
          </cell>
          <cell r="AC14">
            <v>1.3</v>
          </cell>
          <cell r="AF14">
            <v>1.2</v>
          </cell>
          <cell r="AH14">
            <v>1.3</v>
          </cell>
          <cell r="AL14">
            <v>1.8</v>
          </cell>
          <cell r="AM14">
            <v>1.8</v>
          </cell>
          <cell r="AN14">
            <v>2.5</v>
          </cell>
          <cell r="AO14">
            <v>0.12</v>
          </cell>
          <cell r="AP14">
            <v>0.17</v>
          </cell>
          <cell r="AS14">
            <v>0.12</v>
          </cell>
          <cell r="AU14">
            <v>0.17</v>
          </cell>
          <cell r="AY14">
            <v>0.23</v>
          </cell>
          <cell r="AZ14">
            <v>0.23</v>
          </cell>
          <cell r="BA14">
            <v>2.5</v>
          </cell>
          <cell r="BB14">
            <v>0.09</v>
          </cell>
          <cell r="BC14">
            <v>0.14000000000000001</v>
          </cell>
          <cell r="BF14">
            <v>0.09</v>
          </cell>
          <cell r="BH14">
            <v>0.14000000000000001</v>
          </cell>
          <cell r="BL14">
            <v>0.18</v>
          </cell>
          <cell r="BM14">
            <v>0.18</v>
          </cell>
          <cell r="BN14">
            <v>2.5</v>
          </cell>
          <cell r="BO14">
            <v>1.5</v>
          </cell>
          <cell r="BP14">
            <v>1.7</v>
          </cell>
          <cell r="BQ14">
            <v>2.2999999999999998</v>
          </cell>
          <cell r="BR14">
            <v>2.2999999999999998</v>
          </cell>
          <cell r="BS14">
            <v>3</v>
          </cell>
          <cell r="BT14">
            <v>3.3</v>
          </cell>
          <cell r="BU14">
            <v>3.6</v>
          </cell>
          <cell r="BV14">
            <v>2.5</v>
          </cell>
          <cell r="BW14">
            <v>2</v>
          </cell>
          <cell r="BX14">
            <v>2.2999999999999998</v>
          </cell>
          <cell r="BY14">
            <v>2.2999999999999998</v>
          </cell>
          <cell r="BZ14">
            <v>3.4</v>
          </cell>
          <cell r="CA14">
            <v>3.4</v>
          </cell>
          <cell r="CB14">
            <v>3.6</v>
          </cell>
          <cell r="CC14">
            <v>4.2</v>
          </cell>
          <cell r="CD14">
            <v>2.5</v>
          </cell>
          <cell r="CE14">
            <v>0.8</v>
          </cell>
          <cell r="CF14">
            <v>1.1000000000000001</v>
          </cell>
          <cell r="CG14">
            <v>1.1000000000000001</v>
          </cell>
          <cell r="CH14">
            <v>1.5</v>
          </cell>
          <cell r="CI14">
            <v>1.5</v>
          </cell>
          <cell r="CJ14">
            <v>1.9</v>
          </cell>
          <cell r="CK14">
            <v>2.1</v>
          </cell>
          <cell r="CL14">
            <v>2.5</v>
          </cell>
          <cell r="CM14">
            <v>0.8</v>
          </cell>
          <cell r="CN14">
            <v>0.9</v>
          </cell>
          <cell r="CO14">
            <v>0.9</v>
          </cell>
          <cell r="CP14">
            <v>1</v>
          </cell>
          <cell r="CQ14">
            <v>1.2</v>
          </cell>
          <cell r="CR14">
            <v>1.5</v>
          </cell>
          <cell r="CS14">
            <v>2</v>
          </cell>
          <cell r="CT14">
            <v>2.5</v>
          </cell>
          <cell r="CU14">
            <v>2.8</v>
          </cell>
          <cell r="CV14">
            <v>3.8</v>
          </cell>
          <cell r="CY14">
            <v>2.8</v>
          </cell>
          <cell r="DA14">
            <v>3.8</v>
          </cell>
          <cell r="DE14">
            <v>5.9</v>
          </cell>
          <cell r="DF14">
            <v>5.9</v>
          </cell>
          <cell r="DG14">
            <v>2.5</v>
          </cell>
          <cell r="DH14">
            <v>5.8</v>
          </cell>
          <cell r="DI14">
            <v>7</v>
          </cell>
          <cell r="DL14">
            <v>5.8</v>
          </cell>
          <cell r="DN14">
            <v>7</v>
          </cell>
          <cell r="DR14">
            <v>10.8</v>
          </cell>
          <cell r="DS14">
            <v>10.8</v>
          </cell>
          <cell r="EG14">
            <v>2.5</v>
          </cell>
          <cell r="EH14">
            <v>7.8</v>
          </cell>
          <cell r="EI14">
            <v>9.3000000000000007</v>
          </cell>
          <cell r="EL14">
            <v>7.8</v>
          </cell>
          <cell r="EN14">
            <v>9.3000000000000007</v>
          </cell>
          <cell r="ER14">
            <v>14.6</v>
          </cell>
          <cell r="ES14">
            <v>14.6</v>
          </cell>
          <cell r="ET14">
            <v>2.5</v>
          </cell>
          <cell r="EU14">
            <v>4.5999999999999996</v>
          </cell>
          <cell r="EV14">
            <v>5.9</v>
          </cell>
          <cell r="EW14">
            <v>4.5999999999999996</v>
          </cell>
          <cell r="EX14">
            <v>4.5999999999999996</v>
          </cell>
          <cell r="EY14">
            <v>4.5999999999999996</v>
          </cell>
          <cell r="EZ14">
            <v>4.5999999999999996</v>
          </cell>
          <cell r="FA14">
            <v>5.9</v>
          </cell>
          <cell r="FB14">
            <v>5.9</v>
          </cell>
          <cell r="FC14">
            <v>5.9</v>
          </cell>
          <cell r="FD14">
            <v>7.7</v>
          </cell>
          <cell r="FE14">
            <v>7.7</v>
          </cell>
          <cell r="FF14">
            <v>7.7</v>
          </cell>
          <cell r="FG14">
            <v>2.5</v>
          </cell>
          <cell r="FH14">
            <v>3.9</v>
          </cell>
          <cell r="FI14">
            <v>4.8</v>
          </cell>
          <cell r="FJ14">
            <v>2.5</v>
          </cell>
          <cell r="FK14">
            <v>1.3</v>
          </cell>
          <cell r="FL14">
            <v>1.3</v>
          </cell>
          <cell r="FM14">
            <v>1.3</v>
          </cell>
          <cell r="FN14">
            <v>1.3</v>
          </cell>
          <cell r="FO14">
            <v>1.3</v>
          </cell>
          <cell r="FP14">
            <v>1.3</v>
          </cell>
          <cell r="FQ14">
            <v>1.3</v>
          </cell>
          <cell r="FR14">
            <v>1.6</v>
          </cell>
          <cell r="FS14">
            <v>1.6</v>
          </cell>
          <cell r="FT14">
            <v>1.6</v>
          </cell>
          <cell r="FU14">
            <v>1.6</v>
          </cell>
          <cell r="FV14">
            <v>1.6</v>
          </cell>
          <cell r="FW14">
            <v>2.5</v>
          </cell>
          <cell r="FX14">
            <v>0.4</v>
          </cell>
          <cell r="FY14">
            <v>1</v>
          </cell>
        </row>
        <row r="15">
          <cell r="A15">
            <v>3</v>
          </cell>
          <cell r="B15">
            <v>0.23</v>
          </cell>
          <cell r="C15">
            <v>0.28000000000000003</v>
          </cell>
          <cell r="D15">
            <v>0.23</v>
          </cell>
          <cell r="E15">
            <v>0.23</v>
          </cell>
          <cell r="F15">
            <v>0.23</v>
          </cell>
          <cell r="G15">
            <v>0.23</v>
          </cell>
          <cell r="H15">
            <v>0.28000000000000003</v>
          </cell>
          <cell r="I15">
            <v>0.28000000000000003</v>
          </cell>
          <cell r="J15">
            <v>0.28000000000000003</v>
          </cell>
          <cell r="K15">
            <v>0.28000000000000003</v>
          </cell>
          <cell r="L15">
            <v>0.28000000000000003</v>
          </cell>
          <cell r="M15">
            <v>0.28000000000000003</v>
          </cell>
          <cell r="N15">
            <v>3</v>
          </cell>
          <cell r="O15">
            <v>0.39</v>
          </cell>
          <cell r="P15">
            <v>0.48</v>
          </cell>
          <cell r="Q15">
            <v>0.39</v>
          </cell>
          <cell r="R15">
            <v>0.39</v>
          </cell>
          <cell r="S15">
            <v>0.39</v>
          </cell>
          <cell r="T15">
            <v>0.39</v>
          </cell>
          <cell r="U15">
            <v>0.48</v>
          </cell>
          <cell r="V15">
            <v>0.48</v>
          </cell>
          <cell r="W15">
            <v>0.59</v>
          </cell>
          <cell r="X15">
            <v>0.59</v>
          </cell>
          <cell r="Y15">
            <v>0.59</v>
          </cell>
          <cell r="Z15">
            <v>0.59</v>
          </cell>
          <cell r="AA15">
            <v>3</v>
          </cell>
          <cell r="AB15">
            <v>1.3</v>
          </cell>
          <cell r="AC15">
            <v>1.4</v>
          </cell>
          <cell r="AF15">
            <v>1.3</v>
          </cell>
          <cell r="AH15">
            <v>1.4</v>
          </cell>
          <cell r="AL15">
            <v>2.1</v>
          </cell>
          <cell r="AM15">
            <v>2.1</v>
          </cell>
          <cell r="AN15">
            <v>3</v>
          </cell>
          <cell r="AO15">
            <v>0.15</v>
          </cell>
          <cell r="AP15">
            <v>0.21</v>
          </cell>
          <cell r="AS15">
            <v>0.15</v>
          </cell>
          <cell r="AU15">
            <v>0.21</v>
          </cell>
          <cell r="AY15">
            <v>0.28000000000000003</v>
          </cell>
          <cell r="AZ15">
            <v>0.28000000000000003</v>
          </cell>
          <cell r="BA15">
            <v>3</v>
          </cell>
          <cell r="BB15">
            <v>0.12</v>
          </cell>
          <cell r="BC15">
            <v>0.16</v>
          </cell>
          <cell r="BF15">
            <v>0.12</v>
          </cell>
          <cell r="BH15">
            <v>0.16</v>
          </cell>
          <cell r="BL15">
            <v>0.22</v>
          </cell>
          <cell r="BM15">
            <v>0.22</v>
          </cell>
          <cell r="BN15">
            <v>3</v>
          </cell>
          <cell r="BO15">
            <v>1.8</v>
          </cell>
          <cell r="BP15">
            <v>2.1</v>
          </cell>
          <cell r="BQ15">
            <v>2.9</v>
          </cell>
          <cell r="BR15">
            <v>2.9</v>
          </cell>
          <cell r="BS15">
            <v>3.6</v>
          </cell>
          <cell r="BT15">
            <v>4</v>
          </cell>
          <cell r="BU15">
            <v>4.4000000000000004</v>
          </cell>
          <cell r="BV15">
            <v>3</v>
          </cell>
          <cell r="BW15">
            <v>2.5</v>
          </cell>
          <cell r="BX15">
            <v>2.8</v>
          </cell>
          <cell r="BY15">
            <v>2.8</v>
          </cell>
          <cell r="BZ15">
            <v>4.0999999999999996</v>
          </cell>
          <cell r="CA15">
            <v>4.0999999999999996</v>
          </cell>
          <cell r="CB15">
            <v>4.3</v>
          </cell>
          <cell r="CC15">
            <v>4.5</v>
          </cell>
          <cell r="CD15">
            <v>3</v>
          </cell>
          <cell r="CE15">
            <v>1.2</v>
          </cell>
          <cell r="CF15">
            <v>1.5</v>
          </cell>
          <cell r="CG15">
            <v>1.5</v>
          </cell>
          <cell r="CH15">
            <v>2</v>
          </cell>
          <cell r="CI15">
            <v>2</v>
          </cell>
          <cell r="CJ15">
            <v>2.4</v>
          </cell>
          <cell r="CK15">
            <v>2.6</v>
          </cell>
          <cell r="CL15">
            <v>3</v>
          </cell>
          <cell r="CM15">
            <v>0.8</v>
          </cell>
          <cell r="CN15">
            <v>0.9</v>
          </cell>
          <cell r="CO15">
            <v>0.9</v>
          </cell>
          <cell r="CP15">
            <v>1</v>
          </cell>
          <cell r="CQ15">
            <v>1.2</v>
          </cell>
          <cell r="CR15">
            <v>1.5</v>
          </cell>
          <cell r="CS15">
            <v>2</v>
          </cell>
          <cell r="CT15">
            <v>3</v>
          </cell>
          <cell r="CU15">
            <v>3.2</v>
          </cell>
          <cell r="CV15">
            <v>4.4000000000000004</v>
          </cell>
          <cell r="CY15">
            <v>3.2</v>
          </cell>
          <cell r="DA15">
            <v>4.4000000000000004</v>
          </cell>
          <cell r="DE15">
            <v>6.6</v>
          </cell>
          <cell r="DF15">
            <v>6.6</v>
          </cell>
          <cell r="DG15">
            <v>3</v>
          </cell>
          <cell r="DH15">
            <v>6.7</v>
          </cell>
          <cell r="DI15">
            <v>7.9</v>
          </cell>
          <cell r="DL15">
            <v>6.7</v>
          </cell>
          <cell r="DN15">
            <v>7.9</v>
          </cell>
          <cell r="DR15">
            <v>12</v>
          </cell>
          <cell r="DS15">
            <v>12</v>
          </cell>
          <cell r="EG15">
            <v>3</v>
          </cell>
          <cell r="EH15">
            <v>8.6999999999999993</v>
          </cell>
          <cell r="EI15">
            <v>10.5</v>
          </cell>
          <cell r="EL15">
            <v>8.6999999999999993</v>
          </cell>
          <cell r="EN15">
            <v>10.5</v>
          </cell>
          <cell r="ER15">
            <v>16.100000000000001</v>
          </cell>
          <cell r="ES15">
            <v>16.100000000000001</v>
          </cell>
          <cell r="ET15">
            <v>3</v>
          </cell>
          <cell r="EU15">
            <v>5.3</v>
          </cell>
          <cell r="EV15">
            <v>6.8</v>
          </cell>
          <cell r="EW15">
            <v>5.3</v>
          </cell>
          <cell r="EX15">
            <v>5.3</v>
          </cell>
          <cell r="EY15">
            <v>5.3</v>
          </cell>
          <cell r="EZ15">
            <v>5.3</v>
          </cell>
          <cell r="FA15">
            <v>6.8</v>
          </cell>
          <cell r="FB15">
            <v>6.8</v>
          </cell>
          <cell r="FC15">
            <v>6.8</v>
          </cell>
          <cell r="FD15">
            <v>10.6</v>
          </cell>
          <cell r="FE15">
            <v>10.6</v>
          </cell>
          <cell r="FF15">
            <v>10.6</v>
          </cell>
          <cell r="FG15">
            <v>3</v>
          </cell>
          <cell r="FH15">
            <v>4.5999999999999996</v>
          </cell>
          <cell r="FI15">
            <v>5.6</v>
          </cell>
          <cell r="FJ15">
            <v>3</v>
          </cell>
          <cell r="FK15">
            <v>1.4</v>
          </cell>
          <cell r="FL15">
            <v>1.4</v>
          </cell>
          <cell r="FM15">
            <v>1.4</v>
          </cell>
          <cell r="FN15">
            <v>1.4</v>
          </cell>
          <cell r="FO15">
            <v>1.4</v>
          </cell>
          <cell r="FP15">
            <v>1.4</v>
          </cell>
          <cell r="FQ15">
            <v>1.4</v>
          </cell>
          <cell r="FR15">
            <v>2</v>
          </cell>
          <cell r="FS15">
            <v>2</v>
          </cell>
          <cell r="FT15">
            <v>2</v>
          </cell>
          <cell r="FU15">
            <v>2</v>
          </cell>
          <cell r="FV15">
            <v>2</v>
          </cell>
          <cell r="FW15">
            <v>3</v>
          </cell>
          <cell r="FX15">
            <v>0.4</v>
          </cell>
          <cell r="FY15">
            <v>1.2</v>
          </cell>
        </row>
        <row r="16">
          <cell r="A16">
            <v>3.5</v>
          </cell>
          <cell r="B16">
            <v>0.24</v>
          </cell>
          <cell r="C16">
            <v>0.3</v>
          </cell>
          <cell r="D16">
            <v>0.24</v>
          </cell>
          <cell r="E16">
            <v>0.24</v>
          </cell>
          <cell r="F16">
            <v>0.24</v>
          </cell>
          <cell r="G16">
            <v>0.24</v>
          </cell>
          <cell r="H16">
            <v>0.3</v>
          </cell>
          <cell r="I16">
            <v>0.3</v>
          </cell>
          <cell r="J16">
            <v>0.3</v>
          </cell>
          <cell r="K16">
            <v>0.3</v>
          </cell>
          <cell r="L16">
            <v>0.3</v>
          </cell>
          <cell r="M16">
            <v>0.3</v>
          </cell>
          <cell r="N16">
            <v>3.5</v>
          </cell>
          <cell r="O16">
            <v>0.4</v>
          </cell>
          <cell r="P16">
            <v>0.5</v>
          </cell>
          <cell r="Q16">
            <v>0.4</v>
          </cell>
          <cell r="R16">
            <v>0.4</v>
          </cell>
          <cell r="S16">
            <v>0.4</v>
          </cell>
          <cell r="T16">
            <v>0.4</v>
          </cell>
          <cell r="U16">
            <v>0.5</v>
          </cell>
          <cell r="V16">
            <v>0.5</v>
          </cell>
          <cell r="W16">
            <v>0.62</v>
          </cell>
          <cell r="X16">
            <v>0.62</v>
          </cell>
          <cell r="Y16">
            <v>0.62</v>
          </cell>
          <cell r="Z16">
            <v>0.62</v>
          </cell>
          <cell r="AA16">
            <v>3.5</v>
          </cell>
          <cell r="AB16">
            <v>1.4</v>
          </cell>
          <cell r="AC16">
            <v>1.6</v>
          </cell>
          <cell r="AF16">
            <v>1.4</v>
          </cell>
          <cell r="AH16">
            <v>1.6</v>
          </cell>
          <cell r="AL16">
            <v>2.68</v>
          </cell>
          <cell r="AM16">
            <v>2.68</v>
          </cell>
          <cell r="AN16">
            <v>3.5</v>
          </cell>
          <cell r="AO16">
            <v>0.18</v>
          </cell>
          <cell r="AP16">
            <v>0.25</v>
          </cell>
          <cell r="AS16">
            <v>0.18</v>
          </cell>
          <cell r="AU16">
            <v>0.25</v>
          </cell>
          <cell r="AY16">
            <v>0.35</v>
          </cell>
          <cell r="AZ16">
            <v>0.35</v>
          </cell>
          <cell r="BA16">
            <v>3.5</v>
          </cell>
          <cell r="BB16">
            <v>0.14000000000000001</v>
          </cell>
          <cell r="BC16">
            <v>0.19</v>
          </cell>
          <cell r="BF16">
            <v>0.14000000000000001</v>
          </cell>
          <cell r="BH16">
            <v>0.19</v>
          </cell>
          <cell r="BL16">
            <v>0.27</v>
          </cell>
          <cell r="BM16">
            <v>0.27</v>
          </cell>
          <cell r="BN16">
            <v>3.5</v>
          </cell>
          <cell r="BO16">
            <v>2.2000000000000002</v>
          </cell>
          <cell r="BP16">
            <v>2.4</v>
          </cell>
          <cell r="BQ16">
            <v>3.3</v>
          </cell>
          <cell r="BR16">
            <v>3.3</v>
          </cell>
          <cell r="BS16">
            <v>4.2</v>
          </cell>
          <cell r="BT16">
            <v>4.7</v>
          </cell>
          <cell r="BU16">
            <v>5.2</v>
          </cell>
          <cell r="BV16">
            <v>3.5</v>
          </cell>
          <cell r="BW16">
            <v>2.9</v>
          </cell>
          <cell r="BX16">
            <v>3.2</v>
          </cell>
          <cell r="BY16">
            <v>3.2</v>
          </cell>
          <cell r="BZ16">
            <v>4.5999999999999996</v>
          </cell>
          <cell r="CA16">
            <v>4.5999999999999996</v>
          </cell>
          <cell r="CB16">
            <v>5</v>
          </cell>
          <cell r="CC16">
            <v>5.2</v>
          </cell>
          <cell r="CD16">
            <v>3.5</v>
          </cell>
          <cell r="CE16">
            <v>1.4</v>
          </cell>
          <cell r="CF16">
            <v>1.7</v>
          </cell>
          <cell r="CG16">
            <v>1.7</v>
          </cell>
          <cell r="CH16">
            <v>2.2999999999999998</v>
          </cell>
          <cell r="CI16">
            <v>2.2999999999999998</v>
          </cell>
          <cell r="CJ16">
            <v>2.7</v>
          </cell>
          <cell r="CK16">
            <v>2.9</v>
          </cell>
          <cell r="CL16">
            <v>3.5</v>
          </cell>
          <cell r="CM16">
            <v>1</v>
          </cell>
          <cell r="CN16">
            <v>1.2</v>
          </cell>
          <cell r="CO16">
            <v>1.2</v>
          </cell>
          <cell r="CP16">
            <v>1.3</v>
          </cell>
          <cell r="CQ16">
            <v>1.5</v>
          </cell>
          <cell r="CR16">
            <v>1.8</v>
          </cell>
          <cell r="CS16">
            <v>2.4</v>
          </cell>
          <cell r="CT16">
            <v>3.5</v>
          </cell>
          <cell r="CU16">
            <v>3.7</v>
          </cell>
          <cell r="CV16">
            <v>4.9000000000000004</v>
          </cell>
          <cell r="CY16">
            <v>3.7</v>
          </cell>
          <cell r="DA16">
            <v>4.9000000000000004</v>
          </cell>
          <cell r="DE16">
            <v>7.6</v>
          </cell>
          <cell r="DF16">
            <v>7.6</v>
          </cell>
          <cell r="DG16">
            <v>3.5</v>
          </cell>
          <cell r="DH16">
            <v>7.5</v>
          </cell>
          <cell r="DI16">
            <v>8.6999999999999993</v>
          </cell>
          <cell r="DL16">
            <v>7.5</v>
          </cell>
          <cell r="DN16">
            <v>8.6999999999999993</v>
          </cell>
          <cell r="DR16">
            <v>13.65</v>
          </cell>
          <cell r="DS16">
            <v>13.65</v>
          </cell>
          <cell r="EG16">
            <v>3.5</v>
          </cell>
          <cell r="EH16">
            <v>10</v>
          </cell>
          <cell r="EI16">
            <v>11.6</v>
          </cell>
          <cell r="EL16">
            <v>10</v>
          </cell>
          <cell r="EN16">
            <v>11.6</v>
          </cell>
          <cell r="ER16">
            <v>18.149999999999999</v>
          </cell>
          <cell r="ES16">
            <v>18.149999999999999</v>
          </cell>
          <cell r="ET16">
            <v>3.5</v>
          </cell>
          <cell r="EU16">
            <v>6.15</v>
          </cell>
          <cell r="EV16">
            <v>7.65</v>
          </cell>
          <cell r="EW16">
            <v>6.15</v>
          </cell>
          <cell r="EX16">
            <v>6.15</v>
          </cell>
          <cell r="EY16">
            <v>6.15</v>
          </cell>
          <cell r="EZ16">
            <v>6.15</v>
          </cell>
          <cell r="FA16">
            <v>7.65</v>
          </cell>
          <cell r="FB16">
            <v>7.65</v>
          </cell>
          <cell r="FC16">
            <v>7.65</v>
          </cell>
          <cell r="FD16">
            <v>10.95</v>
          </cell>
          <cell r="FE16">
            <v>10.95</v>
          </cell>
          <cell r="FF16">
            <v>10.95</v>
          </cell>
          <cell r="FW16">
            <v>3.5</v>
          </cell>
          <cell r="FX16">
            <v>0.4</v>
          </cell>
          <cell r="FY16">
            <v>1.4</v>
          </cell>
        </row>
        <row r="17">
          <cell r="A17">
            <v>4</v>
          </cell>
          <cell r="B17">
            <v>0.25</v>
          </cell>
          <cell r="C17">
            <v>0.31</v>
          </cell>
          <cell r="D17">
            <v>0.25</v>
          </cell>
          <cell r="E17">
            <v>0.25</v>
          </cell>
          <cell r="F17">
            <v>0.25</v>
          </cell>
          <cell r="G17">
            <v>0.25</v>
          </cell>
          <cell r="H17">
            <v>0.31</v>
          </cell>
          <cell r="I17">
            <v>0.31</v>
          </cell>
          <cell r="J17">
            <v>0.31</v>
          </cell>
          <cell r="K17">
            <v>0.31</v>
          </cell>
          <cell r="L17">
            <v>0.31</v>
          </cell>
          <cell r="M17">
            <v>0.31</v>
          </cell>
          <cell r="N17">
            <v>4</v>
          </cell>
          <cell r="O17">
            <v>0.41</v>
          </cell>
          <cell r="P17">
            <v>0.52</v>
          </cell>
          <cell r="Q17">
            <v>0.41</v>
          </cell>
          <cell r="R17">
            <v>0.41</v>
          </cell>
          <cell r="S17">
            <v>0.41</v>
          </cell>
          <cell r="T17">
            <v>0.41</v>
          </cell>
          <cell r="U17">
            <v>0.52</v>
          </cell>
          <cell r="V17">
            <v>0.52</v>
          </cell>
          <cell r="W17">
            <v>0.66</v>
          </cell>
          <cell r="X17">
            <v>0.66</v>
          </cell>
          <cell r="Y17">
            <v>0.66</v>
          </cell>
          <cell r="Z17">
            <v>0.66</v>
          </cell>
          <cell r="AA17">
            <v>4</v>
          </cell>
          <cell r="AB17">
            <v>1.5</v>
          </cell>
          <cell r="AC17">
            <v>1.8</v>
          </cell>
          <cell r="AF17">
            <v>1.5</v>
          </cell>
          <cell r="AH17">
            <v>1.8</v>
          </cell>
          <cell r="AJ17">
            <v>2.8</v>
          </cell>
          <cell r="AL17">
            <v>3</v>
          </cell>
          <cell r="AM17">
            <v>3</v>
          </cell>
          <cell r="AN17">
            <v>4</v>
          </cell>
          <cell r="AO17">
            <v>0.21</v>
          </cell>
          <cell r="AP17">
            <v>0.28000000000000003</v>
          </cell>
          <cell r="AS17">
            <v>0.21</v>
          </cell>
          <cell r="AU17">
            <v>0.28000000000000003</v>
          </cell>
          <cell r="AW17">
            <v>0.38</v>
          </cell>
          <cell r="AY17">
            <v>0.41</v>
          </cell>
          <cell r="AZ17">
            <v>0.41</v>
          </cell>
          <cell r="BA17">
            <v>4</v>
          </cell>
          <cell r="BB17">
            <v>0.16</v>
          </cell>
          <cell r="BC17">
            <v>0.22</v>
          </cell>
          <cell r="BF17">
            <v>0.16</v>
          </cell>
          <cell r="BH17">
            <v>0.22</v>
          </cell>
          <cell r="BJ17">
            <v>0.3</v>
          </cell>
          <cell r="BL17">
            <v>0.32</v>
          </cell>
          <cell r="BM17">
            <v>0.32</v>
          </cell>
          <cell r="BN17">
            <v>4</v>
          </cell>
          <cell r="BO17">
            <v>2.4</v>
          </cell>
          <cell r="BP17">
            <v>2.6</v>
          </cell>
          <cell r="BQ17">
            <v>3.5</v>
          </cell>
          <cell r="BR17">
            <v>3.8</v>
          </cell>
          <cell r="BS17">
            <v>4.8</v>
          </cell>
          <cell r="BT17">
            <v>5.4</v>
          </cell>
          <cell r="BU17">
            <v>5.9</v>
          </cell>
          <cell r="BV17">
            <v>4</v>
          </cell>
          <cell r="BW17">
            <v>3.2</v>
          </cell>
          <cell r="BX17">
            <v>3.5</v>
          </cell>
          <cell r="BY17">
            <v>3.5</v>
          </cell>
          <cell r="BZ17">
            <v>5</v>
          </cell>
          <cell r="CA17">
            <v>5</v>
          </cell>
          <cell r="CB17">
            <v>5.6</v>
          </cell>
          <cell r="CC17">
            <v>5.8</v>
          </cell>
          <cell r="CD17">
            <v>4</v>
          </cell>
          <cell r="CE17">
            <v>1.7</v>
          </cell>
          <cell r="CF17">
            <v>2</v>
          </cell>
          <cell r="CG17">
            <v>2</v>
          </cell>
          <cell r="CH17">
            <v>2.6</v>
          </cell>
          <cell r="CI17">
            <v>2.6</v>
          </cell>
          <cell r="CJ17">
            <v>3.1</v>
          </cell>
          <cell r="CK17">
            <v>3.4</v>
          </cell>
          <cell r="CL17">
            <v>4</v>
          </cell>
          <cell r="CM17">
            <v>1.2</v>
          </cell>
          <cell r="CN17">
            <v>1.4</v>
          </cell>
          <cell r="CO17">
            <v>1.4</v>
          </cell>
          <cell r="CP17">
            <v>1.5</v>
          </cell>
          <cell r="CQ17">
            <v>1.7</v>
          </cell>
          <cell r="CR17">
            <v>2.1</v>
          </cell>
          <cell r="CS17">
            <v>2.8</v>
          </cell>
          <cell r="CT17">
            <v>4</v>
          </cell>
          <cell r="CU17">
            <v>4</v>
          </cell>
          <cell r="CV17">
            <v>5.6</v>
          </cell>
          <cell r="CY17">
            <v>4</v>
          </cell>
          <cell r="DA17">
            <v>5.6</v>
          </cell>
          <cell r="DC17">
            <v>7</v>
          </cell>
          <cell r="DE17">
            <v>8.6</v>
          </cell>
          <cell r="DF17">
            <v>8.6</v>
          </cell>
          <cell r="DG17">
            <v>4</v>
          </cell>
          <cell r="DH17">
            <v>8.1</v>
          </cell>
          <cell r="DI17">
            <v>10</v>
          </cell>
          <cell r="DL17">
            <v>8.1</v>
          </cell>
          <cell r="DN17">
            <v>10</v>
          </cell>
          <cell r="DP17">
            <v>12.5</v>
          </cell>
          <cell r="DR17">
            <v>15.3</v>
          </cell>
          <cell r="DS17">
            <v>15.3</v>
          </cell>
          <cell r="EG17">
            <v>4</v>
          </cell>
          <cell r="EH17">
            <v>11.2</v>
          </cell>
          <cell r="EI17">
            <v>13.5</v>
          </cell>
          <cell r="EL17">
            <v>11.2</v>
          </cell>
          <cell r="EN17">
            <v>13.5</v>
          </cell>
          <cell r="ER17">
            <v>20.2</v>
          </cell>
          <cell r="ES17">
            <v>20.2</v>
          </cell>
          <cell r="ET17">
            <v>4</v>
          </cell>
          <cell r="EU17">
            <v>7</v>
          </cell>
          <cell r="EV17">
            <v>8.5</v>
          </cell>
          <cell r="EW17">
            <v>7</v>
          </cell>
          <cell r="EX17">
            <v>7</v>
          </cell>
          <cell r="EY17">
            <v>7</v>
          </cell>
          <cell r="EZ17">
            <v>7</v>
          </cell>
          <cell r="FA17">
            <v>8.5</v>
          </cell>
          <cell r="FB17">
            <v>8.5</v>
          </cell>
          <cell r="FC17">
            <v>8.5</v>
          </cell>
          <cell r="FD17">
            <v>11.3</v>
          </cell>
          <cell r="FE17">
            <v>11.3</v>
          </cell>
          <cell r="FF17">
            <v>11.3</v>
          </cell>
          <cell r="FW17">
            <v>4</v>
          </cell>
          <cell r="FX17">
            <v>0.5</v>
          </cell>
          <cell r="FY17">
            <v>1.6</v>
          </cell>
        </row>
        <row r="18">
          <cell r="A18">
            <v>5</v>
          </cell>
          <cell r="B18">
            <v>0.26</v>
          </cell>
          <cell r="C18">
            <v>0.34</v>
          </cell>
          <cell r="D18">
            <v>0.26</v>
          </cell>
          <cell r="E18">
            <v>0.26</v>
          </cell>
          <cell r="F18">
            <v>0.26</v>
          </cell>
          <cell r="G18">
            <v>0.26</v>
          </cell>
          <cell r="H18">
            <v>0.34</v>
          </cell>
          <cell r="I18">
            <v>0.34</v>
          </cell>
          <cell r="J18">
            <v>0.34</v>
          </cell>
          <cell r="K18">
            <v>0.34</v>
          </cell>
          <cell r="L18">
            <v>0.34</v>
          </cell>
          <cell r="M18">
            <v>0.34</v>
          </cell>
          <cell r="N18">
            <v>5</v>
          </cell>
          <cell r="O18">
            <v>0.44</v>
          </cell>
          <cell r="P18">
            <v>0.56999999999999995</v>
          </cell>
          <cell r="Q18">
            <v>0.44</v>
          </cell>
          <cell r="R18">
            <v>0.44</v>
          </cell>
          <cell r="S18">
            <v>0.44</v>
          </cell>
          <cell r="T18">
            <v>0.44</v>
          </cell>
          <cell r="U18">
            <v>0.56999999999999995</v>
          </cell>
          <cell r="V18">
            <v>0.56999999999999995</v>
          </cell>
          <cell r="W18">
            <v>0.72</v>
          </cell>
          <cell r="X18">
            <v>0.72</v>
          </cell>
          <cell r="Y18">
            <v>0.72</v>
          </cell>
          <cell r="Z18">
            <v>0.72</v>
          </cell>
          <cell r="AA18">
            <v>5</v>
          </cell>
          <cell r="AB18">
            <v>1.7</v>
          </cell>
          <cell r="AC18">
            <v>2.1</v>
          </cell>
          <cell r="AF18">
            <v>1.7</v>
          </cell>
          <cell r="AH18">
            <v>2.1</v>
          </cell>
          <cell r="AJ18">
            <v>2.9</v>
          </cell>
          <cell r="AL18">
            <v>3.8</v>
          </cell>
          <cell r="AM18">
            <v>3.8</v>
          </cell>
          <cell r="AN18">
            <v>5</v>
          </cell>
          <cell r="AO18">
            <v>0.24</v>
          </cell>
          <cell r="AP18">
            <v>0.36</v>
          </cell>
          <cell r="AS18">
            <v>0.24</v>
          </cell>
          <cell r="AU18">
            <v>0.36</v>
          </cell>
          <cell r="AW18">
            <v>0.44</v>
          </cell>
          <cell r="AY18">
            <v>0.49</v>
          </cell>
          <cell r="AZ18">
            <v>0.49</v>
          </cell>
          <cell r="BA18">
            <v>5</v>
          </cell>
          <cell r="BB18">
            <v>0.2</v>
          </cell>
          <cell r="BC18">
            <v>0.28000000000000003</v>
          </cell>
          <cell r="BF18">
            <v>0.2</v>
          </cell>
          <cell r="BH18">
            <v>0.28000000000000003</v>
          </cell>
          <cell r="BJ18">
            <v>0.35</v>
          </cell>
          <cell r="BL18">
            <v>0.39</v>
          </cell>
          <cell r="BM18">
            <v>0.39</v>
          </cell>
          <cell r="BN18">
            <v>5</v>
          </cell>
          <cell r="BO18">
            <v>3</v>
          </cell>
          <cell r="BP18">
            <v>3.3</v>
          </cell>
          <cell r="BQ18">
            <v>4.5</v>
          </cell>
          <cell r="BR18">
            <v>4.8</v>
          </cell>
          <cell r="BS18">
            <v>6.1</v>
          </cell>
          <cell r="BT18">
            <v>6.7</v>
          </cell>
          <cell r="BU18">
            <v>7.4</v>
          </cell>
          <cell r="BV18">
            <v>5</v>
          </cell>
          <cell r="BW18">
            <v>3.7</v>
          </cell>
          <cell r="BX18">
            <v>4.0999999999999996</v>
          </cell>
          <cell r="BY18">
            <v>4.0999999999999996</v>
          </cell>
          <cell r="BZ18">
            <v>5.9</v>
          </cell>
          <cell r="CA18">
            <v>5.9</v>
          </cell>
          <cell r="CB18">
            <v>6.5</v>
          </cell>
          <cell r="CC18">
            <v>6.7</v>
          </cell>
          <cell r="CD18">
            <v>5</v>
          </cell>
          <cell r="CE18">
            <v>2</v>
          </cell>
          <cell r="CF18">
            <v>2.4</v>
          </cell>
          <cell r="CG18">
            <v>2.4</v>
          </cell>
          <cell r="CH18">
            <v>3</v>
          </cell>
          <cell r="CI18">
            <v>3</v>
          </cell>
          <cell r="CJ18">
            <v>3.6</v>
          </cell>
          <cell r="CK18">
            <v>4</v>
          </cell>
          <cell r="CL18">
            <v>5</v>
          </cell>
          <cell r="CM18">
            <v>1.4</v>
          </cell>
          <cell r="CN18">
            <v>1.6</v>
          </cell>
          <cell r="CO18">
            <v>1.6</v>
          </cell>
          <cell r="CP18">
            <v>1.7</v>
          </cell>
          <cell r="CQ18">
            <v>1.9</v>
          </cell>
          <cell r="CR18">
            <v>2.4</v>
          </cell>
          <cell r="CS18">
            <v>3.1</v>
          </cell>
          <cell r="CT18">
            <v>5</v>
          </cell>
          <cell r="CU18">
            <v>5.0999999999999996</v>
          </cell>
          <cell r="CV18">
            <v>6.9</v>
          </cell>
          <cell r="CY18">
            <v>5.0999999999999996</v>
          </cell>
          <cell r="DA18">
            <v>6.9</v>
          </cell>
          <cell r="DC18">
            <v>8.6</v>
          </cell>
          <cell r="DE18">
            <v>10.7</v>
          </cell>
          <cell r="DF18">
            <v>10.7</v>
          </cell>
          <cell r="DG18">
            <v>5</v>
          </cell>
          <cell r="DH18">
            <v>9.8000000000000007</v>
          </cell>
          <cell r="DI18">
            <v>11.8</v>
          </cell>
          <cell r="DL18">
            <v>9.8000000000000007</v>
          </cell>
          <cell r="DN18">
            <v>11.8</v>
          </cell>
          <cell r="DP18">
            <v>15.1</v>
          </cell>
          <cell r="DR18">
            <v>18.399999999999999</v>
          </cell>
          <cell r="DS18">
            <v>18.399999999999999</v>
          </cell>
          <cell r="EG18">
            <v>5</v>
          </cell>
          <cell r="EH18">
            <v>13.1</v>
          </cell>
          <cell r="EI18">
            <v>15.8</v>
          </cell>
          <cell r="EL18">
            <v>13.1</v>
          </cell>
          <cell r="EN18">
            <v>15.8</v>
          </cell>
          <cell r="ER18">
            <v>25</v>
          </cell>
          <cell r="ES18">
            <v>25</v>
          </cell>
          <cell r="ET18">
            <v>5</v>
          </cell>
          <cell r="EU18">
            <v>7.9</v>
          </cell>
          <cell r="EV18">
            <v>9.3000000000000007</v>
          </cell>
          <cell r="EW18">
            <v>7.9</v>
          </cell>
          <cell r="EX18">
            <v>7.9</v>
          </cell>
          <cell r="EY18">
            <v>7.9</v>
          </cell>
          <cell r="EZ18">
            <v>7.9</v>
          </cell>
          <cell r="FA18">
            <v>9.3000000000000007</v>
          </cell>
          <cell r="FB18">
            <v>9.3000000000000007</v>
          </cell>
          <cell r="FC18">
            <v>9.3000000000000007</v>
          </cell>
          <cell r="FD18">
            <v>13.7</v>
          </cell>
          <cell r="FE18">
            <v>13.7</v>
          </cell>
          <cell r="FF18">
            <v>13.7</v>
          </cell>
          <cell r="FW18">
            <v>5</v>
          </cell>
          <cell r="FX18">
            <v>0.6</v>
          </cell>
          <cell r="FY18">
            <v>1.95</v>
          </cell>
        </row>
        <row r="19">
          <cell r="A19">
            <v>6</v>
          </cell>
          <cell r="B19">
            <v>0.28000000000000003</v>
          </cell>
          <cell r="C19">
            <v>0.38</v>
          </cell>
          <cell r="D19">
            <v>0.28000000000000003</v>
          </cell>
          <cell r="E19">
            <v>0.28000000000000003</v>
          </cell>
          <cell r="F19">
            <v>0.28000000000000003</v>
          </cell>
          <cell r="G19">
            <v>0.28000000000000003</v>
          </cell>
          <cell r="H19">
            <v>0.38</v>
          </cell>
          <cell r="I19">
            <v>0.38</v>
          </cell>
          <cell r="J19">
            <v>0.38</v>
          </cell>
          <cell r="K19">
            <v>0.38</v>
          </cell>
          <cell r="L19">
            <v>0.38</v>
          </cell>
          <cell r="M19">
            <v>0.38</v>
          </cell>
          <cell r="N19">
            <v>6</v>
          </cell>
          <cell r="O19">
            <v>0.47</v>
          </cell>
          <cell r="P19">
            <v>0.64</v>
          </cell>
          <cell r="Q19">
            <v>0.47</v>
          </cell>
          <cell r="R19">
            <v>0.47</v>
          </cell>
          <cell r="S19">
            <v>0.47</v>
          </cell>
          <cell r="T19">
            <v>0.47</v>
          </cell>
          <cell r="U19">
            <v>0.64</v>
          </cell>
          <cell r="V19">
            <v>0.64</v>
          </cell>
          <cell r="W19">
            <v>0.84</v>
          </cell>
          <cell r="X19">
            <v>0.84</v>
          </cell>
          <cell r="Y19">
            <v>0.84</v>
          </cell>
          <cell r="Z19">
            <v>0.84</v>
          </cell>
          <cell r="AA19">
            <v>6</v>
          </cell>
          <cell r="AB19">
            <v>2</v>
          </cell>
          <cell r="AC19">
            <v>2.5</v>
          </cell>
          <cell r="AF19">
            <v>2</v>
          </cell>
          <cell r="AH19">
            <v>2.5</v>
          </cell>
          <cell r="AJ19">
            <v>3.8</v>
          </cell>
          <cell r="AL19">
            <v>4.9000000000000004</v>
          </cell>
          <cell r="AM19">
            <v>4.9000000000000004</v>
          </cell>
          <cell r="AN19">
            <v>6</v>
          </cell>
          <cell r="AO19">
            <v>0.33</v>
          </cell>
          <cell r="AP19">
            <v>0.45</v>
          </cell>
          <cell r="AS19">
            <v>0.33</v>
          </cell>
          <cell r="AU19">
            <v>0.45</v>
          </cell>
          <cell r="AW19">
            <v>0.56000000000000005</v>
          </cell>
          <cell r="AY19">
            <v>0.63</v>
          </cell>
          <cell r="AZ19">
            <v>0.63</v>
          </cell>
          <cell r="BA19">
            <v>6</v>
          </cell>
          <cell r="BB19">
            <v>0.26</v>
          </cell>
          <cell r="BC19">
            <v>0.35</v>
          </cell>
          <cell r="BF19">
            <v>0.26</v>
          </cell>
          <cell r="BH19">
            <v>0.35</v>
          </cell>
          <cell r="BJ19">
            <v>0.45</v>
          </cell>
          <cell r="BL19">
            <v>0.49</v>
          </cell>
          <cell r="BM19">
            <v>0.49</v>
          </cell>
          <cell r="BN19">
            <v>6</v>
          </cell>
          <cell r="BO19">
            <v>3.6</v>
          </cell>
          <cell r="BP19">
            <v>3.9</v>
          </cell>
          <cell r="BQ19">
            <v>5.2</v>
          </cell>
          <cell r="BR19">
            <v>5.9</v>
          </cell>
          <cell r="BS19">
            <v>7.2</v>
          </cell>
          <cell r="BT19">
            <v>8.1</v>
          </cell>
          <cell r="BU19">
            <v>8.9</v>
          </cell>
          <cell r="BV19">
            <v>6</v>
          </cell>
          <cell r="BW19">
            <v>4.2</v>
          </cell>
          <cell r="BX19">
            <v>4.7</v>
          </cell>
          <cell r="BY19">
            <v>4.7</v>
          </cell>
          <cell r="BZ19">
            <v>6.7</v>
          </cell>
          <cell r="CA19">
            <v>6.7</v>
          </cell>
          <cell r="CB19">
            <v>7.4</v>
          </cell>
          <cell r="CC19">
            <v>7.6</v>
          </cell>
          <cell r="CD19">
            <v>6</v>
          </cell>
          <cell r="CE19">
            <v>2.2000000000000002</v>
          </cell>
          <cell r="CF19">
            <v>2.7</v>
          </cell>
          <cell r="CG19">
            <v>2.7</v>
          </cell>
          <cell r="CH19">
            <v>3.3</v>
          </cell>
          <cell r="CI19">
            <v>3.3</v>
          </cell>
          <cell r="CJ19">
            <v>4.0999999999999996</v>
          </cell>
          <cell r="CK19">
            <v>4.0999999999999996</v>
          </cell>
          <cell r="CL19">
            <v>6</v>
          </cell>
          <cell r="CM19">
            <v>1.5</v>
          </cell>
          <cell r="CN19">
            <v>1.7</v>
          </cell>
          <cell r="CO19">
            <v>1.7</v>
          </cell>
          <cell r="CP19">
            <v>1.8</v>
          </cell>
          <cell r="CQ19">
            <v>2.1</v>
          </cell>
          <cell r="CR19">
            <v>2.6</v>
          </cell>
          <cell r="CS19">
            <v>3.4</v>
          </cell>
          <cell r="CT19">
            <v>6</v>
          </cell>
          <cell r="CU19">
            <v>5.4</v>
          </cell>
          <cell r="CV19">
            <v>7.5</v>
          </cell>
          <cell r="CY19">
            <v>5.4</v>
          </cell>
          <cell r="DA19">
            <v>7.5</v>
          </cell>
          <cell r="DC19">
            <v>10.9</v>
          </cell>
          <cell r="DE19">
            <v>13.9</v>
          </cell>
          <cell r="DF19">
            <v>13.9</v>
          </cell>
          <cell r="DG19">
            <v>6</v>
          </cell>
          <cell r="DH19">
            <v>10.199999999999999</v>
          </cell>
          <cell r="DI19">
            <v>12.8</v>
          </cell>
          <cell r="DL19">
            <v>10.199999999999999</v>
          </cell>
          <cell r="DN19">
            <v>12.8</v>
          </cell>
          <cell r="DP19">
            <v>18.5</v>
          </cell>
          <cell r="DR19">
            <v>23.1</v>
          </cell>
          <cell r="DS19">
            <v>23.1</v>
          </cell>
          <cell r="EG19">
            <v>6</v>
          </cell>
          <cell r="EH19">
            <v>13.8</v>
          </cell>
          <cell r="EI19">
            <v>17.100000000000001</v>
          </cell>
          <cell r="EL19">
            <v>13.8</v>
          </cell>
          <cell r="EN19">
            <v>17.100000000000001</v>
          </cell>
          <cell r="ER19">
            <v>31.4</v>
          </cell>
          <cell r="ES19">
            <v>31.4</v>
          </cell>
          <cell r="ET19">
            <v>6</v>
          </cell>
          <cell r="EU19">
            <v>8.6999999999999993</v>
          </cell>
          <cell r="EV19">
            <v>9.9</v>
          </cell>
          <cell r="EW19">
            <v>8.6999999999999993</v>
          </cell>
          <cell r="EX19">
            <v>8.6999999999999993</v>
          </cell>
          <cell r="EY19">
            <v>8.6999999999999993</v>
          </cell>
          <cell r="EZ19">
            <v>8.6999999999999993</v>
          </cell>
          <cell r="FA19">
            <v>9.9</v>
          </cell>
          <cell r="FB19">
            <v>9.9</v>
          </cell>
          <cell r="FC19">
            <v>9.9</v>
          </cell>
          <cell r="FD19">
            <v>16</v>
          </cell>
          <cell r="FE19">
            <v>16</v>
          </cell>
          <cell r="FF19">
            <v>16</v>
          </cell>
          <cell r="FW19">
            <v>6</v>
          </cell>
          <cell r="FX19">
            <v>0.7</v>
          </cell>
          <cell r="FY19">
            <v>2.2999999999999998</v>
          </cell>
        </row>
        <row r="20">
          <cell r="A20">
            <v>8</v>
          </cell>
          <cell r="B20">
            <v>0.34</v>
          </cell>
          <cell r="C20">
            <v>0.48</v>
          </cell>
          <cell r="D20">
            <v>0.34</v>
          </cell>
          <cell r="E20">
            <v>0.34</v>
          </cell>
          <cell r="F20">
            <v>0.34</v>
          </cell>
          <cell r="G20">
            <v>0.34</v>
          </cell>
          <cell r="H20">
            <v>0.48</v>
          </cell>
          <cell r="I20">
            <v>0.48</v>
          </cell>
          <cell r="J20">
            <v>0.48</v>
          </cell>
          <cell r="K20">
            <v>0.48</v>
          </cell>
          <cell r="L20">
            <v>0.48</v>
          </cell>
          <cell r="M20">
            <v>0.48</v>
          </cell>
          <cell r="N20">
            <v>8</v>
          </cell>
          <cell r="O20">
            <v>0.56999999999999995</v>
          </cell>
          <cell r="P20">
            <v>0.81</v>
          </cell>
          <cell r="Q20">
            <v>0.56999999999999995</v>
          </cell>
          <cell r="R20">
            <v>0.56999999999999995</v>
          </cell>
          <cell r="S20">
            <v>0.56999999999999995</v>
          </cell>
          <cell r="T20">
            <v>0.56999999999999995</v>
          </cell>
          <cell r="U20">
            <v>0.81</v>
          </cell>
          <cell r="V20">
            <v>0.81</v>
          </cell>
          <cell r="W20">
            <v>0.99</v>
          </cell>
          <cell r="X20">
            <v>0.99</v>
          </cell>
          <cell r="Y20">
            <v>0.99</v>
          </cell>
          <cell r="Z20">
            <v>0.99</v>
          </cell>
          <cell r="AA20">
            <v>8</v>
          </cell>
          <cell r="AB20">
            <v>2.6</v>
          </cell>
          <cell r="AC20">
            <v>3.3</v>
          </cell>
          <cell r="AD20">
            <v>2.6</v>
          </cell>
          <cell r="AE20">
            <v>2.6</v>
          </cell>
          <cell r="AF20">
            <v>2.6</v>
          </cell>
          <cell r="AG20">
            <v>3</v>
          </cell>
          <cell r="AH20">
            <v>3.3</v>
          </cell>
          <cell r="AI20">
            <v>4.5999999999999996</v>
          </cell>
          <cell r="AJ20">
            <v>6</v>
          </cell>
          <cell r="AK20">
            <v>7.5</v>
          </cell>
          <cell r="AL20">
            <v>8.6</v>
          </cell>
          <cell r="AM20">
            <v>8.6</v>
          </cell>
          <cell r="AN20">
            <v>8</v>
          </cell>
          <cell r="AO20">
            <v>0.46</v>
          </cell>
          <cell r="AP20">
            <v>0.64</v>
          </cell>
          <cell r="AQ20">
            <v>0.46</v>
          </cell>
          <cell r="AR20">
            <v>0.46</v>
          </cell>
          <cell r="AS20">
            <v>0.46</v>
          </cell>
          <cell r="AT20">
            <v>0.59</v>
          </cell>
          <cell r="AU20">
            <v>0.64</v>
          </cell>
          <cell r="AV20">
            <v>0.76</v>
          </cell>
          <cell r="AW20">
            <v>0.86</v>
          </cell>
          <cell r="AX20">
            <v>0.97</v>
          </cell>
          <cell r="AY20">
            <v>1.1399999999999999</v>
          </cell>
          <cell r="AZ20">
            <v>1.1399999999999999</v>
          </cell>
          <cell r="BA20">
            <v>8</v>
          </cell>
          <cell r="BB20">
            <v>0.37</v>
          </cell>
          <cell r="BC20">
            <v>0.51</v>
          </cell>
          <cell r="BD20">
            <v>0.37</v>
          </cell>
          <cell r="BE20">
            <v>0.37</v>
          </cell>
          <cell r="BF20">
            <v>0.37</v>
          </cell>
          <cell r="BG20">
            <v>0.46</v>
          </cell>
          <cell r="BH20">
            <v>0.51</v>
          </cell>
          <cell r="BI20">
            <v>0.6</v>
          </cell>
          <cell r="BJ20">
            <v>0.68</v>
          </cell>
          <cell r="BK20">
            <v>0.75</v>
          </cell>
          <cell r="BL20">
            <v>0.82</v>
          </cell>
          <cell r="BM20">
            <v>0.82</v>
          </cell>
          <cell r="BN20">
            <v>8</v>
          </cell>
          <cell r="BO20">
            <v>5.0999999999999996</v>
          </cell>
          <cell r="BP20">
            <v>5.4</v>
          </cell>
          <cell r="BQ20">
            <v>7.3</v>
          </cell>
          <cell r="BR20">
            <v>8</v>
          </cell>
          <cell r="BS20">
            <v>9.9</v>
          </cell>
          <cell r="BT20">
            <v>11</v>
          </cell>
          <cell r="BU20">
            <v>12</v>
          </cell>
          <cell r="BV20">
            <v>8</v>
          </cell>
          <cell r="BW20">
            <v>5.4</v>
          </cell>
          <cell r="BX20">
            <v>6</v>
          </cell>
          <cell r="BY20">
            <v>6</v>
          </cell>
          <cell r="BZ20">
            <v>8.6</v>
          </cell>
          <cell r="CA20">
            <v>8.6</v>
          </cell>
          <cell r="CB20">
            <v>9.8000000000000007</v>
          </cell>
          <cell r="CC20">
            <v>10.199999999999999</v>
          </cell>
          <cell r="CD20">
            <v>8</v>
          </cell>
          <cell r="CE20">
            <v>2.8</v>
          </cell>
          <cell r="CF20">
            <v>3.4</v>
          </cell>
          <cell r="CG20">
            <v>3.4</v>
          </cell>
          <cell r="CH20">
            <v>4.2</v>
          </cell>
          <cell r="CI20">
            <v>4.2</v>
          </cell>
          <cell r="CJ20">
            <v>5.3</v>
          </cell>
          <cell r="CK20">
            <v>5.9</v>
          </cell>
          <cell r="CL20">
            <v>8</v>
          </cell>
          <cell r="CM20">
            <v>2.1</v>
          </cell>
          <cell r="CN20">
            <v>2.4</v>
          </cell>
          <cell r="CO20">
            <v>2.4</v>
          </cell>
          <cell r="CP20">
            <v>2.6</v>
          </cell>
          <cell r="CQ20">
            <v>3</v>
          </cell>
          <cell r="CR20">
            <v>3.7</v>
          </cell>
          <cell r="CS20">
            <v>4.9000000000000004</v>
          </cell>
          <cell r="CT20">
            <v>8</v>
          </cell>
          <cell r="CU20">
            <v>6.3</v>
          </cell>
          <cell r="CV20">
            <v>8.9</v>
          </cell>
          <cell r="CW20">
            <v>6.3</v>
          </cell>
          <cell r="CX20">
            <v>6.3</v>
          </cell>
          <cell r="CY20">
            <v>6.3</v>
          </cell>
          <cell r="CZ20">
            <v>8.3000000000000007</v>
          </cell>
          <cell r="DA20">
            <v>8.9</v>
          </cell>
          <cell r="DB20">
            <v>12</v>
          </cell>
          <cell r="DC20">
            <v>15.2</v>
          </cell>
          <cell r="DD20">
            <v>18.600000000000001</v>
          </cell>
          <cell r="DE20">
            <v>21.5</v>
          </cell>
          <cell r="DF20">
            <v>21.5</v>
          </cell>
          <cell r="DG20">
            <v>8</v>
          </cell>
          <cell r="DH20">
            <v>11.7</v>
          </cell>
          <cell r="DI20">
            <v>14.5</v>
          </cell>
          <cell r="DJ20">
            <v>11.7</v>
          </cell>
          <cell r="DK20">
            <v>11.7</v>
          </cell>
          <cell r="DL20">
            <v>11.7</v>
          </cell>
          <cell r="DM20">
            <v>13.4</v>
          </cell>
          <cell r="DN20">
            <v>14.5</v>
          </cell>
          <cell r="DO20">
            <v>19.8</v>
          </cell>
          <cell r="DP20">
            <v>24.5</v>
          </cell>
          <cell r="DQ20">
            <v>29.3</v>
          </cell>
          <cell r="DR20">
            <v>32.799999999999997</v>
          </cell>
          <cell r="DS20">
            <v>32.799999999999997</v>
          </cell>
          <cell r="EG20">
            <v>8</v>
          </cell>
          <cell r="EH20">
            <v>15.8</v>
          </cell>
          <cell r="EI20">
            <v>21.6</v>
          </cell>
          <cell r="EJ20">
            <v>15.8</v>
          </cell>
          <cell r="EK20">
            <v>15.8</v>
          </cell>
          <cell r="EL20">
            <v>15.8</v>
          </cell>
          <cell r="EM20">
            <v>18.100000000000001</v>
          </cell>
          <cell r="EN20">
            <v>21.6</v>
          </cell>
          <cell r="EO20">
            <v>26.4</v>
          </cell>
          <cell r="EP20">
            <v>32.799999999999997</v>
          </cell>
          <cell r="EQ20">
            <v>39.799999999999997</v>
          </cell>
          <cell r="ER20">
            <v>44.5</v>
          </cell>
          <cell r="ES20">
            <v>44.5</v>
          </cell>
          <cell r="ET20">
            <v>8</v>
          </cell>
          <cell r="EU20">
            <v>9.6999999999999993</v>
          </cell>
          <cell r="EV20">
            <v>10.6</v>
          </cell>
          <cell r="EW20">
            <v>9.6999999999999993</v>
          </cell>
          <cell r="EX20">
            <v>9.6999999999999993</v>
          </cell>
          <cell r="EY20">
            <v>9.6999999999999993</v>
          </cell>
          <cell r="EZ20">
            <v>9.6999999999999993</v>
          </cell>
          <cell r="FA20">
            <v>10.6</v>
          </cell>
          <cell r="FB20">
            <v>10.6</v>
          </cell>
          <cell r="FC20">
            <v>10.6</v>
          </cell>
          <cell r="FD20">
            <v>18.899999999999999</v>
          </cell>
          <cell r="FE20">
            <v>18.899999999999999</v>
          </cell>
          <cell r="FF20">
            <v>18.899999999999999</v>
          </cell>
          <cell r="FW20">
            <v>8</v>
          </cell>
          <cell r="FX20">
            <v>0.9</v>
          </cell>
          <cell r="FY20">
            <v>2.8</v>
          </cell>
        </row>
        <row r="21">
          <cell r="A21">
            <v>10</v>
          </cell>
          <cell r="B21">
            <v>0.43</v>
          </cell>
          <cell r="C21">
            <v>0.6</v>
          </cell>
          <cell r="D21">
            <v>0.43</v>
          </cell>
          <cell r="E21">
            <v>0.43</v>
          </cell>
          <cell r="F21">
            <v>0.43</v>
          </cell>
          <cell r="G21">
            <v>0.43</v>
          </cell>
          <cell r="H21">
            <v>0.6</v>
          </cell>
          <cell r="I21">
            <v>0.6</v>
          </cell>
          <cell r="J21">
            <v>0.6</v>
          </cell>
          <cell r="K21">
            <v>0.6</v>
          </cell>
          <cell r="L21">
            <v>0.6</v>
          </cell>
          <cell r="M21">
            <v>0.6</v>
          </cell>
          <cell r="N21">
            <v>10</v>
          </cell>
          <cell r="O21">
            <v>0.72</v>
          </cell>
          <cell r="P21">
            <v>1</v>
          </cell>
          <cell r="Q21">
            <v>0.72</v>
          </cell>
          <cell r="R21">
            <v>0.72</v>
          </cell>
          <cell r="S21">
            <v>0.72</v>
          </cell>
          <cell r="T21">
            <v>0.72</v>
          </cell>
          <cell r="U21">
            <v>1</v>
          </cell>
          <cell r="V21">
            <v>1</v>
          </cell>
          <cell r="W21">
            <v>1.38</v>
          </cell>
          <cell r="X21">
            <v>1.38</v>
          </cell>
          <cell r="Y21">
            <v>1.38</v>
          </cell>
          <cell r="Z21">
            <v>1.38</v>
          </cell>
          <cell r="AA21">
            <v>10</v>
          </cell>
          <cell r="AB21">
            <v>3.1</v>
          </cell>
          <cell r="AC21">
            <v>4</v>
          </cell>
          <cell r="AD21">
            <v>3.1</v>
          </cell>
          <cell r="AE21">
            <v>3.1</v>
          </cell>
          <cell r="AF21">
            <v>3.1</v>
          </cell>
          <cell r="AG21">
            <v>4</v>
          </cell>
          <cell r="AH21">
            <v>5.0999999999999996</v>
          </cell>
          <cell r="AI21">
            <v>6.8</v>
          </cell>
          <cell r="AJ21">
            <v>9.4</v>
          </cell>
          <cell r="AK21">
            <v>11.4</v>
          </cell>
          <cell r="AL21">
            <v>13.1</v>
          </cell>
          <cell r="AM21">
            <v>13.1</v>
          </cell>
          <cell r="AN21">
            <v>10</v>
          </cell>
          <cell r="AO21">
            <v>0.64</v>
          </cell>
          <cell r="AP21">
            <v>0.92</v>
          </cell>
          <cell r="AQ21">
            <v>0.64</v>
          </cell>
          <cell r="AR21">
            <v>0.64</v>
          </cell>
          <cell r="AS21">
            <v>0.64</v>
          </cell>
          <cell r="AT21">
            <v>0.92</v>
          </cell>
          <cell r="AU21">
            <v>0.99</v>
          </cell>
          <cell r="AV21">
            <v>1.0900000000000001</v>
          </cell>
          <cell r="AW21">
            <v>1.24</v>
          </cell>
          <cell r="AX21">
            <v>1.43</v>
          </cell>
          <cell r="AY21">
            <v>1.73</v>
          </cell>
          <cell r="AZ21">
            <v>1.73</v>
          </cell>
          <cell r="BA21">
            <v>10</v>
          </cell>
          <cell r="BB21">
            <v>0.51</v>
          </cell>
          <cell r="BC21">
            <v>0.72</v>
          </cell>
          <cell r="BD21">
            <v>0.51</v>
          </cell>
          <cell r="BE21">
            <v>0.51</v>
          </cell>
          <cell r="BF21">
            <v>0.51</v>
          </cell>
          <cell r="BG21">
            <v>0.72</v>
          </cell>
          <cell r="BH21">
            <v>0.78</v>
          </cell>
          <cell r="BI21">
            <v>0.86</v>
          </cell>
          <cell r="BJ21">
            <v>0.95</v>
          </cell>
          <cell r="BK21">
            <v>1.04</v>
          </cell>
          <cell r="BL21">
            <v>1.1299999999999999</v>
          </cell>
          <cell r="BM21">
            <v>1.1299999999999999</v>
          </cell>
          <cell r="BN21">
            <v>10</v>
          </cell>
          <cell r="BO21">
            <v>6.3</v>
          </cell>
          <cell r="BP21">
            <v>6.8</v>
          </cell>
          <cell r="BQ21">
            <v>9</v>
          </cell>
          <cell r="BR21">
            <v>11.1</v>
          </cell>
          <cell r="BS21">
            <v>12.5</v>
          </cell>
          <cell r="BT21">
            <v>14</v>
          </cell>
          <cell r="BU21">
            <v>15.5</v>
          </cell>
          <cell r="BV21">
            <v>10</v>
          </cell>
          <cell r="BW21">
            <v>6.7</v>
          </cell>
          <cell r="BX21">
            <v>7.3</v>
          </cell>
          <cell r="BY21">
            <v>7.3</v>
          </cell>
          <cell r="BZ21">
            <v>10.1</v>
          </cell>
          <cell r="CA21">
            <v>10.1</v>
          </cell>
          <cell r="CB21">
            <v>11.6</v>
          </cell>
          <cell r="CC21">
            <v>11.8</v>
          </cell>
          <cell r="CD21">
            <v>10</v>
          </cell>
          <cell r="CE21">
            <v>3.6</v>
          </cell>
          <cell r="CF21">
            <v>4.2</v>
          </cell>
          <cell r="CG21">
            <v>4.2</v>
          </cell>
          <cell r="CH21">
            <v>5.0999999999999996</v>
          </cell>
          <cell r="CI21">
            <v>5.0999999999999996</v>
          </cell>
          <cell r="CJ21">
            <v>6.8</v>
          </cell>
          <cell r="CK21">
            <v>7</v>
          </cell>
          <cell r="CL21">
            <v>10</v>
          </cell>
          <cell r="CM21">
            <v>2.7</v>
          </cell>
          <cell r="CN21">
            <v>3</v>
          </cell>
          <cell r="CO21">
            <v>3</v>
          </cell>
          <cell r="CP21">
            <v>3.2</v>
          </cell>
          <cell r="CQ21">
            <v>3.7</v>
          </cell>
          <cell r="CR21">
            <v>4.5999999999999996</v>
          </cell>
          <cell r="CS21">
            <v>6.1</v>
          </cell>
          <cell r="CT21">
            <v>10</v>
          </cell>
          <cell r="CU21">
            <v>7.1</v>
          </cell>
          <cell r="CV21">
            <v>10.3</v>
          </cell>
          <cell r="CW21">
            <v>7.1</v>
          </cell>
          <cell r="CX21">
            <v>7.1</v>
          </cell>
          <cell r="CY21">
            <v>7.1</v>
          </cell>
          <cell r="CZ21">
            <v>10.3</v>
          </cell>
          <cell r="DA21">
            <v>12.6</v>
          </cell>
          <cell r="DB21">
            <v>16.399999999999999</v>
          </cell>
          <cell r="DC21">
            <v>21.1</v>
          </cell>
          <cell r="DD21">
            <v>27.3</v>
          </cell>
          <cell r="DE21">
            <v>32.799999999999997</v>
          </cell>
          <cell r="DF21">
            <v>32.799999999999997</v>
          </cell>
          <cell r="DG21">
            <v>10</v>
          </cell>
          <cell r="DH21">
            <v>12.7</v>
          </cell>
          <cell r="DI21">
            <v>16.3</v>
          </cell>
          <cell r="DJ21">
            <v>12.7</v>
          </cell>
          <cell r="DK21">
            <v>12.7</v>
          </cell>
          <cell r="DL21">
            <v>12.7</v>
          </cell>
          <cell r="DM21">
            <v>16.3</v>
          </cell>
          <cell r="DN21">
            <v>20.2</v>
          </cell>
          <cell r="DO21">
            <v>26</v>
          </cell>
          <cell r="DP21">
            <v>31</v>
          </cell>
          <cell r="DQ21">
            <v>34.799999999999997</v>
          </cell>
          <cell r="DR21">
            <v>39.1</v>
          </cell>
          <cell r="DS21">
            <v>39.1</v>
          </cell>
          <cell r="EG21">
            <v>10</v>
          </cell>
          <cell r="EH21">
            <v>17.3</v>
          </cell>
          <cell r="EI21">
            <v>21.7</v>
          </cell>
          <cell r="EJ21">
            <v>17.3</v>
          </cell>
          <cell r="EK21">
            <v>17.3</v>
          </cell>
          <cell r="EL21">
            <v>17.3</v>
          </cell>
          <cell r="EM21">
            <v>21.7</v>
          </cell>
          <cell r="EN21">
            <v>26</v>
          </cell>
          <cell r="EO21">
            <v>32.1</v>
          </cell>
          <cell r="EP21">
            <v>44.5</v>
          </cell>
          <cell r="EQ21">
            <v>48.9</v>
          </cell>
          <cell r="ER21">
            <v>53.2</v>
          </cell>
          <cell r="ES21">
            <v>53.2</v>
          </cell>
          <cell r="ET21">
            <v>10</v>
          </cell>
          <cell r="EU21">
            <v>13.6</v>
          </cell>
          <cell r="EV21">
            <v>19.399999999999999</v>
          </cell>
          <cell r="EW21">
            <v>13.6</v>
          </cell>
          <cell r="EX21">
            <v>13.6</v>
          </cell>
          <cell r="EY21">
            <v>13.6</v>
          </cell>
          <cell r="EZ21">
            <v>13.6</v>
          </cell>
          <cell r="FA21">
            <v>19.399999999999999</v>
          </cell>
          <cell r="FB21">
            <v>19.399999999999999</v>
          </cell>
          <cell r="FC21">
            <v>19.399999999999999</v>
          </cell>
          <cell r="FD21">
            <v>30.2</v>
          </cell>
          <cell r="FE21">
            <v>30.2</v>
          </cell>
          <cell r="FF21">
            <v>30.2</v>
          </cell>
          <cell r="FW21">
            <v>10</v>
          </cell>
          <cell r="FX21">
            <v>1.1000000000000001</v>
          </cell>
          <cell r="FY21">
            <v>3.4</v>
          </cell>
        </row>
        <row r="22">
          <cell r="A22">
            <v>12</v>
          </cell>
          <cell r="B22">
            <v>0.52</v>
          </cell>
          <cell r="C22">
            <v>0.73</v>
          </cell>
          <cell r="D22">
            <v>0.52</v>
          </cell>
          <cell r="E22">
            <v>0.52</v>
          </cell>
          <cell r="F22">
            <v>0.52</v>
          </cell>
          <cell r="G22">
            <v>0.52</v>
          </cell>
          <cell r="H22">
            <v>0.73</v>
          </cell>
          <cell r="I22">
            <v>0.73</v>
          </cell>
          <cell r="J22">
            <v>0.73</v>
          </cell>
          <cell r="K22">
            <v>0.73</v>
          </cell>
          <cell r="L22">
            <v>0.73</v>
          </cell>
          <cell r="M22">
            <v>0.73</v>
          </cell>
          <cell r="N22">
            <v>12</v>
          </cell>
          <cell r="O22">
            <v>0.88</v>
          </cell>
          <cell r="P22">
            <v>1.23</v>
          </cell>
          <cell r="Q22">
            <v>0.88</v>
          </cell>
          <cell r="R22">
            <v>0.88</v>
          </cell>
          <cell r="S22">
            <v>0.88</v>
          </cell>
          <cell r="T22">
            <v>0.88</v>
          </cell>
          <cell r="U22">
            <v>1.23</v>
          </cell>
          <cell r="V22">
            <v>1.23</v>
          </cell>
          <cell r="W22">
            <v>1.69</v>
          </cell>
          <cell r="X22">
            <v>1.69</v>
          </cell>
          <cell r="Y22">
            <v>1.69</v>
          </cell>
          <cell r="Z22">
            <v>1.69</v>
          </cell>
          <cell r="AA22">
            <v>12</v>
          </cell>
          <cell r="AB22">
            <v>3.6</v>
          </cell>
          <cell r="AC22">
            <v>4.7</v>
          </cell>
          <cell r="AD22">
            <v>3.6</v>
          </cell>
          <cell r="AE22">
            <v>3.6</v>
          </cell>
          <cell r="AF22">
            <v>4.0999999999999996</v>
          </cell>
          <cell r="AG22">
            <v>5.2</v>
          </cell>
          <cell r="AH22">
            <v>6.6</v>
          </cell>
          <cell r="AI22">
            <v>9.9</v>
          </cell>
          <cell r="AJ22">
            <v>12.2</v>
          </cell>
          <cell r="AK22">
            <v>15.3</v>
          </cell>
          <cell r="AL22">
            <v>17.899999999999999</v>
          </cell>
          <cell r="AM22">
            <v>17.899999999999999</v>
          </cell>
          <cell r="AN22">
            <v>12</v>
          </cell>
          <cell r="AO22">
            <v>0.7</v>
          </cell>
          <cell r="AP22">
            <v>1.0900000000000001</v>
          </cell>
          <cell r="AQ22">
            <v>0.7</v>
          </cell>
          <cell r="AR22">
            <v>0.7</v>
          </cell>
          <cell r="AS22">
            <v>0.86</v>
          </cell>
          <cell r="AT22">
            <v>1.3</v>
          </cell>
          <cell r="AU22">
            <v>1.37</v>
          </cell>
          <cell r="AV22">
            <v>1.48</v>
          </cell>
          <cell r="AW22">
            <v>1.73</v>
          </cell>
          <cell r="AX22">
            <v>1.91</v>
          </cell>
          <cell r="AY22">
            <v>2.0499999999999998</v>
          </cell>
          <cell r="AZ22">
            <v>2.0499999999999998</v>
          </cell>
          <cell r="BA22">
            <v>12</v>
          </cell>
          <cell r="BB22">
            <v>0.55000000000000004</v>
          </cell>
          <cell r="BC22">
            <v>0.86</v>
          </cell>
          <cell r="BD22">
            <v>0.55000000000000004</v>
          </cell>
          <cell r="BE22">
            <v>0.55000000000000004</v>
          </cell>
          <cell r="BF22">
            <v>0.68</v>
          </cell>
          <cell r="BG22">
            <v>1.02</v>
          </cell>
          <cell r="BH22">
            <v>1.08</v>
          </cell>
          <cell r="BI22">
            <v>1.18</v>
          </cell>
          <cell r="BJ22">
            <v>1.28</v>
          </cell>
          <cell r="BK22">
            <v>1.38</v>
          </cell>
          <cell r="BL22">
            <v>1.48</v>
          </cell>
          <cell r="BM22">
            <v>1.48</v>
          </cell>
          <cell r="BN22">
            <v>12</v>
          </cell>
          <cell r="BO22">
            <v>7.7</v>
          </cell>
          <cell r="BP22">
            <v>8.3000000000000007</v>
          </cell>
          <cell r="BQ22">
            <v>11</v>
          </cell>
          <cell r="BR22">
            <v>13.7</v>
          </cell>
          <cell r="BS22">
            <v>15.3</v>
          </cell>
          <cell r="BT22">
            <v>17.2</v>
          </cell>
          <cell r="BU22">
            <v>19</v>
          </cell>
          <cell r="BV22">
            <v>12</v>
          </cell>
          <cell r="BW22">
            <v>7.3</v>
          </cell>
          <cell r="BX22">
            <v>7.9</v>
          </cell>
          <cell r="BY22">
            <v>7.9</v>
          </cell>
          <cell r="BZ22">
            <v>10.5</v>
          </cell>
          <cell r="CA22">
            <v>10.5</v>
          </cell>
          <cell r="CB22">
            <v>12.3</v>
          </cell>
          <cell r="CC22">
            <v>13.3</v>
          </cell>
          <cell r="CD22">
            <v>12</v>
          </cell>
          <cell r="CE22">
            <v>4.3</v>
          </cell>
          <cell r="CF22">
            <v>5.0999999999999996</v>
          </cell>
          <cell r="CG22">
            <v>5.0999999999999996</v>
          </cell>
          <cell r="CH22">
            <v>6.3</v>
          </cell>
          <cell r="CI22">
            <v>6.3</v>
          </cell>
          <cell r="CJ22">
            <v>8.5</v>
          </cell>
          <cell r="CK22">
            <v>9.5</v>
          </cell>
          <cell r="CL22">
            <v>12</v>
          </cell>
          <cell r="CM22">
            <v>3.4</v>
          </cell>
          <cell r="CN22">
            <v>3.8</v>
          </cell>
          <cell r="CO22">
            <v>3.8</v>
          </cell>
          <cell r="CP22">
            <v>4.0999999999999996</v>
          </cell>
          <cell r="CQ22">
            <v>4.7</v>
          </cell>
          <cell r="CR22">
            <v>5.8</v>
          </cell>
          <cell r="CS22">
            <v>7.7</v>
          </cell>
          <cell r="CT22">
            <v>12</v>
          </cell>
          <cell r="CU22">
            <v>8.1</v>
          </cell>
          <cell r="CV22">
            <v>11.8</v>
          </cell>
          <cell r="CW22">
            <v>8.1</v>
          </cell>
          <cell r="CX22">
            <v>8.1</v>
          </cell>
          <cell r="CY22">
            <v>9.9</v>
          </cell>
          <cell r="CZ22">
            <v>13.1</v>
          </cell>
          <cell r="DA22">
            <v>17</v>
          </cell>
          <cell r="DB22">
            <v>23.5</v>
          </cell>
          <cell r="DC22">
            <v>28.7</v>
          </cell>
          <cell r="DD22">
            <v>34.700000000000003</v>
          </cell>
          <cell r="DE22">
            <v>39.200000000000003</v>
          </cell>
          <cell r="DF22">
            <v>39.200000000000003</v>
          </cell>
          <cell r="DG22">
            <v>12</v>
          </cell>
          <cell r="DH22">
            <v>14.2</v>
          </cell>
          <cell r="DI22">
            <v>18.3</v>
          </cell>
          <cell r="DJ22">
            <v>14.2</v>
          </cell>
          <cell r="DK22">
            <v>14.2</v>
          </cell>
          <cell r="DL22">
            <v>15.3</v>
          </cell>
          <cell r="DM22">
            <v>20.3</v>
          </cell>
          <cell r="DN22">
            <v>26.3</v>
          </cell>
          <cell r="DO22">
            <v>35.5</v>
          </cell>
          <cell r="DP22">
            <v>39.5</v>
          </cell>
          <cell r="DQ22">
            <v>44.6</v>
          </cell>
          <cell r="DR22">
            <v>47.7</v>
          </cell>
          <cell r="DS22">
            <v>47.7</v>
          </cell>
          <cell r="EG22">
            <v>12</v>
          </cell>
          <cell r="EH22">
            <v>19.2</v>
          </cell>
          <cell r="EI22">
            <v>24.3</v>
          </cell>
          <cell r="EJ22">
            <v>19.2</v>
          </cell>
          <cell r="EK22">
            <v>19.2</v>
          </cell>
          <cell r="EL22">
            <v>20.5</v>
          </cell>
          <cell r="EM22">
            <v>27.1</v>
          </cell>
          <cell r="EN22">
            <v>35.4</v>
          </cell>
          <cell r="EO22">
            <v>45.7</v>
          </cell>
          <cell r="EP22">
            <v>51.7</v>
          </cell>
          <cell r="EQ22">
            <v>60.8</v>
          </cell>
          <cell r="ER22">
            <v>70.900000000000006</v>
          </cell>
          <cell r="ES22">
            <v>70.900000000000006</v>
          </cell>
          <cell r="ET22">
            <v>12</v>
          </cell>
          <cell r="EU22">
            <v>19</v>
          </cell>
          <cell r="EV22">
            <v>22.5</v>
          </cell>
          <cell r="EW22">
            <v>19</v>
          </cell>
          <cell r="EX22">
            <v>19</v>
          </cell>
          <cell r="EY22">
            <v>19</v>
          </cell>
          <cell r="EZ22">
            <v>19</v>
          </cell>
          <cell r="FA22">
            <v>22.5</v>
          </cell>
          <cell r="FB22">
            <v>22.5</v>
          </cell>
          <cell r="FC22">
            <v>22.5</v>
          </cell>
          <cell r="FD22">
            <v>44.7</v>
          </cell>
          <cell r="FE22">
            <v>44.7</v>
          </cell>
          <cell r="FF22">
            <v>44.7</v>
          </cell>
          <cell r="FW22">
            <v>12</v>
          </cell>
          <cell r="FX22">
            <v>1.2</v>
          </cell>
          <cell r="FY22">
            <v>3.9</v>
          </cell>
        </row>
        <row r="23">
          <cell r="A23">
            <v>14</v>
          </cell>
          <cell r="B23">
            <v>0.64</v>
          </cell>
          <cell r="C23">
            <v>0.87</v>
          </cell>
          <cell r="D23">
            <v>0.64</v>
          </cell>
          <cell r="E23">
            <v>0.64</v>
          </cell>
          <cell r="F23">
            <v>0.64</v>
          </cell>
          <cell r="G23">
            <v>0.64</v>
          </cell>
          <cell r="H23">
            <v>0.87</v>
          </cell>
          <cell r="I23">
            <v>0.87</v>
          </cell>
          <cell r="J23">
            <v>0.87</v>
          </cell>
          <cell r="K23">
            <v>0.87</v>
          </cell>
          <cell r="L23">
            <v>0.87</v>
          </cell>
          <cell r="M23">
            <v>0.87</v>
          </cell>
          <cell r="N23">
            <v>14</v>
          </cell>
          <cell r="O23">
            <v>1.01</v>
          </cell>
          <cell r="P23">
            <v>1.46</v>
          </cell>
          <cell r="Q23">
            <v>1.01</v>
          </cell>
          <cell r="R23">
            <v>1.01</v>
          </cell>
          <cell r="S23">
            <v>1.01</v>
          </cell>
          <cell r="T23">
            <v>1.01</v>
          </cell>
          <cell r="U23">
            <v>1.46</v>
          </cell>
          <cell r="V23">
            <v>1.46</v>
          </cell>
          <cell r="W23">
            <v>2.0099999999999998</v>
          </cell>
          <cell r="X23">
            <v>2.0099999999999998</v>
          </cell>
          <cell r="Y23">
            <v>2.0099999999999998</v>
          </cell>
          <cell r="Z23">
            <v>2.0099999999999998</v>
          </cell>
          <cell r="AA23">
            <v>14</v>
          </cell>
          <cell r="AB23">
            <v>4.3</v>
          </cell>
          <cell r="AC23">
            <v>5.7</v>
          </cell>
          <cell r="AD23">
            <v>4.3</v>
          </cell>
          <cell r="AE23">
            <v>4.3</v>
          </cell>
          <cell r="AF23">
            <v>5</v>
          </cell>
          <cell r="AG23">
            <v>6.8</v>
          </cell>
          <cell r="AH23">
            <v>9.6</v>
          </cell>
          <cell r="AI23">
            <v>13.2</v>
          </cell>
          <cell r="AJ23">
            <v>16.2</v>
          </cell>
          <cell r="AK23">
            <v>19.2</v>
          </cell>
          <cell r="AL23">
            <v>22.7</v>
          </cell>
          <cell r="AM23">
            <v>22.7</v>
          </cell>
          <cell r="AN23">
            <v>14</v>
          </cell>
          <cell r="AO23">
            <v>0.98</v>
          </cell>
          <cell r="AP23">
            <v>1.3</v>
          </cell>
          <cell r="AQ23">
            <v>0.98</v>
          </cell>
          <cell r="AR23">
            <v>0.98</v>
          </cell>
          <cell r="AS23">
            <v>1.1499999999999999</v>
          </cell>
          <cell r="AT23">
            <v>1.44</v>
          </cell>
          <cell r="AU23">
            <v>1.67</v>
          </cell>
          <cell r="AV23">
            <v>1.78</v>
          </cell>
          <cell r="AW23">
            <v>1.96</v>
          </cell>
          <cell r="AX23">
            <v>2.2999999999999998</v>
          </cell>
          <cell r="AY23">
            <v>2.42</v>
          </cell>
          <cell r="AZ23">
            <v>2.42</v>
          </cell>
          <cell r="BA23">
            <v>14</v>
          </cell>
          <cell r="BB23">
            <v>0.56999999999999995</v>
          </cell>
          <cell r="BC23">
            <v>1.02</v>
          </cell>
          <cell r="BD23">
            <v>0.56999999999999995</v>
          </cell>
          <cell r="BE23">
            <v>0.56999999999999995</v>
          </cell>
          <cell r="BF23">
            <v>0.91</v>
          </cell>
          <cell r="BG23">
            <v>1.1299999999999999</v>
          </cell>
          <cell r="BH23">
            <v>1.31</v>
          </cell>
          <cell r="BI23">
            <v>1.49</v>
          </cell>
          <cell r="BJ23">
            <v>1.67</v>
          </cell>
          <cell r="BK23">
            <v>1.85</v>
          </cell>
          <cell r="BL23">
            <v>2.0299999999999998</v>
          </cell>
          <cell r="BM23">
            <v>2.0299999999999998</v>
          </cell>
          <cell r="BN23">
            <v>14</v>
          </cell>
          <cell r="BO23">
            <v>9</v>
          </cell>
          <cell r="BP23">
            <v>10</v>
          </cell>
          <cell r="BQ23">
            <v>13</v>
          </cell>
          <cell r="BR23">
            <v>16.2</v>
          </cell>
          <cell r="BS23">
            <v>17.7</v>
          </cell>
          <cell r="BT23">
            <v>19.8</v>
          </cell>
          <cell r="BV23">
            <v>14</v>
          </cell>
          <cell r="BW23">
            <v>8.8000000000000007</v>
          </cell>
          <cell r="BX23">
            <v>9.5</v>
          </cell>
          <cell r="BY23">
            <v>9.5</v>
          </cell>
          <cell r="BZ23">
            <v>11.9</v>
          </cell>
          <cell r="CA23">
            <v>11.9</v>
          </cell>
          <cell r="CB23">
            <v>14.3</v>
          </cell>
          <cell r="CD23">
            <v>14</v>
          </cell>
          <cell r="CE23">
            <v>5.0999999999999996</v>
          </cell>
          <cell r="CF23">
            <v>6</v>
          </cell>
          <cell r="CG23">
            <v>6</v>
          </cell>
          <cell r="CH23">
            <v>7.5</v>
          </cell>
          <cell r="CI23">
            <v>7.5</v>
          </cell>
          <cell r="CJ23">
            <v>10.5</v>
          </cell>
          <cell r="CK23">
            <v>11.4</v>
          </cell>
          <cell r="CL23">
            <v>14</v>
          </cell>
          <cell r="CM23">
            <v>3.8</v>
          </cell>
          <cell r="CN23">
            <v>4.3</v>
          </cell>
          <cell r="CO23">
            <v>4.3</v>
          </cell>
          <cell r="CP23">
            <v>4.5999999999999996</v>
          </cell>
          <cell r="CQ23">
            <v>5.3</v>
          </cell>
          <cell r="CR23">
            <v>6.5</v>
          </cell>
          <cell r="CT23">
            <v>14</v>
          </cell>
          <cell r="CU23">
            <v>9.3000000000000007</v>
          </cell>
          <cell r="CV23">
            <v>13.6</v>
          </cell>
          <cell r="CW23">
            <v>9.3000000000000007</v>
          </cell>
          <cell r="CX23">
            <v>9.3000000000000007</v>
          </cell>
          <cell r="CY23">
            <v>11.6</v>
          </cell>
          <cell r="CZ23">
            <v>16</v>
          </cell>
          <cell r="DA23">
            <v>22.7</v>
          </cell>
          <cell r="DB23">
            <v>28.9</v>
          </cell>
          <cell r="DC23">
            <v>34.6</v>
          </cell>
          <cell r="DD23">
            <v>38.9</v>
          </cell>
          <cell r="DE23">
            <v>47.9</v>
          </cell>
          <cell r="DG23">
            <v>14</v>
          </cell>
          <cell r="DH23">
            <v>16</v>
          </cell>
          <cell r="DI23">
            <v>20.7</v>
          </cell>
          <cell r="DJ23">
            <v>16</v>
          </cell>
          <cell r="DK23">
            <v>16</v>
          </cell>
          <cell r="DL23">
            <v>17.8</v>
          </cell>
          <cell r="DM23">
            <v>24.3</v>
          </cell>
          <cell r="DN23">
            <v>34.5</v>
          </cell>
          <cell r="DO23">
            <v>44</v>
          </cell>
          <cell r="DP23">
            <v>46.8</v>
          </cell>
          <cell r="DQ23">
            <v>52.6</v>
          </cell>
          <cell r="DR23">
            <v>60.6</v>
          </cell>
          <cell r="EG23">
            <v>14</v>
          </cell>
          <cell r="EH23">
            <v>21</v>
          </cell>
          <cell r="EI23">
            <v>27.6</v>
          </cell>
          <cell r="EJ23">
            <v>21</v>
          </cell>
          <cell r="EK23">
            <v>21</v>
          </cell>
          <cell r="EL23">
            <v>23.4</v>
          </cell>
          <cell r="EM23">
            <v>32.6</v>
          </cell>
          <cell r="EN23">
            <v>45.9</v>
          </cell>
          <cell r="EO23">
            <v>52.6</v>
          </cell>
          <cell r="EP23">
            <v>62.2</v>
          </cell>
          <cell r="EQ23">
            <v>70.5</v>
          </cell>
          <cell r="ER23">
            <v>81.2</v>
          </cell>
          <cell r="ET23">
            <v>14</v>
          </cell>
          <cell r="EU23">
            <v>23.8</v>
          </cell>
          <cell r="EV23">
            <v>26.5</v>
          </cell>
          <cell r="EW23">
            <v>23.8</v>
          </cell>
          <cell r="EX23">
            <v>23.8</v>
          </cell>
          <cell r="EY23">
            <v>23.8</v>
          </cell>
          <cell r="EZ23">
            <v>23.8</v>
          </cell>
          <cell r="FA23">
            <v>26.5</v>
          </cell>
          <cell r="FB23">
            <v>26.5</v>
          </cell>
          <cell r="FC23">
            <v>26.5</v>
          </cell>
          <cell r="FD23">
            <v>58.7</v>
          </cell>
          <cell r="FE23">
            <v>58.7</v>
          </cell>
          <cell r="FF23">
            <v>58.7</v>
          </cell>
          <cell r="FW23">
            <v>14</v>
          </cell>
          <cell r="FX23">
            <v>1.3</v>
          </cell>
          <cell r="FY23">
            <v>4.2</v>
          </cell>
        </row>
        <row r="24">
          <cell r="A24">
            <v>16</v>
          </cell>
          <cell r="B24">
            <v>0.75</v>
          </cell>
          <cell r="C24">
            <v>1.02</v>
          </cell>
          <cell r="D24">
            <v>0.75</v>
          </cell>
          <cell r="E24">
            <v>0.75</v>
          </cell>
          <cell r="F24">
            <v>0.75</v>
          </cell>
          <cell r="G24">
            <v>0.75</v>
          </cell>
          <cell r="H24">
            <v>1.02</v>
          </cell>
          <cell r="I24">
            <v>1.02</v>
          </cell>
          <cell r="J24">
            <v>1.02</v>
          </cell>
          <cell r="K24">
            <v>1.02</v>
          </cell>
          <cell r="L24">
            <v>1.02</v>
          </cell>
          <cell r="M24">
            <v>1.02</v>
          </cell>
          <cell r="N24">
            <v>16</v>
          </cell>
          <cell r="O24">
            <v>1.27</v>
          </cell>
          <cell r="P24">
            <v>1.71</v>
          </cell>
          <cell r="Q24">
            <v>1.27</v>
          </cell>
          <cell r="R24">
            <v>1.27</v>
          </cell>
          <cell r="S24">
            <v>1.27</v>
          </cell>
          <cell r="T24">
            <v>1.27</v>
          </cell>
          <cell r="U24">
            <v>1.71</v>
          </cell>
          <cell r="V24">
            <v>1.71</v>
          </cell>
          <cell r="W24">
            <v>2.34</v>
          </cell>
          <cell r="X24">
            <v>2.34</v>
          </cell>
          <cell r="Y24">
            <v>2.34</v>
          </cell>
          <cell r="Z24">
            <v>2.34</v>
          </cell>
          <cell r="AA24">
            <v>16</v>
          </cell>
          <cell r="AB24">
            <v>5</v>
          </cell>
          <cell r="AC24">
            <v>6.6</v>
          </cell>
          <cell r="AD24">
            <v>5</v>
          </cell>
          <cell r="AE24">
            <v>5</v>
          </cell>
          <cell r="AF24">
            <v>6.6</v>
          </cell>
          <cell r="AG24">
            <v>8.4</v>
          </cell>
          <cell r="AH24">
            <v>12.4</v>
          </cell>
          <cell r="AI24">
            <v>19.5</v>
          </cell>
          <cell r="AJ24">
            <v>20.7</v>
          </cell>
          <cell r="AK24">
            <v>25</v>
          </cell>
          <cell r="AL24">
            <v>27.7</v>
          </cell>
          <cell r="AM24">
            <v>27.7</v>
          </cell>
          <cell r="AN24">
            <v>16</v>
          </cell>
          <cell r="AO24">
            <v>1.0900000000000001</v>
          </cell>
          <cell r="AP24">
            <v>1.61</v>
          </cell>
          <cell r="AQ24">
            <v>1.0900000000000001</v>
          </cell>
          <cell r="AR24">
            <v>1.0900000000000001</v>
          </cell>
          <cell r="AS24">
            <v>1.61</v>
          </cell>
          <cell r="AT24">
            <v>1.78</v>
          </cell>
          <cell r="AU24">
            <v>1.9</v>
          </cell>
          <cell r="AV24">
            <v>2.13</v>
          </cell>
          <cell r="AW24">
            <v>2.2999999999999998</v>
          </cell>
          <cell r="AX24">
            <v>2.59</v>
          </cell>
          <cell r="AY24">
            <v>2.93</v>
          </cell>
          <cell r="AZ24">
            <v>2.93</v>
          </cell>
          <cell r="BA24">
            <v>16</v>
          </cell>
          <cell r="BB24">
            <v>0.86</v>
          </cell>
          <cell r="BC24">
            <v>1.27</v>
          </cell>
          <cell r="BD24">
            <v>0.86</v>
          </cell>
          <cell r="BE24">
            <v>0.86</v>
          </cell>
          <cell r="BF24">
            <v>1.27</v>
          </cell>
          <cell r="BG24">
            <v>1.4</v>
          </cell>
          <cell r="BH24">
            <v>1.55</v>
          </cell>
          <cell r="BI24">
            <v>1.7</v>
          </cell>
          <cell r="BJ24">
            <v>1.85</v>
          </cell>
          <cell r="BK24">
            <v>2</v>
          </cell>
          <cell r="BL24">
            <v>2.15</v>
          </cell>
          <cell r="BM24">
            <v>2.15</v>
          </cell>
          <cell r="BN24">
            <v>16</v>
          </cell>
          <cell r="BO24">
            <v>10.5</v>
          </cell>
          <cell r="BP24">
            <v>11.3</v>
          </cell>
          <cell r="BQ24">
            <v>15</v>
          </cell>
          <cell r="BR24">
            <v>18.399999999999999</v>
          </cell>
          <cell r="BS24">
            <v>20.100000000000001</v>
          </cell>
          <cell r="BT24">
            <v>22.4</v>
          </cell>
          <cell r="BV24">
            <v>16</v>
          </cell>
          <cell r="BW24">
            <v>9.6</v>
          </cell>
          <cell r="BX24">
            <v>10.199999999999999</v>
          </cell>
          <cell r="BY24">
            <v>10.199999999999999</v>
          </cell>
          <cell r="BZ24">
            <v>12.3</v>
          </cell>
          <cell r="CA24">
            <v>12.3</v>
          </cell>
          <cell r="CB24">
            <v>16.100000000000001</v>
          </cell>
          <cell r="CD24">
            <v>16</v>
          </cell>
          <cell r="CE24">
            <v>5.9</v>
          </cell>
          <cell r="CF24">
            <v>7.1</v>
          </cell>
          <cell r="CG24">
            <v>7.1</v>
          </cell>
          <cell r="CH24">
            <v>8.8000000000000007</v>
          </cell>
          <cell r="CI24">
            <v>8.8000000000000007</v>
          </cell>
          <cell r="CJ24">
            <v>12.7</v>
          </cell>
          <cell r="CK24">
            <v>13</v>
          </cell>
          <cell r="CL24">
            <v>16</v>
          </cell>
          <cell r="CM24">
            <v>4.4000000000000004</v>
          </cell>
          <cell r="CN24">
            <v>4.9000000000000004</v>
          </cell>
          <cell r="CO24">
            <v>4.9000000000000004</v>
          </cell>
          <cell r="CP24">
            <v>5.2</v>
          </cell>
          <cell r="CQ24">
            <v>6</v>
          </cell>
          <cell r="CR24">
            <v>7.4</v>
          </cell>
          <cell r="CT24">
            <v>16</v>
          </cell>
          <cell r="CU24">
            <v>10.6</v>
          </cell>
          <cell r="CV24">
            <v>15.2</v>
          </cell>
          <cell r="CW24">
            <v>10.6</v>
          </cell>
          <cell r="CX24">
            <v>10.6</v>
          </cell>
          <cell r="CY24">
            <v>15.2</v>
          </cell>
          <cell r="CZ24">
            <v>20.2</v>
          </cell>
          <cell r="DA24">
            <v>26.8</v>
          </cell>
          <cell r="DB24">
            <v>36.5</v>
          </cell>
          <cell r="DC24">
            <v>41.4</v>
          </cell>
          <cell r="DD24">
            <v>45.7</v>
          </cell>
          <cell r="DE24">
            <v>55.3</v>
          </cell>
          <cell r="DG24">
            <v>16</v>
          </cell>
          <cell r="DH24">
            <v>17.899999999999999</v>
          </cell>
          <cell r="DI24">
            <v>23.2</v>
          </cell>
          <cell r="DJ24">
            <v>17.899999999999999</v>
          </cell>
          <cell r="DK24">
            <v>17.899999999999999</v>
          </cell>
          <cell r="DL24">
            <v>22.8</v>
          </cell>
          <cell r="DM24">
            <v>30.1</v>
          </cell>
          <cell r="DN24">
            <v>40.1</v>
          </cell>
          <cell r="DO24">
            <v>54.8</v>
          </cell>
          <cell r="DP24">
            <v>57.5</v>
          </cell>
          <cell r="DQ24">
            <v>60.6</v>
          </cell>
          <cell r="DR24">
            <v>70</v>
          </cell>
          <cell r="EG24">
            <v>16</v>
          </cell>
          <cell r="EH24">
            <v>23.7</v>
          </cell>
          <cell r="EI24">
            <v>30.2</v>
          </cell>
          <cell r="EJ24">
            <v>23.7</v>
          </cell>
          <cell r="EK24">
            <v>23.7</v>
          </cell>
          <cell r="EL24">
            <v>30.2</v>
          </cell>
          <cell r="EM24">
            <v>40.1</v>
          </cell>
          <cell r="EN24">
            <v>52.9</v>
          </cell>
          <cell r="EO24">
            <v>65.7</v>
          </cell>
          <cell r="EP24">
            <v>82.6</v>
          </cell>
          <cell r="EQ24">
            <v>84.8</v>
          </cell>
          <cell r="ER24">
            <v>93.8</v>
          </cell>
          <cell r="ET24">
            <v>16</v>
          </cell>
          <cell r="EU24">
            <v>28.4</v>
          </cell>
          <cell r="EV24">
            <v>30.4</v>
          </cell>
          <cell r="EW24">
            <v>28.4</v>
          </cell>
          <cell r="EX24">
            <v>28.4</v>
          </cell>
          <cell r="EY24">
            <v>28.4</v>
          </cell>
          <cell r="EZ24">
            <v>28.4</v>
          </cell>
          <cell r="FA24">
            <v>30.4</v>
          </cell>
          <cell r="FB24">
            <v>30.4</v>
          </cell>
          <cell r="FC24">
            <v>30.4</v>
          </cell>
          <cell r="FD24">
            <v>76.2</v>
          </cell>
          <cell r="FE24">
            <v>76.2</v>
          </cell>
          <cell r="FF24">
            <v>76.2</v>
          </cell>
          <cell r="FW24">
            <v>16</v>
          </cell>
          <cell r="FX24">
            <v>1.4</v>
          </cell>
          <cell r="FY24">
            <v>4.5</v>
          </cell>
        </row>
        <row r="25">
          <cell r="A25">
            <v>18</v>
          </cell>
          <cell r="B25">
            <v>0.88</v>
          </cell>
          <cell r="C25">
            <v>1.17</v>
          </cell>
          <cell r="D25">
            <v>0.88</v>
          </cell>
          <cell r="E25">
            <v>0.88</v>
          </cell>
          <cell r="F25">
            <v>0.88</v>
          </cell>
          <cell r="G25">
            <v>0.88</v>
          </cell>
          <cell r="H25">
            <v>1.17</v>
          </cell>
          <cell r="I25">
            <v>1.17</v>
          </cell>
          <cell r="J25">
            <v>1.17</v>
          </cell>
          <cell r="K25">
            <v>1.17</v>
          </cell>
          <cell r="L25">
            <v>1.17</v>
          </cell>
          <cell r="M25">
            <v>1.17</v>
          </cell>
          <cell r="N25">
            <v>18</v>
          </cell>
          <cell r="O25">
            <v>1.48</v>
          </cell>
          <cell r="P25">
            <v>1.96</v>
          </cell>
          <cell r="Q25">
            <v>1.48</v>
          </cell>
          <cell r="R25">
            <v>1.48</v>
          </cell>
          <cell r="S25">
            <v>1.48</v>
          </cell>
          <cell r="T25">
            <v>1.48</v>
          </cell>
          <cell r="U25">
            <v>1.96</v>
          </cell>
          <cell r="V25">
            <v>1.96</v>
          </cell>
          <cell r="W25">
            <v>2.69</v>
          </cell>
          <cell r="X25">
            <v>2.69</v>
          </cell>
          <cell r="Y25">
            <v>2.69</v>
          </cell>
          <cell r="Z25">
            <v>2.69</v>
          </cell>
          <cell r="AA25">
            <v>18</v>
          </cell>
          <cell r="AB25">
            <v>5.9</v>
          </cell>
          <cell r="AC25">
            <v>7.7</v>
          </cell>
          <cell r="AD25">
            <v>5.9</v>
          </cell>
          <cell r="AE25">
            <v>6.8</v>
          </cell>
          <cell r="AF25">
            <v>8.6</v>
          </cell>
          <cell r="AG25">
            <v>11.2</v>
          </cell>
          <cell r="AH25">
            <v>16.399999999999999</v>
          </cell>
          <cell r="AI25">
            <v>21.8</v>
          </cell>
          <cell r="AJ25">
            <v>25.6</v>
          </cell>
          <cell r="AK25">
            <v>29.9</v>
          </cell>
          <cell r="AL25">
            <v>33.700000000000003</v>
          </cell>
          <cell r="AM25">
            <v>33.700000000000003</v>
          </cell>
          <cell r="AN25">
            <v>18</v>
          </cell>
          <cell r="AO25">
            <v>1.42</v>
          </cell>
          <cell r="AP25">
            <v>2.0099999999999998</v>
          </cell>
          <cell r="AQ25">
            <v>1.42</v>
          </cell>
          <cell r="AR25">
            <v>1.65</v>
          </cell>
          <cell r="AS25">
            <v>2.0099999999999998</v>
          </cell>
          <cell r="AT25">
            <v>2.2400000000000002</v>
          </cell>
          <cell r="AU25">
            <v>2.36</v>
          </cell>
          <cell r="AV25">
            <v>2.66</v>
          </cell>
          <cell r="AW25">
            <v>2.83</v>
          </cell>
          <cell r="AX25">
            <v>3.19</v>
          </cell>
          <cell r="AY25">
            <v>3.72</v>
          </cell>
          <cell r="AZ25">
            <v>3.72</v>
          </cell>
          <cell r="BA25">
            <v>18</v>
          </cell>
          <cell r="BB25">
            <v>1.1100000000000001</v>
          </cell>
          <cell r="BC25">
            <v>1.58</v>
          </cell>
          <cell r="BD25">
            <v>1.1100000000000001</v>
          </cell>
          <cell r="BE25">
            <v>1.3</v>
          </cell>
          <cell r="BF25">
            <v>1.58</v>
          </cell>
          <cell r="BG25">
            <v>1.77</v>
          </cell>
          <cell r="BH25">
            <v>1.96</v>
          </cell>
          <cell r="BI25">
            <v>2.15</v>
          </cell>
          <cell r="BJ25">
            <v>2.34</v>
          </cell>
          <cell r="BK25">
            <v>2.5299999999999998</v>
          </cell>
          <cell r="BL25">
            <v>2.72</v>
          </cell>
          <cell r="BM25">
            <v>2.72</v>
          </cell>
          <cell r="BN25">
            <v>18</v>
          </cell>
          <cell r="BO25">
            <v>12.2</v>
          </cell>
          <cell r="BP25">
            <v>13.5</v>
          </cell>
          <cell r="BQ25">
            <v>17.5</v>
          </cell>
          <cell r="BR25">
            <v>21.1</v>
          </cell>
          <cell r="BS25">
            <v>23.7</v>
          </cell>
          <cell r="BT25">
            <v>26.6</v>
          </cell>
          <cell r="BV25">
            <v>18</v>
          </cell>
          <cell r="BW25">
            <v>12</v>
          </cell>
          <cell r="BX25">
            <v>12.7</v>
          </cell>
          <cell r="BY25">
            <v>12.7</v>
          </cell>
          <cell r="BZ25">
            <v>15.4</v>
          </cell>
          <cell r="CA25">
            <v>15.4</v>
          </cell>
          <cell r="CB25">
            <v>18.3</v>
          </cell>
          <cell r="CD25">
            <v>18</v>
          </cell>
          <cell r="CE25">
            <v>6.7</v>
          </cell>
          <cell r="CF25">
            <v>8.1</v>
          </cell>
          <cell r="CG25">
            <v>8.1</v>
          </cell>
          <cell r="CH25">
            <v>10.4</v>
          </cell>
          <cell r="CI25">
            <v>10.4</v>
          </cell>
          <cell r="CJ25">
            <v>15.1</v>
          </cell>
          <cell r="CK25">
            <v>15.8</v>
          </cell>
          <cell r="CL25">
            <v>18</v>
          </cell>
          <cell r="CM25">
            <v>4.8</v>
          </cell>
          <cell r="CN25">
            <v>5.4</v>
          </cell>
          <cell r="CO25">
            <v>5.4</v>
          </cell>
          <cell r="CP25">
            <v>5.8</v>
          </cell>
          <cell r="CQ25">
            <v>6.7</v>
          </cell>
          <cell r="CR25">
            <v>8.1999999999999993</v>
          </cell>
          <cell r="CT25">
            <v>18</v>
          </cell>
          <cell r="CU25">
            <v>11.6</v>
          </cell>
          <cell r="CV25">
            <v>16.3</v>
          </cell>
          <cell r="CW25">
            <v>11.6</v>
          </cell>
          <cell r="CX25">
            <v>15.1</v>
          </cell>
          <cell r="CY25">
            <v>19.100000000000001</v>
          </cell>
          <cell r="CZ25">
            <v>25.4</v>
          </cell>
          <cell r="DA25">
            <v>30.1</v>
          </cell>
          <cell r="DB25">
            <v>44.1</v>
          </cell>
          <cell r="DC25">
            <v>49</v>
          </cell>
          <cell r="DD25">
            <v>53</v>
          </cell>
          <cell r="DE25">
            <v>69.2</v>
          </cell>
          <cell r="DG25">
            <v>18</v>
          </cell>
          <cell r="DH25">
            <v>19.100000000000001</v>
          </cell>
          <cell r="DI25">
            <v>23.8</v>
          </cell>
          <cell r="DJ25">
            <v>19.100000000000001</v>
          </cell>
          <cell r="DK25">
            <v>22.1</v>
          </cell>
          <cell r="DL25">
            <v>30</v>
          </cell>
          <cell r="DM25">
            <v>37.4</v>
          </cell>
          <cell r="DN25">
            <v>45</v>
          </cell>
          <cell r="DO25">
            <v>59.5</v>
          </cell>
          <cell r="DP25">
            <v>61.9</v>
          </cell>
          <cell r="DQ25">
            <v>65.3</v>
          </cell>
          <cell r="DR25">
            <v>87.6</v>
          </cell>
          <cell r="EG25">
            <v>18</v>
          </cell>
          <cell r="EH25">
            <v>25.5</v>
          </cell>
          <cell r="EI25">
            <v>31.6</v>
          </cell>
          <cell r="EJ25">
            <v>25.5</v>
          </cell>
          <cell r="EK25">
            <v>29.4</v>
          </cell>
          <cell r="EL25">
            <v>37.4</v>
          </cell>
          <cell r="EM25">
            <v>50.2</v>
          </cell>
          <cell r="EN25">
            <v>59.5</v>
          </cell>
          <cell r="EO25">
            <v>79.7</v>
          </cell>
          <cell r="EP25">
            <v>82.9</v>
          </cell>
          <cell r="EQ25">
            <v>87.5</v>
          </cell>
          <cell r="ER25">
            <v>117.4</v>
          </cell>
          <cell r="ET25">
            <v>18</v>
          </cell>
          <cell r="EU25">
            <v>33.700000000000003</v>
          </cell>
          <cell r="EV25">
            <v>36.9</v>
          </cell>
          <cell r="EW25">
            <v>33.700000000000003</v>
          </cell>
          <cell r="EX25">
            <v>33.700000000000003</v>
          </cell>
          <cell r="EY25">
            <v>33.700000000000003</v>
          </cell>
          <cell r="EZ25">
            <v>33.700000000000003</v>
          </cell>
          <cell r="FA25">
            <v>36.9</v>
          </cell>
          <cell r="FB25">
            <v>36.9</v>
          </cell>
          <cell r="FC25">
            <v>36.9</v>
          </cell>
          <cell r="FD25">
            <v>98</v>
          </cell>
          <cell r="FE25">
            <v>98</v>
          </cell>
          <cell r="FF25">
            <v>98</v>
          </cell>
          <cell r="FW25">
            <v>18</v>
          </cell>
          <cell r="FX25">
            <v>1.5</v>
          </cell>
          <cell r="FY25">
            <v>4.8</v>
          </cell>
        </row>
        <row r="26">
          <cell r="A26">
            <v>20</v>
          </cell>
          <cell r="B26">
            <v>1.03</v>
          </cell>
          <cell r="C26">
            <v>1.32</v>
          </cell>
          <cell r="D26">
            <v>1.03</v>
          </cell>
          <cell r="E26">
            <v>1.03</v>
          </cell>
          <cell r="F26">
            <v>1.03</v>
          </cell>
          <cell r="G26">
            <v>1.03</v>
          </cell>
          <cell r="H26">
            <v>1.32</v>
          </cell>
          <cell r="I26">
            <v>1.32</v>
          </cell>
          <cell r="J26">
            <v>1.32</v>
          </cell>
          <cell r="K26">
            <v>1.32</v>
          </cell>
          <cell r="L26">
            <v>1.32</v>
          </cell>
          <cell r="M26">
            <v>1.32</v>
          </cell>
          <cell r="N26">
            <v>20</v>
          </cell>
          <cell r="O26">
            <v>1.74</v>
          </cell>
          <cell r="P26">
            <v>2.2200000000000002</v>
          </cell>
          <cell r="Q26">
            <v>1.74</v>
          </cell>
          <cell r="R26">
            <v>1.74</v>
          </cell>
          <cell r="S26">
            <v>1.74</v>
          </cell>
          <cell r="T26">
            <v>1.74</v>
          </cell>
          <cell r="U26">
            <v>2.2200000000000002</v>
          </cell>
          <cell r="V26">
            <v>2.2200000000000002</v>
          </cell>
          <cell r="W26">
            <v>3.04</v>
          </cell>
          <cell r="X26">
            <v>3.04</v>
          </cell>
          <cell r="Y26">
            <v>3.04</v>
          </cell>
          <cell r="Z26">
            <v>3.04</v>
          </cell>
          <cell r="AA26">
            <v>20</v>
          </cell>
          <cell r="AB26">
            <v>6.3</v>
          </cell>
          <cell r="AC26">
            <v>8.4</v>
          </cell>
          <cell r="AD26">
            <v>6.3</v>
          </cell>
          <cell r="AE26">
            <v>8.4</v>
          </cell>
          <cell r="AF26">
            <v>9.4</v>
          </cell>
          <cell r="AG26">
            <v>13.8</v>
          </cell>
          <cell r="AH26">
            <v>19.5</v>
          </cell>
          <cell r="AI26">
            <v>26</v>
          </cell>
          <cell r="AJ26">
            <v>31.9</v>
          </cell>
          <cell r="AK26">
            <v>37</v>
          </cell>
          <cell r="AL26">
            <v>40.799999999999997</v>
          </cell>
          <cell r="AM26">
            <v>40.799999999999997</v>
          </cell>
          <cell r="AN26">
            <v>20</v>
          </cell>
          <cell r="AO26">
            <v>1.71</v>
          </cell>
          <cell r="AP26">
            <v>2.2400000000000002</v>
          </cell>
          <cell r="AQ26">
            <v>1.71</v>
          </cell>
          <cell r="AR26">
            <v>2.2999999999999998</v>
          </cell>
          <cell r="AS26">
            <v>2.48</v>
          </cell>
          <cell r="AT26">
            <v>2.66</v>
          </cell>
          <cell r="AU26">
            <v>2.83</v>
          </cell>
          <cell r="AV26">
            <v>3.13</v>
          </cell>
          <cell r="AW26">
            <v>3.3</v>
          </cell>
          <cell r="AX26">
            <v>3.84</v>
          </cell>
          <cell r="AY26">
            <v>4.37</v>
          </cell>
          <cell r="AZ26">
            <v>4.37</v>
          </cell>
          <cell r="BA26">
            <v>20</v>
          </cell>
          <cell r="BB26">
            <v>1.35</v>
          </cell>
          <cell r="BC26">
            <v>1.77</v>
          </cell>
          <cell r="BD26">
            <v>1.35</v>
          </cell>
          <cell r="BE26">
            <v>1.82</v>
          </cell>
          <cell r="BF26">
            <v>1.95</v>
          </cell>
          <cell r="BG26">
            <v>2.15</v>
          </cell>
          <cell r="BH26">
            <v>2.35</v>
          </cell>
          <cell r="BI26">
            <v>2.5499999999999998</v>
          </cell>
          <cell r="BJ26">
            <v>2.75</v>
          </cell>
          <cell r="BK26">
            <v>2.95</v>
          </cell>
          <cell r="BL26">
            <v>3.15</v>
          </cell>
          <cell r="BM26">
            <v>3.15</v>
          </cell>
          <cell r="BN26">
            <v>20</v>
          </cell>
          <cell r="BO26">
            <v>14.6</v>
          </cell>
          <cell r="BP26">
            <v>16</v>
          </cell>
          <cell r="BQ26">
            <v>21.1</v>
          </cell>
          <cell r="BR26">
            <v>23.7</v>
          </cell>
          <cell r="BS26">
            <v>27.5</v>
          </cell>
          <cell r="BT26">
            <v>30.8</v>
          </cell>
          <cell r="BV26">
            <v>20</v>
          </cell>
          <cell r="BW26">
            <v>13.3</v>
          </cell>
          <cell r="BX26">
            <v>14</v>
          </cell>
          <cell r="BY26">
            <v>14</v>
          </cell>
          <cell r="BZ26">
            <v>16.899999999999999</v>
          </cell>
          <cell r="CA26">
            <v>16.899999999999999</v>
          </cell>
          <cell r="CB26">
            <v>21.6</v>
          </cell>
          <cell r="CD26">
            <v>20</v>
          </cell>
          <cell r="CE26">
            <v>7.7</v>
          </cell>
          <cell r="CF26">
            <v>9.1999999999999993</v>
          </cell>
          <cell r="CG26">
            <v>9.1999999999999993</v>
          </cell>
          <cell r="CH26">
            <v>11.9</v>
          </cell>
          <cell r="CI26">
            <v>11.9</v>
          </cell>
          <cell r="CJ26">
            <v>17.899999999999999</v>
          </cell>
          <cell r="CK26">
            <v>18.399999999999999</v>
          </cell>
          <cell r="CL26">
            <v>20</v>
          </cell>
          <cell r="CM26">
            <v>5.5</v>
          </cell>
          <cell r="CN26">
            <v>6.2</v>
          </cell>
          <cell r="CO26">
            <v>6.2</v>
          </cell>
          <cell r="CP26">
            <v>6.6</v>
          </cell>
          <cell r="CQ26">
            <v>7.6</v>
          </cell>
          <cell r="CR26">
            <v>9.3000000000000007</v>
          </cell>
          <cell r="CT26">
            <v>20</v>
          </cell>
          <cell r="CU26">
            <v>13</v>
          </cell>
          <cell r="CV26">
            <v>18.3</v>
          </cell>
          <cell r="CW26">
            <v>13</v>
          </cell>
          <cell r="CX26">
            <v>18.3</v>
          </cell>
          <cell r="CY26">
            <v>22.3</v>
          </cell>
          <cell r="CZ26">
            <v>32.6</v>
          </cell>
          <cell r="DA26">
            <v>35.4</v>
          </cell>
          <cell r="DB26">
            <v>51</v>
          </cell>
          <cell r="DC26">
            <v>55.9</v>
          </cell>
          <cell r="DD26">
            <v>60.8</v>
          </cell>
          <cell r="DE26">
            <v>77.7</v>
          </cell>
          <cell r="DG26">
            <v>20</v>
          </cell>
          <cell r="DH26">
            <v>21.1</v>
          </cell>
          <cell r="DI26">
            <v>26.6</v>
          </cell>
          <cell r="DJ26">
            <v>21.1</v>
          </cell>
          <cell r="DK26">
            <v>26.4</v>
          </cell>
          <cell r="DL26">
            <v>32.299999999999997</v>
          </cell>
          <cell r="DM26">
            <v>47.2</v>
          </cell>
          <cell r="DN26">
            <v>55.5</v>
          </cell>
          <cell r="DO26">
            <v>63.8</v>
          </cell>
          <cell r="DP26">
            <v>73.8</v>
          </cell>
          <cell r="DQ26">
            <v>84.6</v>
          </cell>
          <cell r="DR26">
            <v>98.4</v>
          </cell>
          <cell r="EG26">
            <v>20</v>
          </cell>
          <cell r="EH26">
            <v>28.2</v>
          </cell>
          <cell r="EI26">
            <v>35.6</v>
          </cell>
          <cell r="EJ26">
            <v>28.2</v>
          </cell>
          <cell r="EK26">
            <v>35.6</v>
          </cell>
          <cell r="EL26">
            <v>43.4</v>
          </cell>
          <cell r="EM26">
            <v>62.9</v>
          </cell>
          <cell r="EN26">
            <v>71.3</v>
          </cell>
          <cell r="EO26">
            <v>85.5</v>
          </cell>
          <cell r="EP26">
            <v>98.9</v>
          </cell>
          <cell r="EQ26">
            <v>113.4</v>
          </cell>
          <cell r="ER26">
            <v>131.9</v>
          </cell>
          <cell r="ET26">
            <v>20</v>
          </cell>
          <cell r="EU26">
            <v>40.9</v>
          </cell>
          <cell r="EV26">
            <v>44.9</v>
          </cell>
          <cell r="EW26">
            <v>40.9</v>
          </cell>
          <cell r="EX26">
            <v>40.9</v>
          </cell>
          <cell r="EY26">
            <v>40.9</v>
          </cell>
          <cell r="EZ26">
            <v>40.9</v>
          </cell>
          <cell r="FA26">
            <v>44.9</v>
          </cell>
          <cell r="FB26">
            <v>44.9</v>
          </cell>
          <cell r="FC26">
            <v>44.9</v>
          </cell>
          <cell r="FD26">
            <v>108.8</v>
          </cell>
          <cell r="FE26">
            <v>108.8</v>
          </cell>
          <cell r="FF26">
            <v>108.8</v>
          </cell>
          <cell r="FW26">
            <v>20</v>
          </cell>
          <cell r="FX26">
            <v>1.6</v>
          </cell>
          <cell r="FY26">
            <v>5.0999999999999996</v>
          </cell>
        </row>
        <row r="27">
          <cell r="A27">
            <v>24</v>
          </cell>
          <cell r="B27">
            <v>1.1499999999999999</v>
          </cell>
          <cell r="C27">
            <v>1.49</v>
          </cell>
          <cell r="D27">
            <v>1.1499999999999999</v>
          </cell>
          <cell r="E27">
            <v>1.1499999999999999</v>
          </cell>
          <cell r="F27">
            <v>1.1499999999999999</v>
          </cell>
          <cell r="G27">
            <v>1.1499999999999999</v>
          </cell>
          <cell r="H27">
            <v>1.49</v>
          </cell>
          <cell r="I27">
            <v>1.49</v>
          </cell>
          <cell r="J27">
            <v>1.49</v>
          </cell>
          <cell r="K27">
            <v>1.49</v>
          </cell>
          <cell r="L27">
            <v>1.49</v>
          </cell>
          <cell r="M27">
            <v>1.49</v>
          </cell>
          <cell r="N27">
            <v>24</v>
          </cell>
          <cell r="O27">
            <v>1.94</v>
          </cell>
          <cell r="P27">
            <v>2.5099999999999998</v>
          </cell>
          <cell r="Q27">
            <v>1.94</v>
          </cell>
          <cell r="R27">
            <v>1.94</v>
          </cell>
          <cell r="S27">
            <v>1.94</v>
          </cell>
          <cell r="T27">
            <v>1.94</v>
          </cell>
          <cell r="U27">
            <v>2.5099999999999998</v>
          </cell>
          <cell r="V27">
            <v>2.5099999999999998</v>
          </cell>
          <cell r="W27">
            <v>3.43</v>
          </cell>
          <cell r="X27">
            <v>3.43</v>
          </cell>
          <cell r="Y27">
            <v>3.43</v>
          </cell>
          <cell r="Z27">
            <v>3.43</v>
          </cell>
          <cell r="AA27">
            <v>24</v>
          </cell>
          <cell r="AB27">
            <v>6.9</v>
          </cell>
          <cell r="AC27">
            <v>10.1</v>
          </cell>
          <cell r="AD27">
            <v>6.9</v>
          </cell>
          <cell r="AE27">
            <v>10.584000000000001</v>
          </cell>
          <cell r="AF27">
            <v>13.3</v>
          </cell>
          <cell r="AG27">
            <v>20.100000000000001</v>
          </cell>
          <cell r="AH27">
            <v>25.2</v>
          </cell>
          <cell r="AI27">
            <v>35.799999999999997</v>
          </cell>
          <cell r="AJ27">
            <v>43.5</v>
          </cell>
          <cell r="AK27">
            <v>49.3</v>
          </cell>
          <cell r="AL27">
            <v>59.3</v>
          </cell>
          <cell r="AM27">
            <v>59.3</v>
          </cell>
          <cell r="AN27">
            <v>24</v>
          </cell>
          <cell r="AO27">
            <v>2.6</v>
          </cell>
          <cell r="AP27">
            <v>3.3</v>
          </cell>
          <cell r="AQ27">
            <v>2.6</v>
          </cell>
          <cell r="AR27">
            <v>3.48</v>
          </cell>
          <cell r="AS27">
            <v>3.66</v>
          </cell>
          <cell r="AT27">
            <v>3.84</v>
          </cell>
          <cell r="AU27">
            <v>3.95</v>
          </cell>
          <cell r="AV27">
            <v>4.3099999999999996</v>
          </cell>
          <cell r="AW27">
            <v>4.78</v>
          </cell>
          <cell r="AX27">
            <v>5.37</v>
          </cell>
          <cell r="AY27">
            <v>6.08</v>
          </cell>
          <cell r="AZ27">
            <v>6.08</v>
          </cell>
          <cell r="BA27">
            <v>24</v>
          </cell>
          <cell r="BB27">
            <v>2.04</v>
          </cell>
          <cell r="BC27">
            <v>2.6</v>
          </cell>
          <cell r="BD27">
            <v>2.04</v>
          </cell>
          <cell r="BE27">
            <v>2.74</v>
          </cell>
          <cell r="BF27">
            <v>2.88</v>
          </cell>
          <cell r="BG27">
            <v>3.16</v>
          </cell>
          <cell r="BH27">
            <v>3.44</v>
          </cell>
          <cell r="BI27">
            <v>3.72</v>
          </cell>
          <cell r="BJ27">
            <v>4</v>
          </cell>
          <cell r="BK27">
            <v>4.28</v>
          </cell>
          <cell r="BL27">
            <v>4.5599999999999996</v>
          </cell>
          <cell r="BM27">
            <v>4.5599999999999996</v>
          </cell>
          <cell r="BN27">
            <v>24</v>
          </cell>
          <cell r="BO27">
            <v>18.3</v>
          </cell>
          <cell r="BP27">
            <v>20.100000000000001</v>
          </cell>
          <cell r="BQ27">
            <v>25.6</v>
          </cell>
          <cell r="BR27">
            <v>31.2</v>
          </cell>
          <cell r="BS27">
            <v>34.799999999999997</v>
          </cell>
          <cell r="BT27">
            <v>38.9</v>
          </cell>
          <cell r="BV27">
            <v>24</v>
          </cell>
          <cell r="BW27">
            <v>17.600000000000001</v>
          </cell>
          <cell r="BX27">
            <v>18.5</v>
          </cell>
          <cell r="BY27">
            <v>18.5</v>
          </cell>
          <cell r="BZ27">
            <v>22.4</v>
          </cell>
          <cell r="CA27">
            <v>22.4</v>
          </cell>
          <cell r="CB27">
            <v>28.7</v>
          </cell>
          <cell r="CD27">
            <v>24</v>
          </cell>
          <cell r="CE27">
            <v>8.5</v>
          </cell>
          <cell r="CF27">
            <v>10.3</v>
          </cell>
          <cell r="CG27">
            <v>10.3</v>
          </cell>
          <cell r="CH27">
            <v>13.6</v>
          </cell>
          <cell r="CI27">
            <v>13.6</v>
          </cell>
          <cell r="CJ27">
            <v>20.7</v>
          </cell>
          <cell r="CK27">
            <v>21.5</v>
          </cell>
          <cell r="CL27">
            <v>24</v>
          </cell>
          <cell r="CM27">
            <v>6.6</v>
          </cell>
          <cell r="CN27">
            <v>7.4</v>
          </cell>
          <cell r="CO27">
            <v>7.4</v>
          </cell>
          <cell r="CP27">
            <v>7.9</v>
          </cell>
          <cell r="CQ27">
            <v>9.1</v>
          </cell>
          <cell r="CR27">
            <v>11.2</v>
          </cell>
          <cell r="CT27">
            <v>24</v>
          </cell>
          <cell r="CU27">
            <v>14.2</v>
          </cell>
          <cell r="CV27">
            <v>19.8</v>
          </cell>
          <cell r="CW27">
            <v>14.2</v>
          </cell>
          <cell r="CX27">
            <v>21.2</v>
          </cell>
          <cell r="CY27">
            <v>27.7</v>
          </cell>
          <cell r="CZ27">
            <v>41.7</v>
          </cell>
          <cell r="DA27">
            <v>46</v>
          </cell>
          <cell r="DB27">
            <v>64.8</v>
          </cell>
          <cell r="DC27">
            <v>69.7</v>
          </cell>
          <cell r="DD27">
            <v>77.8</v>
          </cell>
          <cell r="DE27">
            <v>90.9</v>
          </cell>
          <cell r="DG27">
            <v>24</v>
          </cell>
          <cell r="DH27">
            <v>22.3</v>
          </cell>
          <cell r="DI27">
            <v>27.7</v>
          </cell>
          <cell r="DJ27">
            <v>22.3</v>
          </cell>
          <cell r="DK27">
            <v>30.3</v>
          </cell>
          <cell r="DL27">
            <v>36.5</v>
          </cell>
          <cell r="DM27">
            <v>52.5</v>
          </cell>
          <cell r="DN27">
            <v>59.5</v>
          </cell>
          <cell r="DO27">
            <v>72.400000000000006</v>
          </cell>
          <cell r="DP27">
            <v>85.7</v>
          </cell>
          <cell r="DQ27">
            <v>99</v>
          </cell>
          <cell r="DR27">
            <v>115</v>
          </cell>
          <cell r="EG27">
            <v>24</v>
          </cell>
          <cell r="EH27">
            <v>29.5</v>
          </cell>
          <cell r="EI27">
            <v>38.4</v>
          </cell>
          <cell r="EJ27">
            <v>29.5</v>
          </cell>
          <cell r="EK27">
            <v>38.700000000000003</v>
          </cell>
          <cell r="EL27">
            <v>51.1</v>
          </cell>
          <cell r="EM27">
            <v>71.2</v>
          </cell>
          <cell r="EN27">
            <v>76.8</v>
          </cell>
          <cell r="EO27">
            <v>97.1</v>
          </cell>
          <cell r="EP27">
            <v>114.8</v>
          </cell>
          <cell r="EQ27">
            <v>132.69999999999999</v>
          </cell>
          <cell r="ER27">
            <v>154.1</v>
          </cell>
          <cell r="ET27">
            <v>24</v>
          </cell>
          <cell r="EU27">
            <v>62.7</v>
          </cell>
          <cell r="EV27">
            <v>73.3</v>
          </cell>
          <cell r="EW27">
            <v>62.7</v>
          </cell>
          <cell r="EX27">
            <v>62.7</v>
          </cell>
          <cell r="EY27">
            <v>62.7</v>
          </cell>
          <cell r="EZ27">
            <v>62.7</v>
          </cell>
          <cell r="FA27">
            <v>73.3</v>
          </cell>
          <cell r="FB27">
            <v>73.3</v>
          </cell>
          <cell r="FC27">
            <v>73.3</v>
          </cell>
          <cell r="FD27">
            <v>130.5</v>
          </cell>
          <cell r="FE27">
            <v>130.5</v>
          </cell>
          <cell r="FF27">
            <v>130.5</v>
          </cell>
          <cell r="FW27">
            <v>24</v>
          </cell>
          <cell r="FX27">
            <v>1.7</v>
          </cell>
          <cell r="FY27">
            <v>5.5</v>
          </cell>
        </row>
      </sheetData>
      <sheetData sheetId="2" refreshError="1"/>
      <sheetData sheetId="3" refreshError="1">
        <row r="7">
          <cell r="A7" t="str">
            <v>Pipe Size</v>
          </cell>
          <cell r="B7" t="str">
            <v>STD</v>
          </cell>
          <cell r="C7" t="str">
            <v>XS</v>
          </cell>
          <cell r="D7">
            <v>20</v>
          </cell>
          <cell r="E7">
            <v>30</v>
          </cell>
          <cell r="F7">
            <v>40</v>
          </cell>
          <cell r="G7">
            <v>60</v>
          </cell>
          <cell r="H7">
            <v>80</v>
          </cell>
          <cell r="I7">
            <v>100</v>
          </cell>
          <cell r="J7">
            <v>120</v>
          </cell>
          <cell r="K7">
            <v>140</v>
          </cell>
          <cell r="L7">
            <v>160</v>
          </cell>
          <cell r="M7" t="str">
            <v>XXS</v>
          </cell>
          <cell r="N7" t="str">
            <v>Pipe Size</v>
          </cell>
          <cell r="O7" t="str">
            <v>STD</v>
          </cell>
          <cell r="P7" t="str">
            <v>XS</v>
          </cell>
          <cell r="Q7">
            <v>20</v>
          </cell>
          <cell r="R7">
            <v>30</v>
          </cell>
          <cell r="S7">
            <v>40</v>
          </cell>
          <cell r="T7">
            <v>60</v>
          </cell>
          <cell r="U7">
            <v>80</v>
          </cell>
          <cell r="V7">
            <v>100</v>
          </cell>
          <cell r="W7">
            <v>120</v>
          </cell>
          <cell r="X7">
            <v>140</v>
          </cell>
          <cell r="Y7">
            <v>160</v>
          </cell>
          <cell r="Z7" t="str">
            <v>XXS</v>
          </cell>
          <cell r="AA7" t="str">
            <v>Pipe Size</v>
          </cell>
          <cell r="AB7" t="str">
            <v>STD</v>
          </cell>
          <cell r="AC7" t="str">
            <v>XS</v>
          </cell>
          <cell r="AD7">
            <v>20</v>
          </cell>
          <cell r="AE7">
            <v>30</v>
          </cell>
          <cell r="AF7">
            <v>40</v>
          </cell>
          <cell r="AG7">
            <v>60</v>
          </cell>
          <cell r="AH7">
            <v>80</v>
          </cell>
          <cell r="AI7">
            <v>100</v>
          </cell>
          <cell r="AJ7">
            <v>120</v>
          </cell>
          <cell r="AK7">
            <v>140</v>
          </cell>
          <cell r="AL7">
            <v>160</v>
          </cell>
          <cell r="AM7" t="str">
            <v>XXS</v>
          </cell>
          <cell r="AN7" t="str">
            <v>Pipe Size</v>
          </cell>
          <cell r="AO7" t="str">
            <v>STD</v>
          </cell>
          <cell r="AP7" t="str">
            <v>XS</v>
          </cell>
          <cell r="AQ7">
            <v>20</v>
          </cell>
          <cell r="AR7">
            <v>30</v>
          </cell>
          <cell r="AS7">
            <v>40</v>
          </cell>
          <cell r="AT7">
            <v>60</v>
          </cell>
          <cell r="AU7">
            <v>80</v>
          </cell>
          <cell r="AV7">
            <v>100</v>
          </cell>
          <cell r="AW7">
            <v>120</v>
          </cell>
          <cell r="AX7">
            <v>140</v>
          </cell>
          <cell r="AY7">
            <v>160</v>
          </cell>
          <cell r="AZ7" t="str">
            <v>XXS</v>
          </cell>
          <cell r="BA7" t="str">
            <v>Pipe Size</v>
          </cell>
          <cell r="BB7" t="str">
            <v>STD</v>
          </cell>
          <cell r="BC7" t="str">
            <v>XS</v>
          </cell>
          <cell r="BD7">
            <v>20</v>
          </cell>
          <cell r="BE7">
            <v>30</v>
          </cell>
          <cell r="BF7">
            <v>40</v>
          </cell>
          <cell r="BG7">
            <v>60</v>
          </cell>
          <cell r="BH7">
            <v>80</v>
          </cell>
          <cell r="BI7">
            <v>100</v>
          </cell>
          <cell r="BJ7">
            <v>120</v>
          </cell>
          <cell r="BK7">
            <v>140</v>
          </cell>
          <cell r="BL7">
            <v>160</v>
          </cell>
          <cell r="BM7" t="str">
            <v>XXS</v>
          </cell>
          <cell r="BN7" t="str">
            <v>Pipe Size</v>
          </cell>
          <cell r="BO7">
            <v>150</v>
          </cell>
          <cell r="BP7">
            <v>300</v>
          </cell>
          <cell r="BQ7">
            <v>400</v>
          </cell>
          <cell r="BR7" t="str">
            <v>600</v>
          </cell>
          <cell r="BS7" t="str">
            <v>900</v>
          </cell>
          <cell r="BT7">
            <v>1500</v>
          </cell>
          <cell r="BU7">
            <v>2500</v>
          </cell>
          <cell r="BV7" t="str">
            <v>Pipe Size</v>
          </cell>
          <cell r="BW7">
            <v>150</v>
          </cell>
          <cell r="BX7">
            <v>300</v>
          </cell>
          <cell r="BY7">
            <v>400</v>
          </cell>
          <cell r="BZ7" t="str">
            <v>600</v>
          </cell>
          <cell r="CA7" t="str">
            <v>900</v>
          </cell>
          <cell r="CB7">
            <v>1500</v>
          </cell>
          <cell r="CC7">
            <v>2500</v>
          </cell>
          <cell r="CD7" t="str">
            <v>Pipe Size</v>
          </cell>
          <cell r="CE7">
            <v>150</v>
          </cell>
          <cell r="CF7">
            <v>300</v>
          </cell>
          <cell r="CG7">
            <v>400</v>
          </cell>
          <cell r="CH7" t="str">
            <v>600</v>
          </cell>
          <cell r="CI7" t="str">
            <v>900</v>
          </cell>
          <cell r="CJ7">
            <v>1500</v>
          </cell>
          <cell r="CK7">
            <v>2500</v>
          </cell>
          <cell r="CL7" t="str">
            <v>Pipe Size</v>
          </cell>
          <cell r="CM7" t="str">
            <v>STD</v>
          </cell>
          <cell r="CN7" t="str">
            <v>XS</v>
          </cell>
          <cell r="CO7">
            <v>20</v>
          </cell>
          <cell r="CP7">
            <v>30</v>
          </cell>
          <cell r="CQ7">
            <v>40</v>
          </cell>
          <cell r="CR7">
            <v>60</v>
          </cell>
          <cell r="CS7">
            <v>80</v>
          </cell>
          <cell r="CT7">
            <v>100</v>
          </cell>
          <cell r="CU7">
            <v>120</v>
          </cell>
          <cell r="CV7">
            <v>140</v>
          </cell>
          <cell r="CW7">
            <v>160</v>
          </cell>
          <cell r="CX7" t="str">
            <v>XXS</v>
          </cell>
        </row>
        <row r="8">
          <cell r="A8">
            <v>1</v>
          </cell>
          <cell r="B8">
            <v>2</v>
          </cell>
          <cell r="C8">
            <v>3</v>
          </cell>
          <cell r="D8">
            <v>4</v>
          </cell>
          <cell r="E8">
            <v>5</v>
          </cell>
          <cell r="F8">
            <v>6</v>
          </cell>
          <cell r="G8">
            <v>7</v>
          </cell>
          <cell r="H8">
            <v>8</v>
          </cell>
          <cell r="I8">
            <v>9</v>
          </cell>
          <cell r="J8">
            <v>10</v>
          </cell>
          <cell r="K8">
            <v>11</v>
          </cell>
          <cell r="L8">
            <v>12</v>
          </cell>
          <cell r="M8">
            <v>13</v>
          </cell>
          <cell r="N8">
            <v>1</v>
          </cell>
          <cell r="O8">
            <v>2</v>
          </cell>
          <cell r="P8">
            <v>3</v>
          </cell>
          <cell r="Q8">
            <v>4</v>
          </cell>
          <cell r="R8">
            <v>5</v>
          </cell>
          <cell r="S8">
            <v>6</v>
          </cell>
          <cell r="T8">
            <v>7</v>
          </cell>
          <cell r="U8">
            <v>8</v>
          </cell>
          <cell r="V8">
            <v>9</v>
          </cell>
          <cell r="W8">
            <v>10</v>
          </cell>
          <cell r="X8">
            <v>11</v>
          </cell>
          <cell r="Y8">
            <v>12</v>
          </cell>
          <cell r="Z8">
            <v>13</v>
          </cell>
          <cell r="AA8">
            <v>1</v>
          </cell>
          <cell r="AB8">
            <v>2</v>
          </cell>
          <cell r="AC8">
            <v>3</v>
          </cell>
          <cell r="AD8">
            <v>4</v>
          </cell>
          <cell r="AE8">
            <v>5</v>
          </cell>
          <cell r="AF8">
            <v>6</v>
          </cell>
          <cell r="AG8">
            <v>7</v>
          </cell>
          <cell r="AH8">
            <v>8</v>
          </cell>
          <cell r="AI8">
            <v>9</v>
          </cell>
          <cell r="AJ8">
            <v>10</v>
          </cell>
          <cell r="AK8">
            <v>11</v>
          </cell>
          <cell r="AL8">
            <v>12</v>
          </cell>
          <cell r="AM8">
            <v>13</v>
          </cell>
          <cell r="AN8">
            <v>1</v>
          </cell>
          <cell r="AO8">
            <v>2</v>
          </cell>
          <cell r="AP8">
            <v>3</v>
          </cell>
          <cell r="AQ8">
            <v>4</v>
          </cell>
          <cell r="AR8">
            <v>5</v>
          </cell>
          <cell r="AS8">
            <v>6</v>
          </cell>
          <cell r="AT8">
            <v>7</v>
          </cell>
          <cell r="AU8">
            <v>8</v>
          </cell>
          <cell r="AV8">
            <v>9</v>
          </cell>
          <cell r="AW8">
            <v>10</v>
          </cell>
          <cell r="AX8">
            <v>11</v>
          </cell>
          <cell r="AY8">
            <v>12</v>
          </cell>
          <cell r="AZ8">
            <v>13</v>
          </cell>
          <cell r="BA8">
            <v>1</v>
          </cell>
          <cell r="BB8">
            <v>2</v>
          </cell>
          <cell r="BC8">
            <v>3</v>
          </cell>
          <cell r="BD8">
            <v>4</v>
          </cell>
          <cell r="BE8">
            <v>5</v>
          </cell>
          <cell r="BF8">
            <v>6</v>
          </cell>
          <cell r="BG8">
            <v>7</v>
          </cell>
          <cell r="BH8">
            <v>8</v>
          </cell>
          <cell r="BI8">
            <v>9</v>
          </cell>
          <cell r="BJ8">
            <v>10</v>
          </cell>
          <cell r="BK8">
            <v>11</v>
          </cell>
          <cell r="BL8">
            <v>12</v>
          </cell>
          <cell r="BM8">
            <v>13</v>
          </cell>
          <cell r="BN8">
            <v>1</v>
          </cell>
          <cell r="BO8">
            <v>2</v>
          </cell>
          <cell r="BP8">
            <v>3</v>
          </cell>
          <cell r="BQ8">
            <v>4</v>
          </cell>
          <cell r="BR8">
            <v>5</v>
          </cell>
          <cell r="BS8">
            <v>6</v>
          </cell>
          <cell r="BT8">
            <v>7</v>
          </cell>
          <cell r="BU8">
            <v>8</v>
          </cell>
          <cell r="BV8">
            <v>1</v>
          </cell>
          <cell r="BW8">
            <v>2</v>
          </cell>
          <cell r="BX8">
            <v>3</v>
          </cell>
          <cell r="BY8">
            <v>4</v>
          </cell>
          <cell r="BZ8">
            <v>5</v>
          </cell>
          <cell r="CA8">
            <v>6</v>
          </cell>
          <cell r="CB8">
            <v>7</v>
          </cell>
          <cell r="CC8">
            <v>8</v>
          </cell>
          <cell r="CD8">
            <v>1</v>
          </cell>
          <cell r="CE8">
            <v>2</v>
          </cell>
          <cell r="CF8">
            <v>3</v>
          </cell>
          <cell r="CG8">
            <v>4</v>
          </cell>
          <cell r="CH8">
            <v>5</v>
          </cell>
          <cell r="CI8">
            <v>6</v>
          </cell>
          <cell r="CJ8">
            <v>7</v>
          </cell>
          <cell r="CK8">
            <v>8</v>
          </cell>
          <cell r="CL8">
            <v>1</v>
          </cell>
          <cell r="CM8">
            <v>2</v>
          </cell>
          <cell r="CN8">
            <v>3</v>
          </cell>
          <cell r="CO8">
            <v>4</v>
          </cell>
          <cell r="CP8">
            <v>5</v>
          </cell>
          <cell r="CQ8">
            <v>6</v>
          </cell>
          <cell r="CR8">
            <v>7</v>
          </cell>
          <cell r="CS8">
            <v>8</v>
          </cell>
          <cell r="CT8">
            <v>9</v>
          </cell>
          <cell r="CU8">
            <v>10</v>
          </cell>
          <cell r="CV8">
            <v>11</v>
          </cell>
          <cell r="CW8">
            <v>12</v>
          </cell>
          <cell r="CX8">
            <v>13</v>
          </cell>
        </row>
        <row r="9">
          <cell r="A9">
            <v>0.5</v>
          </cell>
          <cell r="B9">
            <v>1.27</v>
          </cell>
          <cell r="C9">
            <v>1.62</v>
          </cell>
          <cell r="F9">
            <v>1.27</v>
          </cell>
          <cell r="H9">
            <v>1.62</v>
          </cell>
          <cell r="L9">
            <v>1.95</v>
          </cell>
          <cell r="M9">
            <v>2.5499999999999998</v>
          </cell>
          <cell r="N9">
            <v>0.5</v>
          </cell>
          <cell r="O9">
            <v>0.08</v>
          </cell>
          <cell r="P9">
            <v>0.18</v>
          </cell>
          <cell r="S9">
            <v>0.08</v>
          </cell>
          <cell r="U9">
            <v>0.18</v>
          </cell>
          <cell r="Y9">
            <v>0.22</v>
          </cell>
          <cell r="Z9">
            <v>0.15</v>
          </cell>
          <cell r="AA9">
            <v>0.5</v>
          </cell>
          <cell r="AB9">
            <v>0.04</v>
          </cell>
          <cell r="AC9">
            <v>0.08</v>
          </cell>
          <cell r="AF9">
            <v>0.04</v>
          </cell>
          <cell r="AH9">
            <v>0.08</v>
          </cell>
          <cell r="AL9">
            <v>0.12</v>
          </cell>
          <cell r="AM9">
            <v>0.06</v>
          </cell>
          <cell r="AN9">
            <v>0.5</v>
          </cell>
          <cell r="AO9">
            <v>0.16</v>
          </cell>
          <cell r="AP9">
            <v>0.25</v>
          </cell>
          <cell r="AS9">
            <v>0.16</v>
          </cell>
          <cell r="AU9">
            <v>0.25</v>
          </cell>
          <cell r="AY9">
            <v>0.28000000000000003</v>
          </cell>
          <cell r="AZ9">
            <v>0.1727272727272727</v>
          </cell>
          <cell r="BA9">
            <v>0.5</v>
          </cell>
          <cell r="BB9">
            <v>0.03</v>
          </cell>
          <cell r="BC9">
            <v>0.05</v>
          </cell>
          <cell r="BF9">
            <v>0.03</v>
          </cell>
          <cell r="BH9">
            <v>0.05</v>
          </cell>
          <cell r="BM9">
            <v>0</v>
          </cell>
          <cell r="BN9">
            <v>0.5</v>
          </cell>
          <cell r="BO9">
            <v>0.91</v>
          </cell>
          <cell r="BP9">
            <v>0.91</v>
          </cell>
          <cell r="BR9">
            <v>0.91</v>
          </cell>
          <cell r="BT9">
            <v>1.95</v>
          </cell>
          <cell r="BU9">
            <v>3.18</v>
          </cell>
          <cell r="BV9">
            <v>0.5</v>
          </cell>
          <cell r="BW9">
            <v>0.6</v>
          </cell>
          <cell r="BX9">
            <v>1.5</v>
          </cell>
          <cell r="BY9">
            <v>1.5</v>
          </cell>
          <cell r="BZ9">
            <v>1.5</v>
          </cell>
          <cell r="CA9">
            <v>2</v>
          </cell>
          <cell r="CB9">
            <v>2</v>
          </cell>
          <cell r="CC9">
            <v>3.6</v>
          </cell>
          <cell r="CD9">
            <v>0.5</v>
          </cell>
          <cell r="CL9">
            <v>0.5</v>
          </cell>
        </row>
        <row r="10">
          <cell r="A10">
            <v>0.75</v>
          </cell>
          <cell r="B10">
            <v>1.69</v>
          </cell>
          <cell r="C10">
            <v>2.2000000000000002</v>
          </cell>
          <cell r="F10">
            <v>1.69</v>
          </cell>
          <cell r="H10">
            <v>2.2000000000000002</v>
          </cell>
          <cell r="L10">
            <v>2.9</v>
          </cell>
          <cell r="M10">
            <v>3.64</v>
          </cell>
          <cell r="N10">
            <v>0.75</v>
          </cell>
          <cell r="O10">
            <v>0.08</v>
          </cell>
          <cell r="P10">
            <v>0.2</v>
          </cell>
          <cell r="S10">
            <v>0.08</v>
          </cell>
          <cell r="U10">
            <v>0.2</v>
          </cell>
          <cell r="Y10">
            <v>0.25</v>
          </cell>
          <cell r="Z10">
            <v>0.23</v>
          </cell>
          <cell r="AA10">
            <v>0.75</v>
          </cell>
          <cell r="AB10">
            <v>0.04</v>
          </cell>
          <cell r="AC10">
            <v>0.08</v>
          </cell>
          <cell r="AF10">
            <v>0.04</v>
          </cell>
          <cell r="AH10">
            <v>0.08</v>
          </cell>
          <cell r="AL10">
            <v>0.12</v>
          </cell>
          <cell r="AM10">
            <v>9.0909090909090912E-2</v>
          </cell>
          <cell r="AN10">
            <v>0.75</v>
          </cell>
          <cell r="AO10">
            <v>0.2</v>
          </cell>
          <cell r="AP10">
            <v>0.27</v>
          </cell>
          <cell r="AS10">
            <v>0.2</v>
          </cell>
          <cell r="AU10">
            <v>0.27</v>
          </cell>
          <cell r="AY10">
            <v>0.28999999999999998</v>
          </cell>
          <cell r="AZ10">
            <v>0.38</v>
          </cell>
          <cell r="BA10">
            <v>0.75</v>
          </cell>
          <cell r="BB10">
            <v>0.06</v>
          </cell>
          <cell r="BC10">
            <v>0.1</v>
          </cell>
          <cell r="BF10">
            <v>0.06</v>
          </cell>
          <cell r="BH10">
            <v>0.1</v>
          </cell>
          <cell r="BL10">
            <v>0</v>
          </cell>
          <cell r="BM10">
            <v>0</v>
          </cell>
          <cell r="BN10">
            <v>0.75</v>
          </cell>
          <cell r="BO10">
            <v>0.91</v>
          </cell>
          <cell r="BP10">
            <v>1.36</v>
          </cell>
          <cell r="BR10">
            <v>1.5</v>
          </cell>
          <cell r="BT10">
            <v>2.64</v>
          </cell>
          <cell r="BU10">
            <v>3.86</v>
          </cell>
          <cell r="BV10">
            <v>0.75</v>
          </cell>
          <cell r="BW10">
            <v>0.8</v>
          </cell>
          <cell r="BX10">
            <v>1.8</v>
          </cell>
          <cell r="BY10">
            <v>2</v>
          </cell>
          <cell r="BZ10">
            <v>2</v>
          </cell>
          <cell r="CA10">
            <v>3</v>
          </cell>
          <cell r="CB10">
            <v>3</v>
          </cell>
          <cell r="CC10">
            <v>4</v>
          </cell>
          <cell r="CD10">
            <v>0.75</v>
          </cell>
          <cell r="CL10">
            <v>0.75</v>
          </cell>
        </row>
        <row r="11">
          <cell r="A11">
            <v>1</v>
          </cell>
          <cell r="B11">
            <v>2.5</v>
          </cell>
          <cell r="C11">
            <v>3.24</v>
          </cell>
          <cell r="F11">
            <v>2.5</v>
          </cell>
          <cell r="H11">
            <v>3.24</v>
          </cell>
          <cell r="L11">
            <v>4.24</v>
          </cell>
          <cell r="M11">
            <v>5.45</v>
          </cell>
          <cell r="N11">
            <v>1</v>
          </cell>
          <cell r="O11">
            <v>0.15</v>
          </cell>
          <cell r="P11">
            <v>0.2</v>
          </cell>
          <cell r="S11">
            <v>0.15</v>
          </cell>
          <cell r="U11">
            <v>0.2</v>
          </cell>
          <cell r="Y11">
            <v>0.3</v>
          </cell>
          <cell r="Z11">
            <v>0.4</v>
          </cell>
          <cell r="AA11">
            <v>1</v>
          </cell>
          <cell r="AB11">
            <v>0.08</v>
          </cell>
          <cell r="AC11">
            <v>0.1</v>
          </cell>
          <cell r="AF11">
            <v>0.08</v>
          </cell>
          <cell r="AH11">
            <v>0.1</v>
          </cell>
          <cell r="AL11">
            <v>0.14000000000000001</v>
          </cell>
          <cell r="AM11">
            <v>0.19</v>
          </cell>
          <cell r="AN11">
            <v>1</v>
          </cell>
          <cell r="AO11">
            <v>0.28999999999999998</v>
          </cell>
          <cell r="AP11">
            <v>0.35</v>
          </cell>
          <cell r="AS11">
            <v>0.28999999999999998</v>
          </cell>
          <cell r="AU11">
            <v>0.35</v>
          </cell>
          <cell r="AY11">
            <v>0.45</v>
          </cell>
          <cell r="AZ11">
            <v>0.57999999999999996</v>
          </cell>
          <cell r="BA11">
            <v>1</v>
          </cell>
          <cell r="BB11">
            <v>0.1</v>
          </cell>
          <cell r="BC11">
            <v>0.13</v>
          </cell>
          <cell r="BF11">
            <v>0.1</v>
          </cell>
          <cell r="BH11">
            <v>0.13</v>
          </cell>
          <cell r="BL11">
            <v>0.15</v>
          </cell>
          <cell r="BM11">
            <v>0.2</v>
          </cell>
          <cell r="BN11">
            <v>1</v>
          </cell>
          <cell r="BO11">
            <v>1.05</v>
          </cell>
          <cell r="BP11">
            <v>1.59</v>
          </cell>
          <cell r="BR11">
            <v>1.82</v>
          </cell>
          <cell r="BT11">
            <v>3.86</v>
          </cell>
          <cell r="BU11">
            <v>5.23</v>
          </cell>
          <cell r="BV11">
            <v>1</v>
          </cell>
          <cell r="BW11">
            <v>1.1000000000000001</v>
          </cell>
          <cell r="BX11">
            <v>2</v>
          </cell>
          <cell r="BY11">
            <v>2.5</v>
          </cell>
          <cell r="BZ11">
            <v>2.5</v>
          </cell>
          <cell r="CA11">
            <v>4</v>
          </cell>
          <cell r="CB11">
            <v>4</v>
          </cell>
          <cell r="CC11">
            <v>6</v>
          </cell>
          <cell r="CD11">
            <v>1</v>
          </cell>
          <cell r="CL11">
            <v>1</v>
          </cell>
        </row>
        <row r="12">
          <cell r="A12">
            <v>1.5</v>
          </cell>
          <cell r="B12">
            <v>4.05</v>
          </cell>
          <cell r="C12">
            <v>5.41</v>
          </cell>
          <cell r="F12">
            <v>4.05</v>
          </cell>
          <cell r="H12">
            <v>5.41</v>
          </cell>
          <cell r="L12">
            <v>7.25</v>
          </cell>
          <cell r="M12">
            <v>9.56</v>
          </cell>
          <cell r="N12">
            <v>1.5</v>
          </cell>
          <cell r="O12">
            <v>0.36</v>
          </cell>
          <cell r="P12">
            <v>0.6</v>
          </cell>
          <cell r="S12">
            <v>0.36</v>
          </cell>
          <cell r="U12">
            <v>0.6</v>
          </cell>
          <cell r="Y12">
            <v>0.8</v>
          </cell>
          <cell r="Z12">
            <v>0.9</v>
          </cell>
          <cell r="AA12">
            <v>1.5</v>
          </cell>
          <cell r="AB12">
            <v>0.18</v>
          </cell>
          <cell r="AC12">
            <v>0.25</v>
          </cell>
          <cell r="AF12">
            <v>0.18</v>
          </cell>
          <cell r="AH12">
            <v>0.25</v>
          </cell>
          <cell r="AL12">
            <v>0.33</v>
          </cell>
          <cell r="AM12">
            <v>0.45</v>
          </cell>
          <cell r="AN12">
            <v>1.5</v>
          </cell>
          <cell r="AO12">
            <v>0.77</v>
          </cell>
          <cell r="AP12">
            <v>0.96</v>
          </cell>
          <cell r="AS12">
            <v>0.77</v>
          </cell>
          <cell r="AU12">
            <v>0.96</v>
          </cell>
          <cell r="AY12">
            <v>1.21</v>
          </cell>
          <cell r="AZ12">
            <v>1.56</v>
          </cell>
          <cell r="BA12">
            <v>1.5</v>
          </cell>
          <cell r="BB12">
            <v>0.2</v>
          </cell>
          <cell r="BC12">
            <v>0.23</v>
          </cell>
          <cell r="BF12">
            <v>0.2</v>
          </cell>
          <cell r="BH12">
            <v>0.23</v>
          </cell>
          <cell r="BL12">
            <v>0.3</v>
          </cell>
          <cell r="BM12">
            <v>0.36</v>
          </cell>
          <cell r="BN12">
            <v>1.5</v>
          </cell>
          <cell r="BO12">
            <v>1.3</v>
          </cell>
          <cell r="BP12">
            <v>2.5</v>
          </cell>
          <cell r="BR12">
            <v>3</v>
          </cell>
          <cell r="BS12">
            <v>5.4</v>
          </cell>
          <cell r="BT12">
            <v>5.4</v>
          </cell>
          <cell r="BU12">
            <v>10</v>
          </cell>
          <cell r="BV12">
            <v>1.5</v>
          </cell>
          <cell r="BW12">
            <v>1.8</v>
          </cell>
          <cell r="BX12">
            <v>3.5</v>
          </cell>
          <cell r="BY12">
            <v>4.5</v>
          </cell>
          <cell r="BZ12">
            <v>4.5</v>
          </cell>
          <cell r="CA12">
            <v>6.5</v>
          </cell>
          <cell r="CB12">
            <v>6.5</v>
          </cell>
          <cell r="CC12">
            <v>13</v>
          </cell>
          <cell r="CD12">
            <v>1.5</v>
          </cell>
          <cell r="CL12">
            <v>1.5</v>
          </cell>
        </row>
        <row r="13">
          <cell r="A13">
            <v>2</v>
          </cell>
          <cell r="B13">
            <v>5.44</v>
          </cell>
          <cell r="C13">
            <v>7.48</v>
          </cell>
          <cell r="F13">
            <v>5.44</v>
          </cell>
          <cell r="H13">
            <v>7.48</v>
          </cell>
          <cell r="L13">
            <v>11.11</v>
          </cell>
          <cell r="M13">
            <v>13.44</v>
          </cell>
          <cell r="N13">
            <v>2</v>
          </cell>
          <cell r="O13">
            <v>0.65</v>
          </cell>
          <cell r="P13">
            <v>0.94</v>
          </cell>
          <cell r="S13">
            <v>0.65</v>
          </cell>
          <cell r="U13">
            <v>0.94</v>
          </cell>
          <cell r="Y13">
            <v>1.5</v>
          </cell>
          <cell r="Z13">
            <v>1.8</v>
          </cell>
          <cell r="AA13">
            <v>2</v>
          </cell>
          <cell r="AB13">
            <v>0.32</v>
          </cell>
          <cell r="AC13">
            <v>0.47</v>
          </cell>
          <cell r="AF13">
            <v>0.32</v>
          </cell>
          <cell r="AH13">
            <v>0.47</v>
          </cell>
          <cell r="AL13">
            <v>0.7</v>
          </cell>
          <cell r="AM13">
            <v>0.84</v>
          </cell>
          <cell r="AN13">
            <v>2</v>
          </cell>
          <cell r="AO13">
            <v>1.88</v>
          </cell>
          <cell r="AP13">
            <v>1.9</v>
          </cell>
          <cell r="AS13">
            <v>1.88</v>
          </cell>
          <cell r="AU13">
            <v>1.9</v>
          </cell>
          <cell r="AY13">
            <v>2.25</v>
          </cell>
          <cell r="AZ13">
            <v>2.69</v>
          </cell>
          <cell r="BA13">
            <v>2</v>
          </cell>
          <cell r="BB13">
            <v>0.3</v>
          </cell>
          <cell r="BC13">
            <v>0.3</v>
          </cell>
          <cell r="BF13">
            <v>0.3</v>
          </cell>
          <cell r="BH13">
            <v>0.3</v>
          </cell>
          <cell r="BL13">
            <v>0.55000000000000004</v>
          </cell>
          <cell r="BM13">
            <v>0.59</v>
          </cell>
          <cell r="BN13">
            <v>2</v>
          </cell>
          <cell r="BO13">
            <v>2.1</v>
          </cell>
          <cell r="BP13">
            <v>2.9</v>
          </cell>
          <cell r="BR13">
            <v>3.6</v>
          </cell>
          <cell r="BS13">
            <v>10</v>
          </cell>
          <cell r="BT13">
            <v>10</v>
          </cell>
          <cell r="BU13">
            <v>17.2</v>
          </cell>
          <cell r="BV13">
            <v>2</v>
          </cell>
          <cell r="BW13">
            <v>2.7</v>
          </cell>
          <cell r="BX13">
            <v>4</v>
          </cell>
          <cell r="BY13">
            <v>5.5</v>
          </cell>
          <cell r="BZ13">
            <v>5.5</v>
          </cell>
          <cell r="CA13">
            <v>11.5</v>
          </cell>
          <cell r="CB13">
            <v>11.5</v>
          </cell>
          <cell r="CC13">
            <v>19</v>
          </cell>
          <cell r="CD13">
            <v>2</v>
          </cell>
          <cell r="CL13">
            <v>2</v>
          </cell>
          <cell r="CM13">
            <v>5.8000000000000003E-2</v>
          </cell>
          <cell r="CN13">
            <v>9.5000000000000001E-2</v>
          </cell>
          <cell r="CO13">
            <v>0</v>
          </cell>
          <cell r="CP13">
            <v>0</v>
          </cell>
          <cell r="CQ13">
            <v>5.8000000000000003E-2</v>
          </cell>
          <cell r="CR13">
            <v>0</v>
          </cell>
          <cell r="CS13">
            <v>9.5000000000000001E-2</v>
          </cell>
          <cell r="CU13">
            <v>0</v>
          </cell>
          <cell r="CW13">
            <v>0.22900000000000001</v>
          </cell>
          <cell r="CX13">
            <v>0.47</v>
          </cell>
        </row>
        <row r="14">
          <cell r="A14">
            <v>2.5</v>
          </cell>
          <cell r="B14">
            <v>8.6300000000000008</v>
          </cell>
          <cell r="C14">
            <v>11.41</v>
          </cell>
          <cell r="F14">
            <v>8.6300000000000008</v>
          </cell>
          <cell r="H14">
            <v>11.41</v>
          </cell>
          <cell r="L14">
            <v>14.92</v>
          </cell>
          <cell r="M14">
            <v>20.39</v>
          </cell>
          <cell r="N14">
            <v>2.5</v>
          </cell>
          <cell r="O14">
            <v>1.28</v>
          </cell>
          <cell r="P14">
            <v>1.7</v>
          </cell>
          <cell r="S14">
            <v>1.28</v>
          </cell>
          <cell r="U14">
            <v>1.7</v>
          </cell>
          <cell r="Y14">
            <v>2.35</v>
          </cell>
          <cell r="Z14">
            <v>3.21</v>
          </cell>
          <cell r="AA14">
            <v>2.5</v>
          </cell>
          <cell r="AB14">
            <v>0.64</v>
          </cell>
          <cell r="AC14">
            <v>0.85</v>
          </cell>
          <cell r="AF14">
            <v>0.64</v>
          </cell>
          <cell r="AH14">
            <v>0.85</v>
          </cell>
          <cell r="AL14">
            <v>1.2</v>
          </cell>
          <cell r="AM14">
            <v>1.6</v>
          </cell>
          <cell r="AN14">
            <v>2.5</v>
          </cell>
          <cell r="AO14">
            <v>2.69</v>
          </cell>
          <cell r="AP14">
            <v>3.07</v>
          </cell>
          <cell r="AS14">
            <v>2.69</v>
          </cell>
          <cell r="AU14">
            <v>3.07</v>
          </cell>
          <cell r="AY14">
            <v>3.42</v>
          </cell>
          <cell r="AZ14">
            <v>4.54</v>
          </cell>
          <cell r="BA14">
            <v>2.5</v>
          </cell>
          <cell r="BB14">
            <v>0.5</v>
          </cell>
          <cell r="BC14">
            <v>0.5</v>
          </cell>
          <cell r="BF14">
            <v>0.5</v>
          </cell>
          <cell r="BH14">
            <v>0.5</v>
          </cell>
          <cell r="BL14">
            <v>0.9</v>
          </cell>
          <cell r="BM14">
            <v>1</v>
          </cell>
          <cell r="BN14">
            <v>2.5</v>
          </cell>
          <cell r="BO14">
            <v>3.64</v>
          </cell>
          <cell r="BP14">
            <v>4.55</v>
          </cell>
          <cell r="BR14">
            <v>5.82</v>
          </cell>
          <cell r="BS14">
            <v>11.5</v>
          </cell>
          <cell r="BT14">
            <v>15.23</v>
          </cell>
          <cell r="BU14">
            <v>22.27</v>
          </cell>
          <cell r="BV14">
            <v>2.5</v>
          </cell>
          <cell r="BW14">
            <v>4</v>
          </cell>
          <cell r="BX14">
            <v>5</v>
          </cell>
          <cell r="BY14">
            <v>8</v>
          </cell>
          <cell r="BZ14">
            <v>8</v>
          </cell>
          <cell r="CA14">
            <v>15.8</v>
          </cell>
          <cell r="CB14">
            <v>15.8</v>
          </cell>
          <cell r="CC14">
            <v>24</v>
          </cell>
          <cell r="CD14">
            <v>2.5</v>
          </cell>
          <cell r="CL14">
            <v>2.5</v>
          </cell>
        </row>
        <row r="15">
          <cell r="A15">
            <v>3</v>
          </cell>
          <cell r="B15">
            <v>11.29</v>
          </cell>
          <cell r="C15">
            <v>15.27</v>
          </cell>
          <cell r="F15">
            <v>11.29</v>
          </cell>
          <cell r="H15">
            <v>15.27</v>
          </cell>
          <cell r="L15">
            <v>21.35</v>
          </cell>
          <cell r="M15">
            <v>27.68</v>
          </cell>
          <cell r="N15">
            <v>3</v>
          </cell>
          <cell r="O15">
            <v>2.0299999999999998</v>
          </cell>
          <cell r="P15">
            <v>2.75</v>
          </cell>
          <cell r="S15">
            <v>2.0299999999999998</v>
          </cell>
          <cell r="U15">
            <v>2.75</v>
          </cell>
          <cell r="Y15">
            <v>4</v>
          </cell>
          <cell r="Z15">
            <v>5.2</v>
          </cell>
          <cell r="AA15">
            <v>3</v>
          </cell>
          <cell r="AB15">
            <v>1.02</v>
          </cell>
          <cell r="AC15">
            <v>1.37</v>
          </cell>
          <cell r="AF15">
            <v>1.02</v>
          </cell>
          <cell r="AH15">
            <v>1.37</v>
          </cell>
          <cell r="AL15">
            <v>2</v>
          </cell>
          <cell r="AM15">
            <v>2.6</v>
          </cell>
          <cell r="AN15">
            <v>3</v>
          </cell>
          <cell r="AO15">
            <v>3.82</v>
          </cell>
          <cell r="AP15">
            <v>4.5</v>
          </cell>
          <cell r="AS15">
            <v>3.82</v>
          </cell>
          <cell r="AU15">
            <v>4.5</v>
          </cell>
          <cell r="AY15">
            <v>6.21</v>
          </cell>
          <cell r="AZ15">
            <v>7.63</v>
          </cell>
          <cell r="BA15">
            <v>3</v>
          </cell>
          <cell r="BB15">
            <v>0.7</v>
          </cell>
          <cell r="BC15">
            <v>0.9</v>
          </cell>
          <cell r="BF15">
            <v>0.7</v>
          </cell>
          <cell r="BH15">
            <v>0.9</v>
          </cell>
          <cell r="BL15">
            <v>1.4</v>
          </cell>
          <cell r="BM15">
            <v>1.78</v>
          </cell>
          <cell r="BN15">
            <v>3</v>
          </cell>
          <cell r="BO15">
            <v>3.9</v>
          </cell>
          <cell r="BP15">
            <v>5.9</v>
          </cell>
          <cell r="BR15">
            <v>7</v>
          </cell>
          <cell r="BS15">
            <v>11.7</v>
          </cell>
          <cell r="BT15">
            <v>18</v>
          </cell>
          <cell r="BU15">
            <v>37.6</v>
          </cell>
          <cell r="BV15">
            <v>3</v>
          </cell>
          <cell r="BW15">
            <v>4.5</v>
          </cell>
          <cell r="BX15">
            <v>7</v>
          </cell>
          <cell r="BY15">
            <v>10.5</v>
          </cell>
          <cell r="BZ15">
            <v>10.5</v>
          </cell>
          <cell r="CA15">
            <v>18.96</v>
          </cell>
          <cell r="CB15">
            <v>22</v>
          </cell>
          <cell r="CC15">
            <v>43</v>
          </cell>
          <cell r="CD15">
            <v>3</v>
          </cell>
          <cell r="CL15">
            <v>3</v>
          </cell>
          <cell r="CM15">
            <v>0.126</v>
          </cell>
          <cell r="CN15">
            <v>0.189</v>
          </cell>
          <cell r="CO15">
            <v>0</v>
          </cell>
          <cell r="CP15">
            <v>0</v>
          </cell>
          <cell r="CQ15">
            <v>0.126</v>
          </cell>
          <cell r="CR15">
            <v>0</v>
          </cell>
          <cell r="CS15">
            <v>0.189</v>
          </cell>
          <cell r="CU15">
            <v>0</v>
          </cell>
          <cell r="CW15">
            <v>0.56200000000000006</v>
          </cell>
          <cell r="CX15">
            <v>0.82599999999999996</v>
          </cell>
        </row>
        <row r="16">
          <cell r="A16">
            <v>3.5</v>
          </cell>
          <cell r="B16">
            <v>13.57</v>
          </cell>
          <cell r="C16">
            <v>18.63</v>
          </cell>
          <cell r="F16">
            <v>13.57</v>
          </cell>
          <cell r="H16">
            <v>18.63</v>
          </cell>
          <cell r="L16">
            <v>27.45</v>
          </cell>
          <cell r="M16">
            <v>34.36</v>
          </cell>
          <cell r="N16">
            <v>3.5</v>
          </cell>
          <cell r="O16">
            <v>2.87</v>
          </cell>
          <cell r="P16">
            <v>3.95</v>
          </cell>
          <cell r="S16">
            <v>2.87</v>
          </cell>
          <cell r="U16">
            <v>3.95</v>
          </cell>
          <cell r="Y16">
            <v>6.02</v>
          </cell>
          <cell r="Z16">
            <v>7.49</v>
          </cell>
          <cell r="AA16">
            <v>3.5</v>
          </cell>
          <cell r="AB16">
            <v>1.43</v>
          </cell>
          <cell r="AC16">
            <v>1.97</v>
          </cell>
          <cell r="AF16">
            <v>1.43</v>
          </cell>
          <cell r="AH16">
            <v>1.97</v>
          </cell>
          <cell r="AL16">
            <v>2.96</v>
          </cell>
          <cell r="AM16">
            <v>3.75</v>
          </cell>
          <cell r="AN16">
            <v>3.5</v>
          </cell>
          <cell r="AO16">
            <v>5.18</v>
          </cell>
          <cell r="AP16">
            <v>6.17</v>
          </cell>
          <cell r="AS16">
            <v>5.18</v>
          </cell>
          <cell r="AU16">
            <v>6.17</v>
          </cell>
          <cell r="AY16">
            <v>9</v>
          </cell>
          <cell r="AZ16">
            <v>9.6199999999999992</v>
          </cell>
          <cell r="BA16">
            <v>3.5</v>
          </cell>
          <cell r="BB16">
            <v>1.4</v>
          </cell>
          <cell r="BC16">
            <v>1.7</v>
          </cell>
          <cell r="BF16">
            <v>1.4</v>
          </cell>
          <cell r="BH16">
            <v>1.7</v>
          </cell>
          <cell r="BL16">
            <v>2.1</v>
          </cell>
          <cell r="BM16">
            <v>2.63</v>
          </cell>
          <cell r="BN16">
            <v>3.5</v>
          </cell>
          <cell r="BO16">
            <v>4.5999999999999996</v>
          </cell>
          <cell r="BP16">
            <v>7.8</v>
          </cell>
          <cell r="BQ16">
            <v>10.5</v>
          </cell>
          <cell r="BR16">
            <v>10.8</v>
          </cell>
          <cell r="BS16">
            <v>15.8</v>
          </cell>
          <cell r="BT16">
            <v>22.9</v>
          </cell>
          <cell r="BU16">
            <v>47.1</v>
          </cell>
          <cell r="BV16">
            <v>3.5</v>
          </cell>
          <cell r="BW16">
            <v>6.2</v>
          </cell>
          <cell r="BX16">
            <v>9.1999999999999993</v>
          </cell>
          <cell r="BY16">
            <v>15.6</v>
          </cell>
          <cell r="BZ16">
            <v>15.6</v>
          </cell>
          <cell r="CA16">
            <v>20.98</v>
          </cell>
          <cell r="CB16">
            <v>26</v>
          </cell>
          <cell r="CC16">
            <v>54.5</v>
          </cell>
          <cell r="CD16">
            <v>3.5</v>
          </cell>
          <cell r="CL16">
            <v>3.5</v>
          </cell>
        </row>
        <row r="17">
          <cell r="A17">
            <v>4</v>
          </cell>
          <cell r="B17">
            <v>16.07</v>
          </cell>
          <cell r="C17">
            <v>22.32</v>
          </cell>
          <cell r="F17">
            <v>16.07</v>
          </cell>
          <cell r="H17">
            <v>22.32</v>
          </cell>
          <cell r="J17">
            <v>28.32</v>
          </cell>
          <cell r="L17">
            <v>33.54</v>
          </cell>
          <cell r="M17">
            <v>41.03</v>
          </cell>
          <cell r="N17">
            <v>4</v>
          </cell>
          <cell r="O17">
            <v>3.9</v>
          </cell>
          <cell r="P17">
            <v>5.4</v>
          </cell>
          <cell r="S17">
            <v>3.9</v>
          </cell>
          <cell r="U17">
            <v>5.4</v>
          </cell>
          <cell r="W17">
            <v>6.95</v>
          </cell>
          <cell r="Y17">
            <v>9</v>
          </cell>
          <cell r="Z17">
            <v>10.3</v>
          </cell>
          <cell r="AA17">
            <v>4</v>
          </cell>
          <cell r="AB17">
            <v>1.95</v>
          </cell>
          <cell r="AC17">
            <v>2.7</v>
          </cell>
          <cell r="AF17">
            <v>1.95</v>
          </cell>
          <cell r="AH17">
            <v>2.7</v>
          </cell>
          <cell r="AJ17">
            <v>3.47</v>
          </cell>
          <cell r="AL17">
            <v>4</v>
          </cell>
          <cell r="AM17">
            <v>5.2</v>
          </cell>
          <cell r="AN17">
            <v>4</v>
          </cell>
          <cell r="AO17">
            <v>6</v>
          </cell>
          <cell r="AP17">
            <v>8.44</v>
          </cell>
          <cell r="AS17">
            <v>6</v>
          </cell>
          <cell r="AU17">
            <v>8.44</v>
          </cell>
          <cell r="AW17">
            <v>10.681818181818182</v>
          </cell>
          <cell r="AY17">
            <v>15.53</v>
          </cell>
          <cell r="AZ17">
            <v>17</v>
          </cell>
          <cell r="BA17">
            <v>4</v>
          </cell>
          <cell r="BB17">
            <v>1.6</v>
          </cell>
          <cell r="BC17">
            <v>2</v>
          </cell>
          <cell r="BF17">
            <v>1.6</v>
          </cell>
          <cell r="BH17">
            <v>2</v>
          </cell>
          <cell r="BJ17">
            <v>2.31</v>
          </cell>
          <cell r="BL17">
            <v>2.75</v>
          </cell>
          <cell r="BM17">
            <v>3.17</v>
          </cell>
          <cell r="BN17">
            <v>4</v>
          </cell>
          <cell r="BO17">
            <v>5.3</v>
          </cell>
          <cell r="BP17">
            <v>9.6999999999999993</v>
          </cell>
          <cell r="BQ17">
            <v>0</v>
          </cell>
          <cell r="BR17">
            <v>14.6</v>
          </cell>
          <cell r="BS17">
            <v>19.899999999999999</v>
          </cell>
          <cell r="BT17">
            <v>27.8</v>
          </cell>
          <cell r="BU17">
            <v>56.6</v>
          </cell>
          <cell r="BV17">
            <v>4</v>
          </cell>
          <cell r="BW17">
            <v>7</v>
          </cell>
          <cell r="BX17">
            <v>11</v>
          </cell>
          <cell r="BY17">
            <v>16</v>
          </cell>
          <cell r="BZ17">
            <v>19</v>
          </cell>
          <cell r="CA17">
            <v>23</v>
          </cell>
          <cell r="CB17">
            <v>30</v>
          </cell>
          <cell r="CC17">
            <v>66</v>
          </cell>
          <cell r="CD17">
            <v>4</v>
          </cell>
          <cell r="CL17">
            <v>4</v>
          </cell>
          <cell r="CM17">
            <v>0.19</v>
          </cell>
          <cell r="CN17">
            <v>0.45800000000000002</v>
          </cell>
          <cell r="CO17">
            <v>0</v>
          </cell>
          <cell r="CP17">
            <v>0</v>
          </cell>
          <cell r="CQ17">
            <v>0.19</v>
          </cell>
          <cell r="CR17">
            <v>0</v>
          </cell>
          <cell r="CS17">
            <v>0.45800000000000002</v>
          </cell>
          <cell r="CU17">
            <v>0.84399999999999997</v>
          </cell>
          <cell r="CW17">
            <v>1.24</v>
          </cell>
          <cell r="CX17">
            <v>1.84</v>
          </cell>
        </row>
        <row r="18">
          <cell r="A18">
            <v>5</v>
          </cell>
          <cell r="B18">
            <v>21.77</v>
          </cell>
          <cell r="C18">
            <v>30.97</v>
          </cell>
          <cell r="F18">
            <v>21.77</v>
          </cell>
          <cell r="H18">
            <v>30.97</v>
          </cell>
          <cell r="J18">
            <v>40.28</v>
          </cell>
          <cell r="L18">
            <v>49.11</v>
          </cell>
          <cell r="M18">
            <v>57.43</v>
          </cell>
          <cell r="N18">
            <v>5</v>
          </cell>
          <cell r="O18">
            <v>6.5</v>
          </cell>
          <cell r="P18">
            <v>8.85</v>
          </cell>
          <cell r="S18">
            <v>6.5</v>
          </cell>
          <cell r="U18">
            <v>8.85</v>
          </cell>
          <cell r="W18">
            <v>12.62</v>
          </cell>
          <cell r="Y18">
            <v>15.44</v>
          </cell>
          <cell r="Z18">
            <v>18.11</v>
          </cell>
          <cell r="AA18">
            <v>5</v>
          </cell>
          <cell r="AB18">
            <v>3.25</v>
          </cell>
          <cell r="AC18">
            <v>4.42</v>
          </cell>
          <cell r="AF18">
            <v>3.25</v>
          </cell>
          <cell r="AH18">
            <v>4.42</v>
          </cell>
          <cell r="AJ18">
            <v>6.31</v>
          </cell>
          <cell r="AL18">
            <v>7.5</v>
          </cell>
          <cell r="AM18">
            <v>9.08</v>
          </cell>
          <cell r="AN18">
            <v>5</v>
          </cell>
          <cell r="AO18">
            <v>9.94</v>
          </cell>
          <cell r="AP18">
            <v>12.94</v>
          </cell>
          <cell r="AS18">
            <v>9.94</v>
          </cell>
          <cell r="AU18">
            <v>12.94</v>
          </cell>
          <cell r="AW18">
            <v>18</v>
          </cell>
          <cell r="AY18">
            <v>23.93</v>
          </cell>
          <cell r="AZ18">
            <v>25</v>
          </cell>
          <cell r="BA18">
            <v>5</v>
          </cell>
          <cell r="BB18">
            <v>2.2999999999999998</v>
          </cell>
          <cell r="BC18">
            <v>3</v>
          </cell>
          <cell r="BF18">
            <v>2.2999999999999998</v>
          </cell>
          <cell r="BH18">
            <v>3</v>
          </cell>
          <cell r="BJ18">
            <v>3.89</v>
          </cell>
          <cell r="BL18">
            <v>5</v>
          </cell>
          <cell r="BM18">
            <v>5.5</v>
          </cell>
          <cell r="BN18">
            <v>5</v>
          </cell>
          <cell r="BO18">
            <v>5.91</v>
          </cell>
          <cell r="BP18">
            <v>10</v>
          </cell>
          <cell r="BQ18">
            <v>0</v>
          </cell>
          <cell r="BR18">
            <v>16.14</v>
          </cell>
          <cell r="BS18">
            <v>21.59</v>
          </cell>
          <cell r="BT18">
            <v>29.55</v>
          </cell>
          <cell r="BU18">
            <v>101.9</v>
          </cell>
          <cell r="BV18">
            <v>5</v>
          </cell>
          <cell r="BW18">
            <v>8.6</v>
          </cell>
          <cell r="BX18">
            <v>14</v>
          </cell>
          <cell r="BY18">
            <v>19</v>
          </cell>
          <cell r="BZ18">
            <v>31</v>
          </cell>
          <cell r="CA18">
            <v>37</v>
          </cell>
          <cell r="CB18">
            <v>58</v>
          </cell>
          <cell r="CC18">
            <v>111</v>
          </cell>
          <cell r="CD18">
            <v>5</v>
          </cell>
          <cell r="CL18">
            <v>5</v>
          </cell>
        </row>
        <row r="19">
          <cell r="A19">
            <v>6</v>
          </cell>
          <cell r="B19">
            <v>28.26</v>
          </cell>
          <cell r="C19">
            <v>42.56</v>
          </cell>
          <cell r="F19">
            <v>28.26</v>
          </cell>
          <cell r="H19">
            <v>42.56</v>
          </cell>
          <cell r="J19">
            <v>54.2</v>
          </cell>
          <cell r="L19">
            <v>67.56</v>
          </cell>
          <cell r="M19">
            <v>79.22</v>
          </cell>
          <cell r="N19">
            <v>6</v>
          </cell>
          <cell r="O19">
            <v>10.199999999999999</v>
          </cell>
          <cell r="P19">
            <v>15.35</v>
          </cell>
          <cell r="S19">
            <v>10.199999999999999</v>
          </cell>
          <cell r="U19">
            <v>15.35</v>
          </cell>
          <cell r="W19">
            <v>23</v>
          </cell>
          <cell r="Y19">
            <v>27</v>
          </cell>
          <cell r="Z19">
            <v>30</v>
          </cell>
          <cell r="AA19">
            <v>6</v>
          </cell>
          <cell r="AB19">
            <v>5.0999999999999996</v>
          </cell>
          <cell r="AC19">
            <v>7.67</v>
          </cell>
          <cell r="AF19">
            <v>5.0999999999999996</v>
          </cell>
          <cell r="AH19">
            <v>7.67</v>
          </cell>
          <cell r="AJ19">
            <v>9.81</v>
          </cell>
          <cell r="AL19">
            <v>14</v>
          </cell>
          <cell r="AM19">
            <v>15</v>
          </cell>
          <cell r="AN19">
            <v>6</v>
          </cell>
          <cell r="AO19">
            <v>16.48</v>
          </cell>
          <cell r="AP19">
            <v>19.3</v>
          </cell>
          <cell r="AS19">
            <v>16.48</v>
          </cell>
          <cell r="AU19">
            <v>19.3</v>
          </cell>
          <cell r="AW19">
            <v>24</v>
          </cell>
          <cell r="AY19">
            <v>38.590000000000003</v>
          </cell>
          <cell r="AZ19">
            <v>39</v>
          </cell>
          <cell r="BA19">
            <v>6</v>
          </cell>
          <cell r="BB19">
            <v>3.6</v>
          </cell>
          <cell r="BC19">
            <v>4</v>
          </cell>
          <cell r="BF19">
            <v>3.6</v>
          </cell>
          <cell r="BH19">
            <v>4</v>
          </cell>
          <cell r="BJ19">
            <v>6.02</v>
          </cell>
          <cell r="BL19">
            <v>7.5</v>
          </cell>
          <cell r="BM19">
            <v>8.1</v>
          </cell>
          <cell r="BN19">
            <v>6</v>
          </cell>
          <cell r="BO19">
            <v>7.7</v>
          </cell>
          <cell r="BP19">
            <v>15.9</v>
          </cell>
          <cell r="BQ19">
            <v>0</v>
          </cell>
          <cell r="BR19">
            <v>29.6</v>
          </cell>
          <cell r="BS19">
            <v>41.8</v>
          </cell>
          <cell r="BT19">
            <v>62.2</v>
          </cell>
          <cell r="BU19">
            <v>147.19999999999999</v>
          </cell>
          <cell r="BV19">
            <v>6</v>
          </cell>
          <cell r="BW19">
            <v>10.8</v>
          </cell>
          <cell r="BX19">
            <v>19</v>
          </cell>
          <cell r="BY19">
            <v>26</v>
          </cell>
          <cell r="BZ19">
            <v>37</v>
          </cell>
          <cell r="CA19">
            <v>50</v>
          </cell>
          <cell r="CB19">
            <v>70</v>
          </cell>
          <cell r="CC19">
            <v>172</v>
          </cell>
          <cell r="CD19">
            <v>6</v>
          </cell>
          <cell r="CL19">
            <v>6</v>
          </cell>
          <cell r="CM19">
            <v>0.66900000000000004</v>
          </cell>
          <cell r="CN19">
            <v>1.23</v>
          </cell>
          <cell r="CO19">
            <v>0</v>
          </cell>
          <cell r="CP19">
            <v>0</v>
          </cell>
          <cell r="CQ19">
            <v>0.66900000000000004</v>
          </cell>
          <cell r="CR19">
            <v>0</v>
          </cell>
          <cell r="CS19">
            <v>1.23</v>
          </cell>
          <cell r="CU19">
            <v>1.81</v>
          </cell>
          <cell r="CW19">
            <v>2.68</v>
          </cell>
          <cell r="CX19">
            <v>3.48</v>
          </cell>
        </row>
        <row r="20">
          <cell r="A20">
            <v>8</v>
          </cell>
          <cell r="B20">
            <v>42.55</v>
          </cell>
          <cell r="C20">
            <v>64.64</v>
          </cell>
          <cell r="D20">
            <v>33.31</v>
          </cell>
          <cell r="E20">
            <v>36.81</v>
          </cell>
          <cell r="F20">
            <v>42.55</v>
          </cell>
          <cell r="G20">
            <v>53.08</v>
          </cell>
          <cell r="H20">
            <v>64.64</v>
          </cell>
          <cell r="I20">
            <v>75.92</v>
          </cell>
          <cell r="J20">
            <v>90.44</v>
          </cell>
          <cell r="K20">
            <v>100.92</v>
          </cell>
          <cell r="L20">
            <v>111.27</v>
          </cell>
          <cell r="M20">
            <v>107.92</v>
          </cell>
          <cell r="N20">
            <v>8</v>
          </cell>
          <cell r="O20">
            <v>20.3</v>
          </cell>
          <cell r="P20">
            <v>29.9</v>
          </cell>
          <cell r="Q20">
            <v>16.57</v>
          </cell>
          <cell r="R20">
            <v>17.5</v>
          </cell>
          <cell r="S20">
            <v>20.3</v>
          </cell>
          <cell r="T20">
            <v>26.3</v>
          </cell>
          <cell r="U20">
            <v>29.9</v>
          </cell>
          <cell r="V20">
            <v>38</v>
          </cell>
          <cell r="W20">
            <v>40.5</v>
          </cell>
          <cell r="X20">
            <v>52</v>
          </cell>
          <cell r="Y20">
            <v>58</v>
          </cell>
          <cell r="Z20">
            <v>54.5</v>
          </cell>
          <cell r="AA20">
            <v>8</v>
          </cell>
          <cell r="AB20">
            <v>11.15</v>
          </cell>
          <cell r="AC20">
            <v>14.95</v>
          </cell>
          <cell r="AD20">
            <v>9</v>
          </cell>
          <cell r="AE20">
            <v>10.35</v>
          </cell>
          <cell r="AF20">
            <v>11.15</v>
          </cell>
          <cell r="AG20">
            <v>13.34</v>
          </cell>
          <cell r="AH20">
            <v>14.95</v>
          </cell>
          <cell r="AI20">
            <v>19.07</v>
          </cell>
          <cell r="AJ20">
            <v>21.59</v>
          </cell>
          <cell r="AK20">
            <v>26</v>
          </cell>
          <cell r="AL20">
            <v>29</v>
          </cell>
          <cell r="AM20">
            <v>27</v>
          </cell>
          <cell r="AN20">
            <v>8</v>
          </cell>
          <cell r="AO20">
            <v>33</v>
          </cell>
          <cell r="AP20">
            <v>34.5</v>
          </cell>
          <cell r="AQ20">
            <v>29</v>
          </cell>
          <cell r="AR20">
            <v>31</v>
          </cell>
          <cell r="AS20">
            <v>33</v>
          </cell>
          <cell r="AT20">
            <v>34.5</v>
          </cell>
          <cell r="AU20">
            <v>34.5</v>
          </cell>
          <cell r="AV20">
            <v>43.65</v>
          </cell>
          <cell r="AW20">
            <v>50</v>
          </cell>
          <cell r="AX20">
            <v>54</v>
          </cell>
          <cell r="AY20">
            <v>71</v>
          </cell>
          <cell r="AZ20">
            <v>69</v>
          </cell>
          <cell r="BA20">
            <v>8</v>
          </cell>
          <cell r="BB20">
            <v>5.5</v>
          </cell>
          <cell r="BC20">
            <v>8.4</v>
          </cell>
          <cell r="BD20">
            <v>4.5</v>
          </cell>
          <cell r="BE20">
            <v>5</v>
          </cell>
          <cell r="BF20">
            <v>5.5</v>
          </cell>
          <cell r="BG20">
            <v>7</v>
          </cell>
          <cell r="BH20">
            <v>8.4</v>
          </cell>
          <cell r="BI20">
            <v>11</v>
          </cell>
          <cell r="BJ20">
            <v>15.5</v>
          </cell>
          <cell r="BK20">
            <v>18.5</v>
          </cell>
          <cell r="BL20">
            <v>20</v>
          </cell>
          <cell r="BM20">
            <v>19.5</v>
          </cell>
          <cell r="BN20">
            <v>8</v>
          </cell>
          <cell r="BO20">
            <v>12.5</v>
          </cell>
          <cell r="BP20">
            <v>24.7</v>
          </cell>
          <cell r="BQ20">
            <v>0</v>
          </cell>
          <cell r="BR20">
            <v>44.1</v>
          </cell>
          <cell r="BS20">
            <v>72.3</v>
          </cell>
          <cell r="BT20">
            <v>104.5</v>
          </cell>
          <cell r="BU20">
            <v>219.7</v>
          </cell>
          <cell r="BV20">
            <v>8</v>
          </cell>
          <cell r="BW20">
            <v>18</v>
          </cell>
          <cell r="BX20">
            <v>30</v>
          </cell>
          <cell r="BY20">
            <v>40</v>
          </cell>
          <cell r="BZ20">
            <v>53</v>
          </cell>
          <cell r="CA20">
            <v>85</v>
          </cell>
          <cell r="CB20">
            <v>119</v>
          </cell>
          <cell r="CC20">
            <v>261</v>
          </cell>
          <cell r="CD20">
            <v>8</v>
          </cell>
          <cell r="CL20">
            <v>8</v>
          </cell>
          <cell r="CM20">
            <v>0.86</v>
          </cell>
          <cell r="CN20">
            <v>1.58</v>
          </cell>
          <cell r="CO20">
            <v>0.35599999999999998</v>
          </cell>
          <cell r="CP20">
            <v>0.86</v>
          </cell>
          <cell r="CQ20">
            <v>0.86</v>
          </cell>
          <cell r="CR20">
            <v>1.58</v>
          </cell>
          <cell r="CS20">
            <v>1.58</v>
          </cell>
          <cell r="CU20">
            <v>3.45</v>
          </cell>
          <cell r="CW20">
            <v>5.68</v>
          </cell>
          <cell r="CX20">
            <v>4.4800000000000004</v>
          </cell>
        </row>
        <row r="21">
          <cell r="A21">
            <v>10</v>
          </cell>
          <cell r="B21">
            <v>60.31</v>
          </cell>
          <cell r="C21">
            <v>81.55</v>
          </cell>
          <cell r="D21">
            <v>41.77</v>
          </cell>
          <cell r="E21">
            <v>51.03</v>
          </cell>
          <cell r="F21">
            <v>60.31</v>
          </cell>
          <cell r="G21">
            <v>81.55</v>
          </cell>
          <cell r="H21">
            <v>96.01</v>
          </cell>
          <cell r="I21">
            <v>114.75</v>
          </cell>
          <cell r="J21">
            <v>133.06</v>
          </cell>
          <cell r="K21">
            <v>155.15</v>
          </cell>
          <cell r="L21">
            <v>172.33</v>
          </cell>
          <cell r="M21">
            <v>155.15</v>
          </cell>
          <cell r="N21">
            <v>10</v>
          </cell>
          <cell r="O21">
            <v>37</v>
          </cell>
          <cell r="P21">
            <v>48.6</v>
          </cell>
          <cell r="Q21">
            <v>25.79</v>
          </cell>
          <cell r="R21">
            <v>31.3</v>
          </cell>
          <cell r="S21">
            <v>37</v>
          </cell>
          <cell r="T21">
            <v>48.6</v>
          </cell>
          <cell r="U21">
            <v>57.11</v>
          </cell>
          <cell r="V21">
            <v>75</v>
          </cell>
          <cell r="W21">
            <v>85</v>
          </cell>
          <cell r="X21">
            <v>97</v>
          </cell>
          <cell r="Y21">
            <v>123</v>
          </cell>
          <cell r="Z21">
            <v>97</v>
          </cell>
          <cell r="AA21">
            <v>10</v>
          </cell>
          <cell r="AB21">
            <v>20.5</v>
          </cell>
          <cell r="AC21">
            <v>24.3</v>
          </cell>
          <cell r="AD21">
            <v>18.5</v>
          </cell>
          <cell r="AE21">
            <v>19.649999999999999</v>
          </cell>
          <cell r="AF21">
            <v>20.5</v>
          </cell>
          <cell r="AG21">
            <v>24.3</v>
          </cell>
          <cell r="AH21">
            <v>30</v>
          </cell>
          <cell r="AI21">
            <v>37.549999999999997</v>
          </cell>
          <cell r="AJ21">
            <v>41.77</v>
          </cell>
          <cell r="AK21">
            <v>48.5</v>
          </cell>
          <cell r="AL21">
            <v>61</v>
          </cell>
          <cell r="AM21">
            <v>48.5</v>
          </cell>
          <cell r="AN21">
            <v>10</v>
          </cell>
          <cell r="AO21">
            <v>49.35</v>
          </cell>
          <cell r="AP21">
            <v>58.57</v>
          </cell>
          <cell r="AQ21">
            <v>34.700000000000003</v>
          </cell>
          <cell r="AR21">
            <v>36.770000000000003</v>
          </cell>
          <cell r="AS21">
            <v>49.35</v>
          </cell>
          <cell r="AT21">
            <v>58.57</v>
          </cell>
          <cell r="AU21">
            <v>68</v>
          </cell>
          <cell r="AV21">
            <v>74</v>
          </cell>
          <cell r="AW21">
            <v>93</v>
          </cell>
          <cell r="AX21">
            <v>99</v>
          </cell>
          <cell r="AY21">
            <v>120</v>
          </cell>
          <cell r="AZ21">
            <v>99</v>
          </cell>
          <cell r="BA21">
            <v>10</v>
          </cell>
          <cell r="BB21">
            <v>10</v>
          </cell>
          <cell r="BC21">
            <v>13.6</v>
          </cell>
          <cell r="BD21">
            <v>7</v>
          </cell>
          <cell r="BE21">
            <v>7.63</v>
          </cell>
          <cell r="BF21">
            <v>10</v>
          </cell>
          <cell r="BG21">
            <v>13.6</v>
          </cell>
          <cell r="BH21">
            <v>26.818181818181817</v>
          </cell>
          <cell r="BI21">
            <v>21</v>
          </cell>
          <cell r="BJ21">
            <v>24</v>
          </cell>
          <cell r="BK21">
            <v>27</v>
          </cell>
          <cell r="BL21">
            <v>30</v>
          </cell>
          <cell r="BM21">
            <v>27</v>
          </cell>
          <cell r="BN21">
            <v>10</v>
          </cell>
          <cell r="BO21">
            <v>17.5</v>
          </cell>
          <cell r="BP21">
            <v>35.700000000000003</v>
          </cell>
          <cell r="BQ21">
            <v>0</v>
          </cell>
          <cell r="BR21">
            <v>71.900000000000006</v>
          </cell>
          <cell r="BS21">
            <v>102.7</v>
          </cell>
          <cell r="BT21">
            <v>178.6</v>
          </cell>
          <cell r="BU21">
            <v>421.3</v>
          </cell>
          <cell r="BV21">
            <v>10</v>
          </cell>
          <cell r="BW21">
            <v>24</v>
          </cell>
          <cell r="BX21">
            <v>41</v>
          </cell>
          <cell r="BY21">
            <v>57</v>
          </cell>
          <cell r="BZ21">
            <v>86</v>
          </cell>
          <cell r="CA21">
            <v>118</v>
          </cell>
          <cell r="CB21">
            <v>204</v>
          </cell>
          <cell r="CC21">
            <v>485</v>
          </cell>
          <cell r="CD21">
            <v>10</v>
          </cell>
          <cell r="CL21">
            <v>10</v>
          </cell>
          <cell r="CM21">
            <v>0.99299999999999999</v>
          </cell>
          <cell r="CN21">
            <v>1.83</v>
          </cell>
          <cell r="CO21">
            <v>0.41099999999999998</v>
          </cell>
          <cell r="CP21">
            <v>0.61299999999999999</v>
          </cell>
          <cell r="CQ21">
            <v>0.99299999999999999</v>
          </cell>
          <cell r="CR21">
            <v>1.83</v>
          </cell>
          <cell r="CS21">
            <v>2.68</v>
          </cell>
          <cell r="CU21">
            <v>5.17</v>
          </cell>
          <cell r="CW21">
            <v>8.1</v>
          </cell>
          <cell r="CX21">
            <v>0</v>
          </cell>
        </row>
        <row r="22">
          <cell r="A22">
            <v>12</v>
          </cell>
          <cell r="B22">
            <v>73.88</v>
          </cell>
          <cell r="C22">
            <v>97.46</v>
          </cell>
          <cell r="D22">
            <v>49.73</v>
          </cell>
          <cell r="E22">
            <v>65.2</v>
          </cell>
          <cell r="F22">
            <v>79.73</v>
          </cell>
          <cell r="G22">
            <v>108.96</v>
          </cell>
          <cell r="H22">
            <v>132.08000000000001</v>
          </cell>
          <cell r="I22">
            <v>159.91</v>
          </cell>
          <cell r="J22">
            <v>186.97</v>
          </cell>
          <cell r="K22">
            <v>208.14</v>
          </cell>
          <cell r="L22">
            <v>238.76</v>
          </cell>
          <cell r="M22">
            <v>186.97</v>
          </cell>
          <cell r="N22">
            <v>12</v>
          </cell>
          <cell r="O22">
            <v>54</v>
          </cell>
          <cell r="P22">
            <v>70</v>
          </cell>
          <cell r="Q22">
            <v>37.229999999999997</v>
          </cell>
          <cell r="R22">
            <v>46.06</v>
          </cell>
          <cell r="S22">
            <v>58.15</v>
          </cell>
          <cell r="T22">
            <v>82.62</v>
          </cell>
          <cell r="U22">
            <v>94.82</v>
          </cell>
          <cell r="V22">
            <v>123</v>
          </cell>
          <cell r="W22">
            <v>140</v>
          </cell>
          <cell r="X22">
            <v>157</v>
          </cell>
          <cell r="Y22">
            <v>180</v>
          </cell>
          <cell r="Z22">
            <v>140</v>
          </cell>
          <cell r="AA22">
            <v>12</v>
          </cell>
          <cell r="AB22">
            <v>27</v>
          </cell>
          <cell r="AC22">
            <v>335</v>
          </cell>
          <cell r="AD22">
            <v>24.75</v>
          </cell>
          <cell r="AE22">
            <v>26.03</v>
          </cell>
          <cell r="AF22">
            <v>29.57</v>
          </cell>
          <cell r="AG22">
            <v>41.31</v>
          </cell>
          <cell r="AH22">
            <v>49.94</v>
          </cell>
          <cell r="AI22">
            <v>61.5</v>
          </cell>
          <cell r="AJ22">
            <v>70.819999999999993</v>
          </cell>
          <cell r="AK22">
            <v>79</v>
          </cell>
          <cell r="AL22">
            <v>90.34</v>
          </cell>
          <cell r="AM22">
            <v>70.819999999999993</v>
          </cell>
          <cell r="AN22">
            <v>12</v>
          </cell>
          <cell r="AO22">
            <v>65</v>
          </cell>
          <cell r="AP22">
            <v>84.9</v>
          </cell>
          <cell r="AQ22">
            <v>59</v>
          </cell>
          <cell r="AR22">
            <v>61.74</v>
          </cell>
          <cell r="AS22">
            <v>70.5</v>
          </cell>
          <cell r="AT22">
            <v>102.6</v>
          </cell>
          <cell r="AU22">
            <v>115</v>
          </cell>
          <cell r="AV22">
            <v>136</v>
          </cell>
          <cell r="AW22">
            <v>150</v>
          </cell>
          <cell r="AX22">
            <v>177</v>
          </cell>
          <cell r="AY22">
            <v>184</v>
          </cell>
          <cell r="AZ22">
            <v>150</v>
          </cell>
          <cell r="BA22">
            <v>12</v>
          </cell>
          <cell r="BB22">
            <v>15</v>
          </cell>
          <cell r="BC22">
            <v>22</v>
          </cell>
          <cell r="BD22">
            <v>9</v>
          </cell>
          <cell r="BE22">
            <v>13</v>
          </cell>
          <cell r="BF22">
            <v>19</v>
          </cell>
          <cell r="BG22">
            <v>22</v>
          </cell>
          <cell r="BH22">
            <v>37.272727272727266</v>
          </cell>
          <cell r="BI22">
            <v>32.5</v>
          </cell>
          <cell r="BJ22">
            <v>41</v>
          </cell>
          <cell r="BK22">
            <v>42</v>
          </cell>
          <cell r="BL22">
            <v>44.5</v>
          </cell>
          <cell r="BM22">
            <v>41</v>
          </cell>
          <cell r="BN22">
            <v>12</v>
          </cell>
          <cell r="BO22">
            <v>26.1</v>
          </cell>
          <cell r="BP22">
            <v>52.75</v>
          </cell>
          <cell r="BQ22">
            <v>63.41</v>
          </cell>
          <cell r="BR22">
            <v>85.3</v>
          </cell>
          <cell r="BS22">
            <v>128.30000000000001</v>
          </cell>
          <cell r="BV22">
            <v>12</v>
          </cell>
          <cell r="BW22">
            <v>37</v>
          </cell>
          <cell r="BX22">
            <v>62</v>
          </cell>
          <cell r="BY22">
            <v>80</v>
          </cell>
          <cell r="BZ22">
            <v>102</v>
          </cell>
          <cell r="CA22">
            <v>163</v>
          </cell>
          <cell r="CB22">
            <v>303</v>
          </cell>
          <cell r="CC22">
            <v>730</v>
          </cell>
          <cell r="CD22">
            <v>12</v>
          </cell>
          <cell r="CL22">
            <v>12</v>
          </cell>
          <cell r="CM22">
            <v>1.27</v>
          </cell>
          <cell r="CN22">
            <v>2.34</v>
          </cell>
          <cell r="CO22">
            <v>0.52600000000000002</v>
          </cell>
          <cell r="CP22">
            <v>1.27</v>
          </cell>
          <cell r="CQ22">
            <v>2.34</v>
          </cell>
          <cell r="CR22">
            <v>3.44</v>
          </cell>
          <cell r="CS22">
            <v>6.63</v>
          </cell>
          <cell r="CU22">
            <v>8.41</v>
          </cell>
          <cell r="CW22">
            <v>14.94</v>
          </cell>
          <cell r="CX22">
            <v>0</v>
          </cell>
        </row>
        <row r="23">
          <cell r="A23">
            <v>14</v>
          </cell>
          <cell r="B23">
            <v>81.33</v>
          </cell>
          <cell r="C23">
            <v>107.39</v>
          </cell>
          <cell r="D23">
            <v>67.900000000000006</v>
          </cell>
          <cell r="E23">
            <v>81.33</v>
          </cell>
          <cell r="F23">
            <v>94.55</v>
          </cell>
          <cell r="G23">
            <v>126.71</v>
          </cell>
          <cell r="H23">
            <v>158.1</v>
          </cell>
          <cell r="I23">
            <v>194.96</v>
          </cell>
          <cell r="J23">
            <v>224.65</v>
          </cell>
          <cell r="K23">
            <v>253.56</v>
          </cell>
          <cell r="L23">
            <v>281.7</v>
          </cell>
          <cell r="N23">
            <v>14</v>
          </cell>
          <cell r="O23">
            <v>68</v>
          </cell>
          <cell r="P23">
            <v>94.35</v>
          </cell>
          <cell r="Q23">
            <v>59.93</v>
          </cell>
          <cell r="R23">
            <v>68</v>
          </cell>
          <cell r="S23">
            <v>79.959999999999994</v>
          </cell>
          <cell r="T23">
            <v>111.26</v>
          </cell>
          <cell r="U23">
            <v>132.16</v>
          </cell>
          <cell r="V23">
            <v>188</v>
          </cell>
          <cell r="W23">
            <v>190</v>
          </cell>
          <cell r="X23">
            <v>224</v>
          </cell>
          <cell r="Y23">
            <v>247.5</v>
          </cell>
          <cell r="AA23">
            <v>14</v>
          </cell>
          <cell r="AB23">
            <v>34</v>
          </cell>
          <cell r="AC23">
            <v>47.17</v>
          </cell>
          <cell r="AD23">
            <v>32</v>
          </cell>
          <cell r="AE23">
            <v>34</v>
          </cell>
          <cell r="AF23">
            <v>39.979999999999997</v>
          </cell>
          <cell r="AG23">
            <v>55.84</v>
          </cell>
          <cell r="AH23">
            <v>69.92</v>
          </cell>
          <cell r="AI23">
            <v>94</v>
          </cell>
          <cell r="AJ23">
            <v>95</v>
          </cell>
          <cell r="AK23">
            <v>112</v>
          </cell>
          <cell r="AL23">
            <v>123.94</v>
          </cell>
          <cell r="AN23">
            <v>14</v>
          </cell>
          <cell r="AO23">
            <v>93</v>
          </cell>
          <cell r="AP23">
            <v>127.12</v>
          </cell>
          <cell r="AQ23">
            <v>90</v>
          </cell>
          <cell r="AR23">
            <v>93</v>
          </cell>
          <cell r="AS23">
            <v>114.41</v>
          </cell>
          <cell r="AT23">
            <v>141.19999999999999</v>
          </cell>
          <cell r="AU23">
            <v>165</v>
          </cell>
          <cell r="AV23">
            <v>206</v>
          </cell>
          <cell r="AW23">
            <v>240</v>
          </cell>
          <cell r="AX23">
            <v>275</v>
          </cell>
          <cell r="AY23">
            <v>300</v>
          </cell>
          <cell r="BA23">
            <v>14</v>
          </cell>
          <cell r="BB23">
            <v>17</v>
          </cell>
          <cell r="BC23">
            <v>27</v>
          </cell>
          <cell r="BD23">
            <v>15.5</v>
          </cell>
          <cell r="BE23">
            <v>17</v>
          </cell>
          <cell r="BF23">
            <v>23</v>
          </cell>
          <cell r="BG23">
            <v>32</v>
          </cell>
          <cell r="BI23">
            <v>42</v>
          </cell>
          <cell r="BJ23">
            <v>47</v>
          </cell>
          <cell r="BK23">
            <v>52</v>
          </cell>
          <cell r="BL23">
            <v>60</v>
          </cell>
          <cell r="BN23">
            <v>14</v>
          </cell>
          <cell r="BO23">
            <v>34.700000000000003</v>
          </cell>
          <cell r="BP23">
            <v>69.8</v>
          </cell>
          <cell r="BQ23">
            <v>0</v>
          </cell>
          <cell r="BR23">
            <v>98.7</v>
          </cell>
          <cell r="BS23">
            <v>153.9</v>
          </cell>
          <cell r="BV23">
            <v>14</v>
          </cell>
          <cell r="BW23">
            <v>47</v>
          </cell>
          <cell r="BX23">
            <v>84</v>
          </cell>
          <cell r="BY23">
            <v>105</v>
          </cell>
          <cell r="BZ23">
            <v>150</v>
          </cell>
          <cell r="CA23">
            <v>186</v>
          </cell>
          <cell r="CB23">
            <v>400</v>
          </cell>
          <cell r="CD23">
            <v>14</v>
          </cell>
          <cell r="CL23">
            <v>14</v>
          </cell>
          <cell r="CM23">
            <v>1.4</v>
          </cell>
          <cell r="CN23">
            <v>2.58</v>
          </cell>
          <cell r="CO23">
            <v>1.1399999999999999</v>
          </cell>
          <cell r="CP23">
            <v>1.4</v>
          </cell>
          <cell r="CQ23">
            <v>2.58</v>
          </cell>
          <cell r="CR23">
            <v>3.79</v>
          </cell>
          <cell r="CS23">
            <v>5.63</v>
          </cell>
          <cell r="CU23">
            <v>11.44</v>
          </cell>
          <cell r="CW23">
            <v>19.34</v>
          </cell>
          <cell r="CX23">
            <v>0</v>
          </cell>
        </row>
        <row r="24">
          <cell r="A24">
            <v>16</v>
          </cell>
          <cell r="B24">
            <v>93.27</v>
          </cell>
          <cell r="C24">
            <v>123.3</v>
          </cell>
          <cell r="D24">
            <v>77.83</v>
          </cell>
          <cell r="E24">
            <v>93.27</v>
          </cell>
          <cell r="F24">
            <v>123.3</v>
          </cell>
          <cell r="G24">
            <v>160.12</v>
          </cell>
          <cell r="H24">
            <v>203.53</v>
          </cell>
          <cell r="I24">
            <v>245.56</v>
          </cell>
          <cell r="J24">
            <v>286.64</v>
          </cell>
          <cell r="K24">
            <v>333.19</v>
          </cell>
          <cell r="L24">
            <v>365.36</v>
          </cell>
          <cell r="N24">
            <v>16</v>
          </cell>
          <cell r="O24">
            <v>89.2</v>
          </cell>
          <cell r="P24">
            <v>124.75</v>
          </cell>
          <cell r="Q24">
            <v>78.09</v>
          </cell>
          <cell r="R24">
            <v>89.2</v>
          </cell>
          <cell r="S24">
            <v>124.75</v>
          </cell>
          <cell r="T24">
            <v>161.16999999999999</v>
          </cell>
          <cell r="U24">
            <v>204.3</v>
          </cell>
          <cell r="V24">
            <v>260</v>
          </cell>
          <cell r="W24">
            <v>274</v>
          </cell>
          <cell r="X24">
            <v>323</v>
          </cell>
          <cell r="Y24">
            <v>367</v>
          </cell>
          <cell r="AA24">
            <v>16</v>
          </cell>
          <cell r="AB24">
            <v>48</v>
          </cell>
          <cell r="AC24">
            <v>62.37</v>
          </cell>
          <cell r="AD24">
            <v>46.5</v>
          </cell>
          <cell r="AE24">
            <v>48</v>
          </cell>
          <cell r="AF24">
            <v>62.37</v>
          </cell>
          <cell r="AG24">
            <v>80.81</v>
          </cell>
          <cell r="AH24">
            <v>102.15</v>
          </cell>
          <cell r="AI24">
            <v>130</v>
          </cell>
          <cell r="AJ24">
            <v>137</v>
          </cell>
          <cell r="AK24">
            <v>161.5</v>
          </cell>
          <cell r="AL24">
            <v>183</v>
          </cell>
          <cell r="AN24">
            <v>16</v>
          </cell>
          <cell r="AO24">
            <v>115</v>
          </cell>
          <cell r="AP24">
            <v>167.52</v>
          </cell>
          <cell r="AQ24">
            <v>100</v>
          </cell>
          <cell r="AR24">
            <v>115</v>
          </cell>
          <cell r="AS24">
            <v>167.52</v>
          </cell>
          <cell r="AT24">
            <v>207.93</v>
          </cell>
          <cell r="AU24">
            <v>249</v>
          </cell>
          <cell r="AV24">
            <v>305</v>
          </cell>
          <cell r="AW24">
            <v>330</v>
          </cell>
          <cell r="AX24">
            <v>385</v>
          </cell>
          <cell r="AY24">
            <v>425</v>
          </cell>
          <cell r="BA24">
            <v>16</v>
          </cell>
          <cell r="BB24">
            <v>23</v>
          </cell>
          <cell r="BC24">
            <v>30</v>
          </cell>
          <cell r="BD24">
            <v>20</v>
          </cell>
          <cell r="BE24">
            <v>23</v>
          </cell>
          <cell r="BF24">
            <v>30</v>
          </cell>
          <cell r="BG24">
            <v>37</v>
          </cell>
          <cell r="BI24">
            <v>54</v>
          </cell>
          <cell r="BJ24">
            <v>64</v>
          </cell>
          <cell r="BK24">
            <v>73</v>
          </cell>
          <cell r="BL24">
            <v>79</v>
          </cell>
          <cell r="BN24">
            <v>16</v>
          </cell>
          <cell r="BO24">
            <v>44.4</v>
          </cell>
          <cell r="BP24">
            <v>87.6</v>
          </cell>
          <cell r="BQ24">
            <v>0</v>
          </cell>
          <cell r="BR24">
            <v>143</v>
          </cell>
          <cell r="BS24">
            <v>184.8</v>
          </cell>
          <cell r="BV24">
            <v>16</v>
          </cell>
          <cell r="BW24">
            <v>58</v>
          </cell>
          <cell r="BX24">
            <v>111</v>
          </cell>
          <cell r="BY24">
            <v>131</v>
          </cell>
          <cell r="BZ24">
            <v>190</v>
          </cell>
          <cell r="CA24">
            <v>224</v>
          </cell>
          <cell r="CB24">
            <v>510</v>
          </cell>
          <cell r="CD24">
            <v>16</v>
          </cell>
          <cell r="CL24">
            <v>16</v>
          </cell>
          <cell r="CM24">
            <v>1.6</v>
          </cell>
          <cell r="CN24">
            <v>2.95</v>
          </cell>
          <cell r="CO24">
            <v>1.1599999999999999</v>
          </cell>
          <cell r="CP24">
            <v>1.6</v>
          </cell>
          <cell r="CQ24">
            <v>2.95</v>
          </cell>
          <cell r="CR24">
            <v>6.47</v>
          </cell>
          <cell r="CS24">
            <v>8.34</v>
          </cell>
          <cell r="CU24">
            <v>13.06</v>
          </cell>
          <cell r="CW24">
            <v>25.56</v>
          </cell>
          <cell r="CX24">
            <v>0</v>
          </cell>
        </row>
        <row r="25">
          <cell r="A25">
            <v>18</v>
          </cell>
          <cell r="B25">
            <v>105.16</v>
          </cell>
          <cell r="C25">
            <v>139.15</v>
          </cell>
          <cell r="D25">
            <v>87.71</v>
          </cell>
          <cell r="E25">
            <v>122.38</v>
          </cell>
          <cell r="F25">
            <v>155.80000000000001</v>
          </cell>
          <cell r="G25">
            <v>205.74</v>
          </cell>
          <cell r="H25">
            <v>254.55</v>
          </cell>
          <cell r="I25">
            <v>309.62</v>
          </cell>
          <cell r="J25">
            <v>363.56</v>
          </cell>
          <cell r="K25">
            <v>408.26</v>
          </cell>
          <cell r="L25">
            <v>459.37</v>
          </cell>
          <cell r="N25">
            <v>18</v>
          </cell>
          <cell r="O25">
            <v>112.9</v>
          </cell>
          <cell r="P25">
            <v>157.5</v>
          </cell>
          <cell r="Q25">
            <v>99.43</v>
          </cell>
          <cell r="R25">
            <v>139.83000000000001</v>
          </cell>
          <cell r="S25">
            <v>177.06</v>
          </cell>
          <cell r="T25">
            <v>231.54</v>
          </cell>
          <cell r="U25">
            <v>287.83999999999997</v>
          </cell>
          <cell r="V25">
            <v>390</v>
          </cell>
          <cell r="W25">
            <v>405</v>
          </cell>
          <cell r="X25">
            <v>422</v>
          </cell>
          <cell r="Y25">
            <v>545</v>
          </cell>
          <cell r="AA25">
            <v>18</v>
          </cell>
          <cell r="AB25">
            <v>60</v>
          </cell>
          <cell r="AC25">
            <v>79</v>
          </cell>
          <cell r="AD25">
            <v>56</v>
          </cell>
          <cell r="AE25">
            <v>69.91</v>
          </cell>
          <cell r="AF25">
            <v>88.53</v>
          </cell>
          <cell r="AG25">
            <v>115.77</v>
          </cell>
          <cell r="AH25">
            <v>143.91999999999999</v>
          </cell>
          <cell r="AI25">
            <v>195</v>
          </cell>
          <cell r="AJ25">
            <v>202.5</v>
          </cell>
          <cell r="AK25">
            <v>211</v>
          </cell>
          <cell r="AL25">
            <v>272</v>
          </cell>
          <cell r="AN25">
            <v>18</v>
          </cell>
          <cell r="AO25">
            <v>135</v>
          </cell>
          <cell r="AP25">
            <v>190</v>
          </cell>
          <cell r="AQ25">
            <v>127.12</v>
          </cell>
          <cell r="AR25">
            <v>181.14</v>
          </cell>
          <cell r="AS25">
            <v>238.35</v>
          </cell>
          <cell r="AT25">
            <v>277.85000000000002</v>
          </cell>
          <cell r="AU25">
            <v>322</v>
          </cell>
          <cell r="AV25">
            <v>380</v>
          </cell>
          <cell r="AW25">
            <v>450</v>
          </cell>
          <cell r="AX25">
            <v>500</v>
          </cell>
          <cell r="AY25">
            <v>590</v>
          </cell>
          <cell r="BA25">
            <v>18</v>
          </cell>
          <cell r="BB25">
            <v>29</v>
          </cell>
          <cell r="BC25">
            <v>32</v>
          </cell>
          <cell r="BD25">
            <v>25</v>
          </cell>
          <cell r="BE25">
            <v>30.3</v>
          </cell>
          <cell r="BF25">
            <v>39</v>
          </cell>
          <cell r="BG25">
            <v>66</v>
          </cell>
          <cell r="BI25">
            <v>75</v>
          </cell>
          <cell r="BJ25">
            <v>88</v>
          </cell>
          <cell r="BK25">
            <v>93</v>
          </cell>
          <cell r="BL25">
            <v>104</v>
          </cell>
          <cell r="BN25">
            <v>18</v>
          </cell>
          <cell r="BO25">
            <v>51.9</v>
          </cell>
          <cell r="BP25">
            <v>108.7</v>
          </cell>
          <cell r="BQ25">
            <v>0</v>
          </cell>
          <cell r="BR25">
            <v>174</v>
          </cell>
          <cell r="BS25">
            <v>261.2</v>
          </cell>
          <cell r="BV25">
            <v>18</v>
          </cell>
          <cell r="BW25">
            <v>64</v>
          </cell>
          <cell r="BX25">
            <v>138</v>
          </cell>
          <cell r="BY25">
            <v>159</v>
          </cell>
          <cell r="BZ25">
            <v>240</v>
          </cell>
          <cell r="CA25">
            <v>300</v>
          </cell>
          <cell r="CB25">
            <v>687.2</v>
          </cell>
          <cell r="CD25">
            <v>18</v>
          </cell>
          <cell r="CL25">
            <v>18</v>
          </cell>
          <cell r="CM25">
            <v>1.78</v>
          </cell>
          <cell r="CN25">
            <v>3.31</v>
          </cell>
          <cell r="CO25">
            <v>1.18</v>
          </cell>
          <cell r="CP25">
            <v>3.31</v>
          </cell>
          <cell r="CQ25">
            <v>3.31</v>
          </cell>
          <cell r="CR25">
            <v>7.23</v>
          </cell>
          <cell r="CS25">
            <v>11.9</v>
          </cell>
          <cell r="CU25">
            <v>21.13</v>
          </cell>
          <cell r="CW25">
            <v>37.49</v>
          </cell>
          <cell r="CX25">
            <v>0</v>
          </cell>
        </row>
        <row r="26">
          <cell r="A26">
            <v>20</v>
          </cell>
          <cell r="B26">
            <v>117.15</v>
          </cell>
          <cell r="C26">
            <v>155.12</v>
          </cell>
          <cell r="D26">
            <v>117.15</v>
          </cell>
          <cell r="E26">
            <v>155.12</v>
          </cell>
          <cell r="F26">
            <v>183.42</v>
          </cell>
          <cell r="G26">
            <v>247.83</v>
          </cell>
          <cell r="H26">
            <v>311.17</v>
          </cell>
          <cell r="I26">
            <v>381.53</v>
          </cell>
          <cell r="J26">
            <v>441.49</v>
          </cell>
          <cell r="K26">
            <v>508.11</v>
          </cell>
          <cell r="L26">
            <v>564.80999999999995</v>
          </cell>
          <cell r="N26">
            <v>20</v>
          </cell>
          <cell r="O26">
            <v>142.4</v>
          </cell>
          <cell r="P26">
            <v>194.3</v>
          </cell>
          <cell r="Q26">
            <v>142.4</v>
          </cell>
          <cell r="R26">
            <v>194.3</v>
          </cell>
          <cell r="S26">
            <v>230</v>
          </cell>
          <cell r="T26">
            <v>311.44</v>
          </cell>
          <cell r="U26">
            <v>390.9</v>
          </cell>
          <cell r="V26">
            <v>476</v>
          </cell>
          <cell r="W26">
            <v>508</v>
          </cell>
          <cell r="X26">
            <v>607</v>
          </cell>
          <cell r="Y26">
            <v>770</v>
          </cell>
          <cell r="AA26">
            <v>20</v>
          </cell>
          <cell r="AB26">
            <v>71.2</v>
          </cell>
          <cell r="AC26">
            <v>97.16</v>
          </cell>
          <cell r="AD26">
            <v>71.2</v>
          </cell>
          <cell r="AE26">
            <v>97.16</v>
          </cell>
          <cell r="AF26">
            <v>114</v>
          </cell>
          <cell r="AG26">
            <v>155.72</v>
          </cell>
          <cell r="AH26">
            <v>195.67</v>
          </cell>
          <cell r="AI26">
            <v>238</v>
          </cell>
          <cell r="AJ26">
            <v>254</v>
          </cell>
          <cell r="AK26">
            <v>303.5</v>
          </cell>
          <cell r="AL26">
            <v>385</v>
          </cell>
          <cell r="AN26">
            <v>20</v>
          </cell>
          <cell r="AO26">
            <v>168</v>
          </cell>
          <cell r="AP26">
            <v>245</v>
          </cell>
          <cell r="AQ26">
            <v>168</v>
          </cell>
          <cell r="AR26">
            <v>265</v>
          </cell>
          <cell r="AS26">
            <v>320.52</v>
          </cell>
          <cell r="AT26">
            <v>378.64</v>
          </cell>
          <cell r="AU26">
            <v>459.05</v>
          </cell>
          <cell r="AV26">
            <v>540</v>
          </cell>
          <cell r="AW26">
            <v>590</v>
          </cell>
          <cell r="AX26">
            <v>720</v>
          </cell>
          <cell r="AY26">
            <v>790</v>
          </cell>
          <cell r="BA26">
            <v>20</v>
          </cell>
          <cell r="BB26">
            <v>36</v>
          </cell>
          <cell r="BC26">
            <v>49</v>
          </cell>
          <cell r="BD26">
            <v>36</v>
          </cell>
          <cell r="BE26">
            <v>49</v>
          </cell>
          <cell r="BF26">
            <v>66.7</v>
          </cell>
          <cell r="BG26">
            <v>94.5</v>
          </cell>
          <cell r="BI26">
            <v>100</v>
          </cell>
          <cell r="BJ26">
            <v>105</v>
          </cell>
          <cell r="BK26">
            <v>153</v>
          </cell>
          <cell r="BL26">
            <v>170</v>
          </cell>
          <cell r="BN26">
            <v>20</v>
          </cell>
          <cell r="BO26">
            <v>61.7</v>
          </cell>
          <cell r="BP26">
            <v>134.5</v>
          </cell>
          <cell r="BQ26">
            <v>0</v>
          </cell>
          <cell r="BR26">
            <v>222</v>
          </cell>
          <cell r="BS26">
            <v>317.89999999999998</v>
          </cell>
          <cell r="BV26">
            <v>20</v>
          </cell>
          <cell r="BW26">
            <v>77</v>
          </cell>
          <cell r="BX26">
            <v>171</v>
          </cell>
          <cell r="BY26">
            <v>190</v>
          </cell>
          <cell r="BZ26">
            <v>295</v>
          </cell>
          <cell r="CA26">
            <v>373</v>
          </cell>
          <cell r="CB26">
            <v>852.6</v>
          </cell>
          <cell r="CD26">
            <v>20</v>
          </cell>
          <cell r="CL26">
            <v>20</v>
          </cell>
          <cell r="CM26">
            <v>2</v>
          </cell>
          <cell r="CN26">
            <v>3.68</v>
          </cell>
          <cell r="CO26">
            <v>2</v>
          </cell>
          <cell r="CP26">
            <v>3.68</v>
          </cell>
          <cell r="CQ26">
            <v>6.29</v>
          </cell>
          <cell r="CR26">
            <v>8.91</v>
          </cell>
          <cell r="CS26">
            <v>21.48</v>
          </cell>
          <cell r="CU26">
            <v>27.61</v>
          </cell>
          <cell r="CW26">
            <v>43.23</v>
          </cell>
          <cell r="CX26">
            <v>0</v>
          </cell>
        </row>
        <row r="27">
          <cell r="A27">
            <v>24</v>
          </cell>
          <cell r="B27">
            <v>141.12</v>
          </cell>
          <cell r="C27">
            <v>187.06</v>
          </cell>
          <cell r="D27">
            <v>141.12</v>
          </cell>
          <cell r="E27">
            <v>209.64</v>
          </cell>
          <cell r="F27">
            <v>255.41</v>
          </cell>
          <cell r="G27">
            <v>355.26</v>
          </cell>
          <cell r="H27">
            <v>442.08</v>
          </cell>
          <cell r="I27">
            <v>547.71</v>
          </cell>
          <cell r="J27">
            <v>640.03</v>
          </cell>
          <cell r="K27">
            <v>720.15</v>
          </cell>
          <cell r="L27">
            <v>808.22</v>
          </cell>
          <cell r="N27">
            <v>24</v>
          </cell>
          <cell r="O27">
            <v>202</v>
          </cell>
          <cell r="P27">
            <v>268.5</v>
          </cell>
          <cell r="Q27">
            <v>202</v>
          </cell>
          <cell r="R27">
            <v>318.7</v>
          </cell>
          <cell r="S27">
            <v>384</v>
          </cell>
          <cell r="T27">
            <v>533.9</v>
          </cell>
          <cell r="U27">
            <v>667.4</v>
          </cell>
          <cell r="V27">
            <v>820</v>
          </cell>
          <cell r="W27">
            <v>954</v>
          </cell>
          <cell r="X27">
            <v>1100</v>
          </cell>
          <cell r="Y27">
            <v>1270</v>
          </cell>
          <cell r="AA27">
            <v>24</v>
          </cell>
          <cell r="AB27">
            <v>102.95</v>
          </cell>
          <cell r="AC27">
            <v>141.19999999999999</v>
          </cell>
          <cell r="AD27">
            <v>102.95</v>
          </cell>
          <cell r="AE27">
            <v>159.35</v>
          </cell>
          <cell r="AF27">
            <v>192.04</v>
          </cell>
          <cell r="AG27">
            <v>266.95</v>
          </cell>
          <cell r="AH27">
            <v>333.7</v>
          </cell>
          <cell r="AI27">
            <v>410</v>
          </cell>
          <cell r="AJ27">
            <v>477</v>
          </cell>
          <cell r="AK27">
            <v>545</v>
          </cell>
          <cell r="AL27">
            <v>635</v>
          </cell>
          <cell r="AN27">
            <v>24</v>
          </cell>
          <cell r="AO27">
            <v>240</v>
          </cell>
          <cell r="AP27">
            <v>350</v>
          </cell>
          <cell r="AQ27">
            <v>240</v>
          </cell>
          <cell r="AR27">
            <v>443.55</v>
          </cell>
          <cell r="AS27">
            <v>570.67999999999995</v>
          </cell>
          <cell r="AT27">
            <v>656.48</v>
          </cell>
          <cell r="AU27">
            <v>748</v>
          </cell>
          <cell r="AV27">
            <v>910</v>
          </cell>
          <cell r="AW27">
            <v>1100</v>
          </cell>
          <cell r="AX27">
            <v>1180</v>
          </cell>
          <cell r="AY27">
            <v>1310</v>
          </cell>
          <cell r="BA27">
            <v>24</v>
          </cell>
          <cell r="BB27">
            <v>52</v>
          </cell>
          <cell r="BC27">
            <v>69</v>
          </cell>
          <cell r="BD27">
            <v>52</v>
          </cell>
          <cell r="BE27">
            <v>74.5</v>
          </cell>
          <cell r="BF27">
            <v>93</v>
          </cell>
          <cell r="BG27">
            <v>120</v>
          </cell>
          <cell r="BI27">
            <v>180</v>
          </cell>
          <cell r="BJ27">
            <v>200</v>
          </cell>
          <cell r="BK27">
            <v>250</v>
          </cell>
          <cell r="BL27">
            <v>285</v>
          </cell>
          <cell r="BN27">
            <v>24</v>
          </cell>
          <cell r="BO27">
            <v>87.4</v>
          </cell>
          <cell r="BP27">
            <v>203</v>
          </cell>
          <cell r="BQ27">
            <v>0</v>
          </cell>
          <cell r="BR27">
            <v>312.2</v>
          </cell>
          <cell r="BS27">
            <v>634.09</v>
          </cell>
          <cell r="BV27">
            <v>24</v>
          </cell>
          <cell r="BW27">
            <v>118</v>
          </cell>
          <cell r="BX27">
            <v>247</v>
          </cell>
          <cell r="BY27">
            <v>275</v>
          </cell>
          <cell r="BZ27">
            <v>365</v>
          </cell>
          <cell r="CA27">
            <v>680</v>
          </cell>
          <cell r="CB27">
            <v>1366.8</v>
          </cell>
          <cell r="CD27">
            <v>24</v>
          </cell>
          <cell r="CL27">
            <v>24</v>
          </cell>
          <cell r="CM27">
            <v>2.4</v>
          </cell>
          <cell r="CN27">
            <v>4.41</v>
          </cell>
          <cell r="CO27">
            <v>2.4</v>
          </cell>
          <cell r="CP27">
            <v>0</v>
          </cell>
          <cell r="CQ27">
            <v>7.54</v>
          </cell>
          <cell r="CR27">
            <v>15.86</v>
          </cell>
          <cell r="CS27">
            <v>23.71</v>
          </cell>
          <cell r="CU27">
            <v>47.23</v>
          </cell>
          <cell r="CW27">
            <v>69.08</v>
          </cell>
          <cell r="CX27">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DRR"/>
      <sheetName val="CRR"/>
      <sheetName val="JVR"/>
      <sheetName val="MIR"/>
      <sheetName val="RRR"/>
      <sheetName val="CVR"/>
      <sheetName val="LABCOST"/>
      <sheetName val="FIELD"/>
      <sheetName val="SHOP"/>
      <sheetName val="WEIGHT"/>
      <sheetName val="Code 02"/>
      <sheetName val="Code 03"/>
      <sheetName val="Code 04"/>
      <sheetName val="Code 05"/>
      <sheetName val="Code 06"/>
      <sheetName val="Code 07"/>
      <sheetName val="Code 09"/>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price schedule"/>
      <sheetName val="matls"/>
      <sheetName val="daywork rates"/>
      <sheetName val="costdev"/>
      <sheetName val="closeout"/>
      <sheetName val="breakdown"/>
      <sheetName val="Table"/>
      <sheetName val="Resources"/>
      <sheetName val="Break_Cut_Restore"/>
      <sheetName val="Materials"/>
      <sheetName val="productivity"/>
      <sheetName val="CO-0A"/>
      <sheetName val="BOQ"/>
      <sheetName val="pipes"/>
      <sheetName val="brkdwn"/>
      <sheetName val="Bid Breakdown"/>
      <sheetName val="Cost dev"/>
      <sheetName val="Cost dev Final"/>
      <sheetName val="WT-LIST"/>
      <sheetName val="#REF"/>
      <sheetName val="당초"/>
      <sheetName val="Testing"/>
      <sheetName val="환산표"/>
      <sheetName val="Vari by Trade"/>
      <sheetName val="Vari by Vendor"/>
      <sheetName val="Sheet1"/>
      <sheetName val=" 4.DOR"/>
      <sheetName val="D &amp; W sizes"/>
      <sheetName val="BILL 1"/>
      <sheetName val="Sheet3"/>
      <sheetName val="Sheet2"/>
      <sheetName val="DRR"/>
      <sheetName val="CRR"/>
      <sheetName val="JVR"/>
      <sheetName val="MIR"/>
      <sheetName val="RRR"/>
      <sheetName val="CV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vil"/>
      <sheetName val="BM"/>
      <sheetName val="Equipment"/>
      <sheetName val="Staff"/>
      <sheetName val="Crew"/>
      <sheetName val="Schedule"/>
      <sheetName val="Freight"/>
      <sheetName val="Testing"/>
      <sheetName val="Miscchrg"/>
      <sheetName val="Cost Sum"/>
      <sheetName val="General Notes"/>
      <sheetName val="Alterations"/>
      <sheetName val="Pumps"/>
      <sheetName val="EF _ AC"/>
      <sheetName val="Summary"/>
      <sheetName val="Interpulation"/>
      <sheetName val="AGBQ_030124"/>
      <sheetName val="Total Summary"/>
      <sheetName val="BQ(Others_Piping)"/>
      <sheetName val="Deluge System"/>
      <sheetName val="Large Bore Star Rate"/>
      <sheetName val="Small Bore Star Rate"/>
      <sheetName val="Summary 1FA 1GA"/>
      <sheetName val="TOTAL SUMMARY (2)"/>
      <sheetName val="Engg 4"/>
      <sheetName val="Engg 3"/>
      <sheetName val="Engg 2"/>
      <sheetName val="Engg 1"/>
      <sheetName val="Equip Install"/>
      <sheetName val="Sheet1"/>
      <sheetName val="DS Detl"/>
      <sheetName val="DS Breakdown"/>
      <sheetName val="Furnace Tube Welding"/>
      <sheetName val="Furnace Installation"/>
      <sheetName val="Breakdown"/>
      <sheetName val="CASHFLOW"/>
      <sheetName val="FurnacÿÿInstallation"/>
      <sheetName val="SE-611"/>
      <sheetName val="材料マスタ"/>
      <sheetName val="INDIRECT COST-PART l"/>
      <sheetName val="estimate"/>
      <sheetName val="Insulation_Utl_Off"/>
      <sheetName val="Note_Piping"/>
      <sheetName val="내역"/>
      <sheetName val="ATM-WSWDS"/>
      <sheetName val="242-3 summaryOPC"/>
      <sheetName val="Sheet4"/>
      <sheetName val="Boiler Norms"/>
      <sheetName val="L(2)"/>
      <sheetName val="Elec.Codes"/>
      <sheetName val="FIELD"/>
      <sheetName val="도급양식"/>
      <sheetName val="Final Summary"/>
      <sheetName val="환율"/>
      <sheetName val="ewrks-deriv"/>
      <sheetName val="Schedule S-Curve Revision#3"/>
      <sheetName val="Cost_Sum"/>
      <sheetName val="General_Notes"/>
      <sheetName val="EF___AC"/>
      <sheetName val="Total_Summary"/>
      <sheetName val="Deluge_System"/>
      <sheetName val="Large_Bore_Star_Rate"/>
      <sheetName val="Small_Bore_Star_Rate"/>
      <sheetName val="Summary_1FA_1GA"/>
      <sheetName val="TOTAL_SUMMARY_(2)"/>
      <sheetName val="Engg_4"/>
      <sheetName val="Engg_3"/>
      <sheetName val="Engg_2"/>
      <sheetName val="Engg_1"/>
      <sheetName val="Equip_Install"/>
      <sheetName val="DS_Detl"/>
      <sheetName val="DS_Breakdown"/>
      <sheetName val="Furnace_Tube_Welding"/>
      <sheetName val="Furnace_Installation"/>
      <sheetName val="Factor"/>
      <sheetName val="steel-gr"/>
      <sheetName val="DI-ESTI"/>
      <sheetName val="LIBRARY"/>
      <sheetName val="BS final"/>
      <sheetName val="Motor"/>
      <sheetName val="Motor_Data"/>
      <sheetName val="Break Down"/>
      <sheetName val="cable"/>
      <sheetName val="Data - Codes"/>
      <sheetName val="allowances"/>
      <sheetName val="OCT.FDN"/>
      <sheetName val="PM1005-R0"/>
      <sheetName val="MP MOB"/>
      <sheetName val="SECT-LIST"/>
      <sheetName val="Data"/>
      <sheetName val="CAT_5"/>
      <sheetName val="Y-WORK"/>
      <sheetName val="4"/>
      <sheetName val="Equipments"/>
      <sheetName val="eq_data"/>
      <sheetName val="HRSG PRINT"/>
      <sheetName val="Code 02"/>
      <sheetName val="Code 03"/>
      <sheetName val="Code 04"/>
      <sheetName val="Code 05"/>
      <sheetName val="Code 06"/>
      <sheetName val="Code 07"/>
      <sheetName val="Code 09"/>
      <sheetName val="Code03"/>
      <sheetName val="5-Digit"/>
      <sheetName val="MixBed"/>
      <sheetName val="CondPol"/>
      <sheetName val="Inputs"/>
      <sheetName val="BD"/>
      <sheetName val="당초"/>
      <sheetName val="Main"/>
      <sheetName val="Generic Type 1-2"/>
      <sheetName val="Main Works"/>
      <sheetName val="BOQ"/>
      <sheetName val="OTROS MO"/>
      <sheetName val="TOEC"/>
      <sheetName val="D-3503"/>
      <sheetName val="#REF"/>
      <sheetName val="SYSTEM 945 Air&amp;Nitrogen"/>
      <sheetName val="Cover"/>
      <sheetName val="Properties"/>
      <sheetName val="Stability Check"/>
      <sheetName val="Plant Areas"/>
      <sheetName val="Item Codes"/>
      <sheetName val="PipWT"/>
      <sheetName val="Emp_Data"/>
      <sheetName val="HEATER"/>
      <sheetName val="Instructions"/>
      <sheetName val="환산표"/>
      <sheetName val="4300 UTILITY BLDG (2)"/>
      <sheetName val="Cost_Sum1"/>
      <sheetName val="General_Notes1"/>
      <sheetName val="EF___AC1"/>
      <sheetName val="Total_Summary1"/>
      <sheetName val="Deluge_System1"/>
      <sheetName val="Large_Bore_Star_Rate1"/>
      <sheetName val="Small_Bore_Star_Rate1"/>
      <sheetName val="Summary_1FA_1GA1"/>
      <sheetName val="TOTAL_SUMMARY_(2)1"/>
      <sheetName val="Engg_41"/>
      <sheetName val="Engg_31"/>
      <sheetName val="Engg_21"/>
      <sheetName val="Engg_11"/>
      <sheetName val="Equip_Install1"/>
      <sheetName val="DS_Detl1"/>
      <sheetName val="DS_Breakdown1"/>
      <sheetName val="Furnace_Tube_Welding1"/>
      <sheetName val="Furnace_Installation1"/>
      <sheetName val="INDIRECT_COST-PART_l"/>
      <sheetName val="242-3_summaryOPC"/>
      <sheetName val="Schedule_S-Curve_Revision#3"/>
      <sheetName val="Elec_Codes"/>
      <sheetName val="Boiler_Norms"/>
      <sheetName val="BILLING SUMMARY"/>
      <sheetName val="Installation"/>
      <sheetName val="WORKSHEET"/>
      <sheetName val=" Summary"/>
      <sheetName val="MATL"/>
      <sheetName val="quitangquil"/>
      <sheetName val="sum"/>
      <sheetName val="Furnac��Installation"/>
      <sheetName val="Sch.6"/>
      <sheetName val="明細"/>
      <sheetName val="공사비 내역 (가)"/>
      <sheetName val="ITB COST"/>
      <sheetName val="1"/>
      <sheetName val="Consolidated"/>
      <sheetName val="Process Piping"/>
      <sheetName val="예산"/>
      <sheetName val="GVL"/>
      <sheetName val="INPUT DATA HERE"/>
      <sheetName val="SYSTEM_945_Air&amp;Nitrogen"/>
      <sheetName val="Code_02"/>
      <sheetName val="Code_03"/>
      <sheetName val="Code_04"/>
      <sheetName val="Code_05"/>
      <sheetName val="Code_06"/>
      <sheetName val="Code_07"/>
      <sheetName val="Code_09"/>
      <sheetName val="Stability_Check"/>
      <sheetName val="Plant_Areas"/>
      <sheetName val="Item_Codes"/>
      <sheetName val="OCT_FDN"/>
      <sheetName val="BS_final"/>
      <sheetName val="MP_MOB"/>
      <sheetName val="HRSG_PRINT"/>
      <sheetName val="Sch_6"/>
      <sheetName val="Final_Summary"/>
      <sheetName val="Generic_Type_1-2"/>
      <sheetName val="Break_Down"/>
      <sheetName val="Data_-_Codes"/>
      <sheetName val="4300_UTILITY_BLDG_(2)"/>
      <sheetName val="Main_Works"/>
      <sheetName val="TopSheet"/>
      <sheetName val="3.현장배치"/>
      <sheetName val="현장배치"/>
      <sheetName val="co-no.2"/>
      <sheetName val="노임단가"/>
      <sheetName val="A"/>
      <sheetName val="ring wall thickness"/>
      <sheetName val="ABUT수량-A1"/>
      <sheetName val="설계조건"/>
      <sheetName val="안정계산"/>
      <sheetName val="단면검토"/>
      <sheetName val="Proposal"/>
      <sheetName val="wage Cal"/>
      <sheetName val="운송비 및 보험료(991221)"/>
      <sheetName val="BOQ-Bill1-8"/>
      <sheetName val="차액보증"/>
      <sheetName val="plan&amp;section of foundation"/>
      <sheetName val="2002년12월"/>
      <sheetName val="Q827"/>
      <sheetName val="MH RATE"/>
      <sheetName val="Cost Per Unit"/>
      <sheetName val="Cost"/>
      <sheetName val="MMCR"/>
      <sheetName val="Lumpsum"/>
      <sheetName val="MRO"/>
      <sheetName val="Billing Curve"/>
      <sheetName val="PCS"/>
      <sheetName val="inter"/>
      <sheetName val="GP BOX"/>
      <sheetName val="look-up"/>
      <sheetName val="HRSG - Summary"/>
      <sheetName val="Area Lookup"/>
      <sheetName val="Lookup"/>
      <sheetName val="Norms"/>
      <sheetName val="정부노임단가"/>
      <sheetName val="BQ"/>
      <sheetName val="table"/>
      <sheetName val="analysis"/>
      <sheetName val="Reinforcements"/>
      <sheetName val="Parameters"/>
      <sheetName val="Sheet3"/>
      <sheetName val="5_Digit"/>
      <sheetName val="Cost_Sum2"/>
      <sheetName val="General_Notes2"/>
      <sheetName val="EF___AC2"/>
      <sheetName val="Total_Summary2"/>
      <sheetName val="Deluge_System2"/>
      <sheetName val="Large_Bore_Star_Rate2"/>
      <sheetName val="Small_Bore_Star_Rate2"/>
      <sheetName val="Summary_1FA_1GA2"/>
      <sheetName val="TOTAL_SUMMARY_(2)2"/>
      <sheetName val="Engg_42"/>
      <sheetName val="Engg_32"/>
      <sheetName val="Engg_22"/>
      <sheetName val="Engg_12"/>
      <sheetName val="Equip_Install2"/>
      <sheetName val="DS_Detl2"/>
      <sheetName val="DS_Breakdown2"/>
      <sheetName val="Furnace_Tube_Welding2"/>
      <sheetName val="Furnace_Installation2"/>
      <sheetName val="INDIRECT_COST-PART_l1"/>
      <sheetName val="242-3_summaryOPC1"/>
      <sheetName val="Elec_Codes1"/>
      <sheetName val="SYSTEM_945_Air&amp;Nitrogen1"/>
      <sheetName val="Code_021"/>
      <sheetName val="Code_031"/>
      <sheetName val="Code_041"/>
      <sheetName val="Code_051"/>
      <sheetName val="Code_061"/>
      <sheetName val="Code_071"/>
      <sheetName val="Code_091"/>
      <sheetName val="Stability_Check1"/>
      <sheetName val="Plant_Areas1"/>
      <sheetName val="Item_Codes1"/>
      <sheetName val="OCT_FDN1"/>
      <sheetName val="BS_final1"/>
      <sheetName val="MP_MOB1"/>
      <sheetName val="HRSG_PRINT1"/>
      <sheetName val="Sch_61"/>
      <sheetName val="Boiler_Norms1"/>
      <sheetName val="Final_Summary1"/>
      <sheetName val="Generic_Type_1-21"/>
      <sheetName val="Break_Down1"/>
      <sheetName val="Data_-_Codes1"/>
      <sheetName val="Schedule_S-Curve_Revision#31"/>
      <sheetName val="4300_UTILITY_BLDG_(2)1"/>
      <sheetName val="Main_Works1"/>
      <sheetName val="공사비_내역_(가)"/>
      <sheetName val="ITB_COST"/>
      <sheetName val="Process_Piping"/>
      <sheetName val="_Summary"/>
      <sheetName val="3_현장배치"/>
      <sheetName val="External Backlog"/>
      <sheetName val="UR"/>
      <sheetName val="물량산출근거"/>
      <sheetName val="Pl.OP-others"/>
      <sheetName val="96수출"/>
      <sheetName val="BOW"/>
      <sheetName val="Equipment_Database"/>
      <sheetName val="Cost Calc"/>
      <sheetName val="BLDG4"/>
      <sheetName val="EAST TOWER"/>
      <sheetName val="2 of 2"/>
      <sheetName val="Parameter"/>
      <sheetName val="BQ_Utl_Off"/>
      <sheetName val="合成単価作成表-BLDG"/>
      <sheetName val="Customer Databas"/>
      <sheetName val="Adimi bldg"/>
      <sheetName val="Pump House"/>
      <sheetName val="Fuel Regu Station"/>
      <sheetName val="insulation"/>
      <sheetName val="SHOP"/>
      <sheetName val="WEIGHT"/>
      <sheetName val="10.Linkway"/>
      <sheetName val="11.Bus Shelter-Bay"/>
      <sheetName val="bid price schedule"/>
      <sheetName val="D &amp; W sizes"/>
      <sheetName val="masonry works"/>
      <sheetName val="Bin"/>
      <sheetName val="PCSum"/>
      <sheetName val="PH 5"/>
      <sheetName val="CostSked"/>
      <sheetName val="Financing Schemes"/>
      <sheetName val="_Model A costs"/>
      <sheetName val="Model B costs"/>
      <sheetName val="Model C costs"/>
      <sheetName val="Main Bldg."/>
      <sheetName val="DD EST."/>
      <sheetName val="STAFFSCHED "/>
      <sheetName val="Division 3000"/>
      <sheetName val="PL Plumbing"/>
      <sheetName val="細目"/>
      <sheetName val="B1P2 Cover"/>
      <sheetName val="Book 1 Summary"/>
      <sheetName val="Preliminaries"/>
      <sheetName val="Design"/>
      <sheetName val="Warranties Rate Only"/>
      <sheetName val="equip"/>
      <sheetName val="GAE8'97"/>
      <sheetName val="Consumables"/>
      <sheetName val="Benchmark"/>
      <sheetName val="tabulation (comparison)"/>
      <sheetName val="Du_lieu"/>
      <sheetName val="Cost_Sum3"/>
      <sheetName val="General_Notes3"/>
      <sheetName val="EF___AC3"/>
      <sheetName val="INDIRECT_COST-PART_l2"/>
      <sheetName val="Total_Summary3"/>
      <sheetName val="Deluge_System3"/>
      <sheetName val="Large_Bore_Star_Rate3"/>
      <sheetName val="Small_Bore_Star_Rate3"/>
      <sheetName val="Summary_1FA_1GA3"/>
      <sheetName val="TOTAL_SUMMARY_(2)3"/>
      <sheetName val="Engg_43"/>
      <sheetName val="Engg_33"/>
      <sheetName val="Engg_23"/>
      <sheetName val="Engg_13"/>
      <sheetName val="Equip_Install3"/>
      <sheetName val="DS_Detl3"/>
      <sheetName val="DS_Breakdown3"/>
      <sheetName val="Furnace_Tube_Welding3"/>
      <sheetName val="Furnace_Installation3"/>
      <sheetName val="OCT_FDN2"/>
      <sheetName val="BS_final2"/>
      <sheetName val="MP_MOB2"/>
      <sheetName val="HRSG_PRINT2"/>
      <sheetName val="Code_022"/>
      <sheetName val="Code_032"/>
      <sheetName val="Code_042"/>
      <sheetName val="Code_052"/>
      <sheetName val="Code_062"/>
      <sheetName val="Code_072"/>
      <sheetName val="Code_092"/>
      <sheetName val="4300_UTILITY_BLDG_(2)2"/>
      <sheetName val="242-3_summaryOPC2"/>
      <sheetName val="Elec_Codes2"/>
      <sheetName val="Boiler_Norms2"/>
      <sheetName val="Break_Down2"/>
      <sheetName val="Data_-_Codes2"/>
      <sheetName val="Schedule_S-Curve_Revision#32"/>
      <sheetName val="Final_Summary2"/>
      <sheetName val="Generic_Type_1-22"/>
      <sheetName val="SYSTEM_945_Air&amp;Nitrogen2"/>
      <sheetName val="Stability_Check2"/>
      <sheetName val="Plant_Areas2"/>
      <sheetName val="Item_Codes2"/>
      <sheetName val="Sch_62"/>
      <sheetName val="Main_Works2"/>
      <sheetName val="공사비_내역_(가)1"/>
      <sheetName val="ITB_COST1"/>
      <sheetName val="Process_Piping1"/>
      <sheetName val="_Summary1"/>
      <sheetName val="3_현장배치1"/>
      <sheetName val="co-no_2"/>
      <sheetName val="ring_wall_thickness"/>
      <sheetName val="OTROS_MO"/>
      <sheetName val="BILLING_SUMMARY"/>
      <sheetName val="wage_Cal"/>
      <sheetName val="운송비_및_보험료(991221)"/>
      <sheetName val="plan&amp;section_of_foundation"/>
      <sheetName val="MH_RATE"/>
      <sheetName val="Cost_Per_Unit"/>
      <sheetName val="Billing_Curve"/>
      <sheetName val="GP_BOX"/>
      <sheetName val="HRSG_-_Summary"/>
      <sheetName val="Area_Lookup"/>
      <sheetName val="INPUT_DATA_HERE"/>
      <sheetName val="Pl_OP-others"/>
      <sheetName val="Cost_Sum4"/>
      <sheetName val="General_Notes4"/>
      <sheetName val="EF___AC4"/>
      <sheetName val="INDIRECT_COST-PART_l3"/>
      <sheetName val="Total_Summary4"/>
      <sheetName val="Deluge_System4"/>
      <sheetName val="Large_Bore_Star_Rate4"/>
      <sheetName val="Small_Bore_Star_Rate4"/>
      <sheetName val="Summary_1FA_1GA4"/>
      <sheetName val="TOTAL_SUMMARY_(2)4"/>
      <sheetName val="Engg_44"/>
      <sheetName val="Engg_34"/>
      <sheetName val="Engg_24"/>
      <sheetName val="Engg_14"/>
      <sheetName val="Equip_Install4"/>
      <sheetName val="DS_Detl4"/>
      <sheetName val="DS_Breakdown4"/>
      <sheetName val="Furnace_Tube_Welding4"/>
      <sheetName val="Furnace_Installation4"/>
      <sheetName val="OCT_FDN3"/>
      <sheetName val="BS_final3"/>
      <sheetName val="MP_MOB3"/>
      <sheetName val="HRSG_PRINT3"/>
      <sheetName val="Code_023"/>
      <sheetName val="Code_033"/>
      <sheetName val="Code_043"/>
      <sheetName val="Code_053"/>
      <sheetName val="Code_063"/>
      <sheetName val="Code_073"/>
      <sheetName val="Code_093"/>
      <sheetName val="4300_UTILITY_BLDG_(2)3"/>
      <sheetName val="242-3_summaryOPC3"/>
      <sheetName val="Elec_Codes3"/>
      <sheetName val="Boiler_Norms3"/>
      <sheetName val="Break_Down3"/>
      <sheetName val="Data_-_Codes3"/>
      <sheetName val="Schedule_S-Curve_Revision#33"/>
      <sheetName val="Final_Summary3"/>
      <sheetName val="Generic_Type_1-23"/>
      <sheetName val="SYSTEM_945_Air&amp;Nitrogen3"/>
      <sheetName val="Stability_Check3"/>
      <sheetName val="Plant_Areas3"/>
      <sheetName val="Item_Codes3"/>
      <sheetName val="Sch_63"/>
      <sheetName val="Main_Works3"/>
      <sheetName val="공사비_내역_(가)2"/>
      <sheetName val="ITB_COST2"/>
      <sheetName val="Process_Piping2"/>
      <sheetName val="_Summary2"/>
      <sheetName val="3_현장배치2"/>
      <sheetName val="co-no_21"/>
      <sheetName val="ring_wall_thickness1"/>
      <sheetName val="OTROS_MO1"/>
      <sheetName val="BILLING_SUMMARY1"/>
      <sheetName val="wage_Cal1"/>
      <sheetName val="운송비_및_보험료(991221)1"/>
      <sheetName val="plan&amp;section_of_foundation1"/>
      <sheetName val="MH_RATE1"/>
      <sheetName val="Cost_Per_Unit1"/>
      <sheetName val="Billing_Curve1"/>
      <sheetName val="GP_BOX1"/>
      <sheetName val="HRSG_-_Summary1"/>
      <sheetName val="Area_Lookup1"/>
      <sheetName val="INPUT_DATA_HERE1"/>
      <sheetName val="Pl_OP-others1"/>
      <sheetName val="電源計画"/>
      <sheetName val="가격분석@1100(990104)"/>
      <sheetName val="Escalation"/>
      <sheetName val="PROCURE"/>
      <sheetName val="HORI. VESSEL"/>
      <sheetName val="2.설계제원"/>
      <sheetName val="RAFIDIYA-Main"/>
      <sheetName val="Races"/>
      <sheetName val="영업소실적"/>
      <sheetName val="roject\Budget Files\Final\CIVIL"/>
      <sheetName val="\_x0000__x0000_à_x0000_C:\Documents and Settings\"/>
      <sheetName val="Piping Data"/>
      <sheetName val="Piping Tables"/>
      <sheetName val="Transport"/>
      <sheetName val="SteelDatabase"/>
      <sheetName val="Conn"/>
      <sheetName val="Cash Flow"/>
      <sheetName val="Plate Welding Table"/>
      <sheetName val="Inst."/>
      <sheetName val="Resources"/>
      <sheetName val="calc"/>
      <sheetName val="PRICE-COMP"/>
      <sheetName val="기계내역서"/>
      <sheetName val="RAB"/>
      <sheetName val="Instrument"/>
      <sheetName val="HSEQP"/>
      <sheetName val="HSPIPING"/>
      <sheetName val="FORM 3A"/>
      <sheetName val="Analisa 2"/>
      <sheetName val="Pipe"/>
      <sheetName val="LLEGADA"/>
      <sheetName val="Do not delete"/>
      <sheetName val="Drop Down list"/>
      <sheetName val="DESBAST"/>
      <sheetName val="Summary Sheets"/>
      <sheetName val="Summary WG"/>
      <sheetName val="Concrete"/>
      <sheetName val="Background"/>
      <sheetName val="BOQ "/>
      <sheetName val="RSB_RATIO"/>
      <sheetName val="GEN REQ"/>
      <sheetName val="SD and START UP"/>
      <sheetName val="BR -CHINA BANK 2"/>
      <sheetName val="UCD"/>
      <sheetName val="LABOR"/>
      <sheetName val="PROD.RATE"/>
      <sheetName val="MATERIAL"/>
      <sheetName val="pump flr"/>
      <sheetName val="notes"/>
      <sheetName val="SUBCON"/>
      <sheetName val="[Civil.xls][Civil.xls][Civil.xl"/>
      <sheetName val="firepro - bpo"/>
      <sheetName val="CFA"/>
      <sheetName val="FINISHES"/>
      <sheetName val="L(1)"/>
      <sheetName val="L(3)"/>
      <sheetName val="L(4)"/>
      <sheetName val="BOQ-MAPLE(a)"/>
      <sheetName val="2.678M"/>
      <sheetName val="공사계획서"/>
      <sheetName val="품셈표"/>
      <sheetName val="External_Backlog"/>
      <sheetName val="Adimi_bldg"/>
      <sheetName val="Pump_House"/>
      <sheetName val="Fuel_Regu_Station"/>
      <sheetName val="masonry_works"/>
      <sheetName val="PH_5"/>
      <sheetName val="Financing_Schemes"/>
      <sheetName val="_Model_A_costs"/>
      <sheetName val="Model_B_costs"/>
      <sheetName val="Model_C_costs"/>
      <sheetName val="Main_Bldg_"/>
      <sheetName val="Cost_Calc"/>
      <sheetName val="EAST_TOWER"/>
      <sheetName val="2_of_2"/>
      <sheetName val="Customer_Databas"/>
      <sheetName val="PL_Plumbing"/>
      <sheetName val="DD_EST_"/>
      <sheetName val="Division_3000"/>
      <sheetName val="STAFFSCHED_"/>
      <sheetName val="B1P2_Cover"/>
      <sheetName val="Book_1_Summary"/>
      <sheetName val="Warranties_Rate_Only"/>
      <sheetName val="NSC"/>
      <sheetName val="SCV P1A - Shared Cost"/>
      <sheetName val="Hac.Lots"/>
      <sheetName val="Res.Lots"/>
      <sheetName val="Sheet7"/>
      <sheetName val=" Preliminaries"/>
      <sheetName val="TOWER 3&amp;4"/>
      <sheetName val="pwr"/>
      <sheetName val="Masterlist"/>
      <sheetName val="feeder"/>
      <sheetName val="ltg (3)"/>
      <sheetName val="para"/>
      <sheetName val="PA BGM"/>
      <sheetName val="CCTV"/>
      <sheetName val="CATV"/>
      <sheetName val="TEL"/>
      <sheetName val="roject_Budget Files_Final_CIVIL"/>
      <sheetName val="_"/>
      <sheetName val="_Civil.xls__Civil.xls__Civil.xl"/>
      <sheetName val="QTO"/>
      <sheetName val="Forecasts_VDF"/>
      <sheetName val="LIST"/>
      <sheetName val="Concrete-UPA"/>
      <sheetName val="CORRECTED"/>
      <sheetName val="SUMMARY (2)"/>
      <sheetName val="SUMDIV"/>
      <sheetName val="Bill 1"/>
      <sheetName val="Bill 2A"/>
      <sheetName val="Bill 2B"/>
      <sheetName val="Bill 2C"/>
      <sheetName val="Bill 2C.1"/>
      <sheetName val="Bill 2D"/>
      <sheetName val="Bill 2E"/>
      <sheetName val="Bill 2F"/>
      <sheetName val="SUNDRIES - 2A"/>
      <sheetName val="Base_Data"/>
      <sheetName val="\"/>
      <sheetName val="王曲600MWBQ"/>
      <sheetName val="LOADS"/>
      <sheetName val="FINAL NEGO"/>
      <sheetName val="DISCUSSION"/>
      <sheetName val="SIGN-OFF"/>
      <sheetName val="[Civil.xls][Civil.xls]roject\Bu"/>
      <sheetName val="[Civil.xls][Civil.xls]\_x0000__x0000_à_x0000_C:\D"/>
      <sheetName val="[Civil.xls]roject\Budget Files\"/>
      <sheetName val="[Civil.xls]\_x0000__x0000_à_x0000_C:\Documents an"/>
      <sheetName val="Manpower costs + data"/>
      <sheetName val="FX"/>
      <sheetName val="DATABASE"/>
      <sheetName val="Labor Rate"/>
      <sheetName val="gencon_9_18"/>
      <sheetName val="Land Dev't. Ph-1"/>
      <sheetName val="subcon sched"/>
      <sheetName val="RMHS"/>
      <sheetName val="MechIndex"/>
      <sheetName val="[Civil.xls]\"/>
      <sheetName val="[Civil.xls][Civil.xls]\"/>
      <sheetName val="[Civil.xls]roject_Budget_File_2"/>
      <sheetName val="[Civil.xls]_____C__Documents__2"/>
      <sheetName val="[Civil.xls][Civil.xls]_Civil__2"/>
      <sheetName val="[Civil.xls][Civil.xls]_Civil__3"/>
      <sheetName val="[Civil.xls][Civil.xls]roject__2"/>
      <sheetName val="[Civil.xls][Civil.xls]_____C__2"/>
    </sheetNames>
    <sheetDataSet>
      <sheetData sheetId="0">
        <row r="2">
          <cell r="A2" t="str">
            <v>DMCI</v>
          </cell>
        </row>
      </sheetData>
      <sheetData sheetId="1">
        <row r="2">
          <cell r="A2" t="str">
            <v>DMCI</v>
          </cell>
        </row>
      </sheetData>
      <sheetData sheetId="2"/>
      <sheetData sheetId="3"/>
      <sheetData sheetId="4" refreshError="1"/>
      <sheetData sheetId="5" refreshError="1"/>
      <sheetData sheetId="6"/>
      <sheetData sheetId="7"/>
      <sheetData sheetId="8"/>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sheetData sheetId="166"/>
      <sheetData sheetId="167"/>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sheetData sheetId="326"/>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refreshError="1"/>
      <sheetData sheetId="467" refreshError="1"/>
      <sheetData sheetId="468" refreshError="1"/>
      <sheetData sheetId="469"/>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sheetData sheetId="510"/>
      <sheetData sheetId="511"/>
      <sheetData sheetId="512"/>
      <sheetData sheetId="513"/>
      <sheetData sheetId="514"/>
      <sheetData sheetId="515"/>
      <sheetData sheetId="516" refreshError="1"/>
      <sheetData sheetId="517"/>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refreshError="1"/>
      <sheetData sheetId="550" refreshError="1"/>
      <sheetData sheetId="551" refreshError="1"/>
      <sheetData sheetId="552" refreshError="1"/>
      <sheetData sheetId="553" refreshError="1"/>
      <sheetData sheetId="554"/>
      <sheetData sheetId="555"/>
      <sheetData sheetId="556"/>
      <sheetData sheetId="557"/>
      <sheetData sheetId="558"/>
      <sheetData sheetId="559"/>
      <sheetData sheetId="560"/>
      <sheetData sheetId="56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sheetData sheetId="573"/>
      <sheetData sheetId="574"/>
      <sheetData sheetId="575"/>
      <sheetData sheetId="576"/>
      <sheetData sheetId="577"/>
      <sheetData sheetId="578"/>
      <sheetData sheetId="579"/>
      <sheetData sheetId="580"/>
      <sheetData sheetId="581"/>
      <sheetData sheetId="582"/>
      <sheetData sheetId="583"/>
      <sheetData sheetId="584" refreshError="1"/>
      <sheetData sheetId="585"/>
      <sheetData sheetId="586" refreshError="1"/>
      <sheetData sheetId="587" refreshError="1"/>
      <sheetData sheetId="588"/>
      <sheetData sheetId="589"/>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sheetData sheetId="606" refreshError="1"/>
      <sheetData sheetId="607" refreshError="1"/>
      <sheetData sheetId="608" refreshError="1"/>
      <sheetData sheetId="609" refreshError="1"/>
      <sheetData sheetId="610" refreshError="1"/>
      <sheetData sheetId="611"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 COST"/>
      <sheetName val="LABCOST"/>
      <sheetName val="GEN. NOTES"/>
      <sheetName val="BM"/>
      <sheetName val="BoM"/>
      <sheetName val="R.Lab Cos"/>
      <sheetName val="TUAS_2"/>
      <sheetName val="Testing"/>
      <sheetName val="Bin"/>
      <sheetName val="spreadsheet"/>
      <sheetName val="UR"/>
      <sheetName val="Sheet1"/>
      <sheetName val="Base_Data"/>
      <sheetName val="Sheet3"/>
      <sheetName val="Sheet2"/>
      <sheetName val="Inputs"/>
      <sheetName val="FIELD"/>
      <sheetName val="SHOP"/>
      <sheetName val="WEIGH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T"/>
      <sheetName val="M&amp;E"/>
      <sheetName val="PQTY"/>
      <sheetName val="Master BOC"/>
      <sheetName val="Project Info"/>
      <sheetName val="CA SUMMARY"/>
      <sheetName val="Pro-rated item (LTA)"/>
      <sheetName val="Pro-rated item (T1)"/>
      <sheetName val="Pro-rated item (T2)"/>
      <sheetName val="Pro-rated item (T3)"/>
      <sheetName val="1.Widened Road"/>
      <sheetName val="2.New Road"/>
      <sheetName val="3.Widened Flyover"/>
      <sheetName val="4.New Flyover"/>
      <sheetName val="5.Widened Veh Bridge"/>
      <sheetName val="6.New Veh Bridge "/>
      <sheetName val="7.Widened Veh Viaduct"/>
      <sheetName val="8.New Veh Viaduct"/>
      <sheetName val="9.POB"/>
      <sheetName val="10.Linkway"/>
      <sheetName val="11.Bus Shelter-Bay"/>
      <sheetName val="Ped Underpass"/>
      <sheetName val="Veh Underpass"/>
      <sheetName val="bid price schedule"/>
      <sheetName val="BOQ-M"/>
      <sheetName val="LABCOST"/>
      <sheetName val="Sheet3"/>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M"/>
      <sheetName val="NET-COST"/>
      <sheetName val="MATERIAL SHEET"/>
      <sheetName val="TABLE OF BUDGET (derive)"/>
      <sheetName val="TABLE OF BUDGET"/>
      <sheetName val="TABLE OF BUDGET (3.5)"/>
      <sheetName val="xTABLE OF BUDGET (E-M)"/>
      <sheetName val="SITEEXPENSES"/>
      <sheetName val="D &amp; W sizes"/>
      <sheetName val="MATERIAL_SHEET"/>
      <sheetName val="TABLE_OF_BUDGET_(derive)"/>
      <sheetName val="TABLE_OF_BUDGET"/>
      <sheetName val="TABLE_OF_BUDGET_(3_5)"/>
      <sheetName val="xTABLE_OF_BUDGET_(E-M)"/>
      <sheetName val="D_&amp;_W_sizes"/>
      <sheetName val="MATERIAL_SHEET1"/>
      <sheetName val="TABLE_OF_BUDGET_(derive)1"/>
      <sheetName val="TABLE_OF_BUDGET1"/>
      <sheetName val="TABLE_OF_BUDGET_(3_5)1"/>
      <sheetName val="xTABLE_OF_BUDGET_(E-M)1"/>
      <sheetName val="D_&amp;_W_sizes1"/>
      <sheetName val="BOQ"/>
      <sheetName val="ProgRate"/>
      <sheetName val="Piping"/>
      <sheetName val="細目"/>
      <sheetName val="CD_LC"/>
      <sheetName val="MATL"/>
      <sheetName val="Sec2 - Earthworks"/>
      <sheetName val="Factor"/>
      <sheetName val="slab"/>
      <sheetName val="Bin"/>
      <sheetName val="Sheet1"/>
      <sheetName val="BUMP"/>
      <sheetName val="GNF-M01"/>
      <sheetName val="MATERIAL_SHEET2"/>
      <sheetName val="TABLE_OF_BUDGET_(derive)2"/>
      <sheetName val="TABLE_OF_BUDGET2"/>
      <sheetName val="TABLE_OF_BUDGET_(3_5)2"/>
      <sheetName val="xTABLE_OF_BUDGET_(E-M)2"/>
      <sheetName val="D_&amp;_W_sizes2"/>
      <sheetName val="Sec2_-_Earthworks"/>
      <sheetName val="SHTQTMI"/>
      <sheetName val="MEG-Unit"/>
      <sheetName val="VLOOKUP"/>
      <sheetName val="Bill No 6 Koord &amp; Attendance"/>
      <sheetName val="철거산출근거"/>
      <sheetName val="LABCOST"/>
      <sheetName val="BM"/>
    </sheetNames>
    <sheetDataSet>
      <sheetData sheetId="0" refreshError="1">
        <row r="3">
          <cell r="N3">
            <v>1.05</v>
          </cell>
        </row>
        <row r="5">
          <cell r="N5">
            <v>1.5</v>
          </cell>
        </row>
        <row r="7">
          <cell r="N7">
            <v>1.1000000000000001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UM"/>
      <sheetName val="breakdown"/>
      <sheetName val="breakdown  - OTHERS"/>
      <sheetName val="BM"/>
      <sheetName val="SUMMARY"/>
      <sheetName val="daywork"/>
      <sheetName val="quotation"/>
      <sheetName val="10.Linkway"/>
      <sheetName val="11.Bus Shelter-Bay"/>
      <sheetName val="bid price schedule"/>
    </sheetNames>
    <sheetDataSet>
      <sheetData sheetId="0" refreshError="1"/>
      <sheetData sheetId="1"/>
      <sheetData sheetId="2"/>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E(client)"/>
      <sheetName val="BOQ-E(spi)(x)"/>
      <sheetName val="BOQ-E.Net"/>
      <sheetName val="SPI.SiteExpense"/>
      <sheetName val="SPI.MaterialSheet"/>
      <sheetName val="TABLE OF BUDGET"/>
      <sheetName val="TABLE OF BUDGET (EM)"/>
      <sheetName val="INDIRECT COST"/>
      <sheetName val="BOQ-M"/>
      <sheetName val="SunPower-5e-01"/>
      <sheetName val="BOQ-E_Net"/>
      <sheetName val="SPI_SiteExpense"/>
      <sheetName val="SPI_MaterialSheet"/>
      <sheetName val="TABLE_OF_BUDGET"/>
      <sheetName val="TABLE_OF_BUDGET_(EM)"/>
      <sheetName val="INDIRECT_COST"/>
      <sheetName val="DATA"/>
      <sheetName val="Sheet1"/>
      <sheetName val="LABCOST"/>
    </sheetNames>
    <sheetDataSet>
      <sheetData sheetId="0"/>
      <sheetData sheetId="1" refreshError="1">
        <row r="6">
          <cell r="AA6">
            <v>1.05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見積書 8月５日提出"/>
      <sheetName val="見積書 8月７日変更"/>
      <sheetName val="表紙"/>
      <sheetName val="表紙 (2)"/>
      <sheetName val="見積書 11月20日"/>
      <sheetName val="細目"/>
      <sheetName val="見積書 11月20日 連動"/>
      <sheetName val="ドル移行"/>
      <sheetName val="準備期間経費"/>
      <sheetName val="見積金額一覧表"/>
      <sheetName val="BOQ-E"/>
      <sheetName val="STAFFSCHED "/>
      <sheetName val="BOQ-E(spi)(x)"/>
      <sheetName val="2000전체분"/>
      <sheetName val="2000년1차"/>
      <sheetName val="터널조도"/>
      <sheetName val="spi"/>
      <sheetName val="#REF"/>
      <sheetName val="july"/>
      <sheetName val="aug"/>
      <sheetName val="12-SUN"/>
      <sheetName val="11-ACT"/>
      <sheetName val="19-SUN"/>
      <sheetName val="18-ACT"/>
      <sheetName val="25-ACT"/>
      <sheetName val="0902"/>
      <sheetName val="0909"/>
      <sheetName val="0923"/>
      <sheetName val="0929"/>
      <sheetName val="1007"/>
      <sheetName val="1014"/>
      <sheetName val="1021"/>
      <sheetName val="1104"/>
      <sheetName val="1111"/>
      <sheetName val="1118"/>
      <sheetName val="1125"/>
      <sheetName val="DEC 2"/>
      <sheetName val="DEC 9"/>
      <sheetName val="KOYO提出見積書 "/>
      <sheetName val="Sheet1"/>
      <sheetName val="bo"/>
      <sheetName val="BOQ"/>
      <sheetName val="SKED"/>
      <sheetName val="BUDGET"/>
      <sheetName val="TABLE"/>
      <sheetName val="횡배수관토공수량"/>
      <sheetName val="TOSHIBA-Structure"/>
      <sheetName val="Adimi bldg"/>
      <sheetName val="Pump House"/>
      <sheetName val="Fuel Regu Station"/>
      <sheetName val="GFA"/>
      <sheetName val="DPA GENREQ "/>
      <sheetName val="일위집계표"/>
      <sheetName val="Y-WORK"/>
      <sheetName val="DATA"/>
      <sheetName val="PO2"/>
      <sheetName val="JO2"/>
      <sheetName val="CONTRACT2"/>
      <sheetName val="DATA-UPS"/>
      <sheetName val="Manpower (M)"/>
      <sheetName val="DATA VALIDATION"/>
      <sheetName val="BOQ-E1.Net(disc)"/>
      <sheetName val="정부노임단가"/>
      <sheetName val="수량산출서"/>
      <sheetName val="Rate"/>
      <sheetName val="배관단가조사서"/>
      <sheetName val="Summary"/>
      <sheetName val="Manpower (E)"/>
      <sheetName val=" Manpower Sched (E) (2)"/>
      <sheetName val="BQ_Methanol"/>
      <sheetName val="PipWT"/>
      <sheetName val="Crew"/>
      <sheetName val="Capex &amp; WC Ass."/>
      <sheetName val="품셈TABLE"/>
      <sheetName val="BOQ-M"/>
    </sheetNames>
    <sheetDataSet>
      <sheetData sheetId="0" refreshError="1"/>
      <sheetData sheetId="1" refreshError="1"/>
      <sheetData sheetId="2" refreshError="1"/>
      <sheetData sheetId="3" refreshError="1"/>
      <sheetData sheetId="4" refreshError="1"/>
      <sheetData sheetId="5" refreshError="1">
        <row r="18">
          <cell r="G18">
            <v>1676525</v>
          </cell>
          <cell r="K18">
            <v>1318131</v>
          </cell>
        </row>
        <row r="65">
          <cell r="G65">
            <v>28464545</v>
          </cell>
          <cell r="K65">
            <v>25428576</v>
          </cell>
        </row>
        <row r="95">
          <cell r="G95">
            <v>5553075</v>
          </cell>
          <cell r="K95">
            <v>6863691</v>
          </cell>
          <cell r="S95">
            <v>0</v>
          </cell>
        </row>
        <row r="105">
          <cell r="G105">
            <v>2751128</v>
          </cell>
          <cell r="K105">
            <v>2535478</v>
          </cell>
        </row>
        <row r="167">
          <cell r="G167">
            <v>2641797</v>
          </cell>
          <cell r="K167">
            <v>2116006</v>
          </cell>
          <cell r="S167">
            <v>0</v>
          </cell>
        </row>
        <row r="176">
          <cell r="G176">
            <v>524722</v>
          </cell>
          <cell r="K176">
            <v>310250</v>
          </cell>
        </row>
        <row r="184">
          <cell r="G184">
            <v>3283143</v>
          </cell>
          <cell r="K184">
            <v>3331067</v>
          </cell>
        </row>
        <row r="204">
          <cell r="G204">
            <v>4697309</v>
          </cell>
          <cell r="K204">
            <v>5406195</v>
          </cell>
        </row>
        <row r="260">
          <cell r="G260">
            <v>2243679</v>
          </cell>
          <cell r="K260">
            <v>2439044</v>
          </cell>
          <cell r="S260">
            <v>0</v>
          </cell>
        </row>
        <row r="273">
          <cell r="G273">
            <v>5751959</v>
          </cell>
          <cell r="K273">
            <v>6060343</v>
          </cell>
          <cell r="S273">
            <v>0</v>
          </cell>
        </row>
        <row r="314">
          <cell r="G314">
            <v>5131639</v>
          </cell>
          <cell r="K314">
            <v>4820325</v>
          </cell>
        </row>
        <row r="355">
          <cell r="G355">
            <v>203807</v>
          </cell>
          <cell r="K355">
            <v>140389</v>
          </cell>
        </row>
        <row r="395">
          <cell r="G395">
            <v>4465586</v>
          </cell>
          <cell r="K395">
            <v>4488090</v>
          </cell>
        </row>
        <row r="416">
          <cell r="G416">
            <v>566488</v>
          </cell>
          <cell r="K416">
            <v>656526</v>
          </cell>
        </row>
        <row r="426">
          <cell r="G426">
            <v>1074207</v>
          </cell>
          <cell r="K426">
            <v>588150</v>
          </cell>
        </row>
        <row r="452">
          <cell r="G452">
            <v>1128912</v>
          </cell>
          <cell r="K452">
            <v>1086526</v>
          </cell>
          <cell r="S452">
            <v>0</v>
          </cell>
        </row>
        <row r="463">
          <cell r="G463">
            <v>171693</v>
          </cell>
          <cell r="K463">
            <v>551957</v>
          </cell>
        </row>
        <row r="486">
          <cell r="G486">
            <v>559216</v>
          </cell>
          <cell r="K486">
            <v>1038209</v>
          </cell>
        </row>
        <row r="504">
          <cell r="G504">
            <v>1359584</v>
          </cell>
          <cell r="K504">
            <v>1661450</v>
          </cell>
        </row>
        <row r="549">
          <cell r="G549">
            <v>253908</v>
          </cell>
          <cell r="K549">
            <v>1241361</v>
          </cell>
          <cell r="S549">
            <v>0</v>
          </cell>
        </row>
        <row r="563">
          <cell r="G563">
            <v>800684</v>
          </cell>
          <cell r="K563">
            <v>1118244</v>
          </cell>
        </row>
        <row r="584">
          <cell r="G584">
            <v>129139</v>
          </cell>
          <cell r="K584">
            <v>1060922</v>
          </cell>
        </row>
        <row r="631">
          <cell r="G631">
            <v>242653</v>
          </cell>
          <cell r="K631">
            <v>273810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reakdown"/>
      <sheetName val="NS(PHP)"/>
      <sheetName val="ODC"/>
      <sheetName val="NS(USD)"/>
      <sheetName val="細目"/>
      <sheetName val="CALCULATION"/>
      <sheetName val="터널조도"/>
      <sheetName val="Sheet1"/>
      <sheetName val="BOQ-E(spi)(x)"/>
    </sheetNames>
    <sheetDataSet>
      <sheetData sheetId="0"/>
      <sheetData sheetId="1" refreshError="1">
        <row r="1">
          <cell r="A1" t="str">
            <v>ITEM</v>
          </cell>
          <cell r="B1" t="str">
            <v>DESCRIPTION</v>
          </cell>
          <cell r="C1" t="str">
            <v>QTY</v>
          </cell>
          <cell r="D1" t="str">
            <v>UNIT</v>
          </cell>
          <cell r="E1" t="str">
            <v>NS</v>
          </cell>
          <cell r="F1" t="str">
            <v>PHP</v>
          </cell>
          <cell r="H1" t="str">
            <v>USD</v>
          </cell>
          <cell r="I1">
            <v>1</v>
          </cell>
          <cell r="J1" t="str">
            <v>Labor</v>
          </cell>
          <cell r="L1">
            <v>1</v>
          </cell>
          <cell r="M1" t="str">
            <v>MATERIAL COST (PESO)</v>
          </cell>
          <cell r="O1" t="str">
            <v>MATERIAL COST (US DOLLAR)</v>
          </cell>
          <cell r="Q1">
            <v>1</v>
          </cell>
          <cell r="R1" t="str">
            <v>php</v>
          </cell>
          <cell r="S1" t="str">
            <v>Mat'ls.</v>
          </cell>
        </row>
      </sheetData>
      <sheetData sheetId="2"/>
      <sheetData sheetId="3"/>
      <sheetData sheetId="4"/>
      <sheetData sheetId="5" refreshError="1"/>
      <sheetData sheetId="6" refreshError="1"/>
      <sheetData sheetId="7" refreshError="1"/>
      <sheetData sheetId="8" refreshError="1"/>
      <sheetData sheetId="9"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otation"/>
      <sheetName val="SITE EXPENSE"/>
      <sheetName val="SUMMARY"/>
      <sheetName val="Summary of Prices"/>
      <sheetName val="electrical"/>
      <sheetName val="plant &amp; warehouse"/>
      <sheetName val="MATERIAL'S PRICE"/>
      <sheetName val="Sheet Pile"/>
      <sheetName val="LABCOST"/>
      <sheetName val="LIBRARY"/>
      <sheetName val="BOQ-M"/>
      <sheetName val="BM"/>
      <sheetName val="remaining billing"/>
      <sheetName val="BQMPALOC"/>
      <sheetName val="B"/>
      <sheetName val="FitOutConfCentre"/>
      <sheetName val="GAE8'97"/>
      <sheetName val="(COV)"/>
      <sheetName val="Computed Floor Area"/>
      <sheetName val="Division 3000"/>
      <sheetName val="Breakdown"/>
      <sheetName val="細目"/>
    </sheetNames>
    <sheetDataSet>
      <sheetData sheetId="0" refreshError="1"/>
      <sheetData sheetId="1"/>
      <sheetData sheetId="2"/>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PID"/>
      <sheetName val="Net-Sell"/>
      <sheetName val="Breakdown"/>
      <sheetName val="A5701-B02(Matex Upgrade Power S"/>
      <sheetName val="STAFFSCHED "/>
      <sheetName val="TOSHIBA-Structure"/>
      <sheetName val="electrical"/>
    </sheetNames>
    <sheetDataSet>
      <sheetData sheetId="0"/>
      <sheetData sheetId="1" refreshError="1">
        <row r="1">
          <cell r="B1">
            <v>4570318.1636363631</v>
          </cell>
        </row>
        <row r="2">
          <cell r="B2">
            <v>5957409.7263000002</v>
          </cell>
        </row>
        <row r="3">
          <cell r="A3" t="str">
            <v>TAIKISHA PHILIPPINES INC.</v>
          </cell>
        </row>
        <row r="4">
          <cell r="A4" t="str">
            <v>PROJECT I/D CARD</v>
          </cell>
        </row>
        <row r="5">
          <cell r="A5" t="str">
            <v>NO.</v>
          </cell>
          <cell r="B5" t="str">
            <v>ITEM</v>
          </cell>
          <cell r="I5">
            <v>0</v>
          </cell>
        </row>
        <row r="6">
          <cell r="A6">
            <v>1</v>
          </cell>
          <cell r="B6" t="str">
            <v>JOB  NO.</v>
          </cell>
          <cell r="C6" t="str">
            <v>A</v>
          </cell>
          <cell r="D6">
            <v>5</v>
          </cell>
          <cell r="E6">
            <v>7</v>
          </cell>
          <cell r="F6">
            <v>0</v>
          </cell>
          <cell r="G6">
            <v>1</v>
          </cell>
          <cell r="H6" t="str">
            <v>-</v>
          </cell>
          <cell r="I6" t="str">
            <v>B</v>
          </cell>
          <cell r="J6">
            <v>0</v>
          </cell>
          <cell r="K6">
            <v>2</v>
          </cell>
        </row>
        <row r="7">
          <cell r="A7">
            <v>2</v>
          </cell>
          <cell r="B7" t="str">
            <v>AGREEMENT STATUS</v>
          </cell>
          <cell r="C7" t="str">
            <v>A</v>
          </cell>
        </row>
        <row r="8">
          <cell r="A8">
            <v>3</v>
          </cell>
          <cell r="B8" t="str">
            <v>CUSTOMER CODE</v>
          </cell>
          <cell r="C8" t="str">
            <v>C</v>
          </cell>
        </row>
        <row r="9">
          <cell r="A9">
            <v>4</v>
          </cell>
          <cell r="B9" t="str">
            <v>OWNER CODE</v>
          </cell>
          <cell r="C9" t="str">
            <v>C</v>
          </cell>
        </row>
        <row r="10">
          <cell r="A10">
            <v>5</v>
          </cell>
          <cell r="B10" t="str">
            <v>SITE NAME</v>
          </cell>
          <cell r="C10" t="str">
            <v>M</v>
          </cell>
          <cell r="D10" t="str">
            <v>A</v>
          </cell>
          <cell r="E10" t="str">
            <v>T</v>
          </cell>
        </row>
        <row r="11">
          <cell r="A11">
            <v>6</v>
          </cell>
          <cell r="B11" t="str">
            <v>JOB NAME (TITLE)</v>
          </cell>
          <cell r="C11" t="str">
            <v>I</v>
          </cell>
          <cell r="D11" t="str">
            <v>N</v>
          </cell>
          <cell r="E11" t="str">
            <v>C</v>
          </cell>
        </row>
        <row r="12">
          <cell r="A12">
            <v>7</v>
          </cell>
          <cell r="B12" t="str">
            <v>AWARDING DATE</v>
          </cell>
        </row>
        <row r="13">
          <cell r="A13">
            <v>8</v>
          </cell>
          <cell r="B13" t="str">
            <v>CONSTRUCTION TERM</v>
          </cell>
        </row>
        <row r="14">
          <cell r="A14">
            <v>9</v>
          </cell>
          <cell r="B14" t="str">
            <v>AGREEMENT CURRENCY</v>
          </cell>
          <cell r="C14" t="str">
            <v>P</v>
          </cell>
          <cell r="D14" t="str">
            <v>E</v>
          </cell>
          <cell r="E14" t="str">
            <v>S</v>
          </cell>
        </row>
        <row r="15">
          <cell r="A15">
            <v>10</v>
          </cell>
          <cell r="B15" t="str">
            <v>CONVERSION RATE</v>
          </cell>
        </row>
        <row r="16">
          <cell r="A16">
            <v>11</v>
          </cell>
          <cell r="B16" t="str">
            <v>ESTIMATED COST (NET)</v>
          </cell>
          <cell r="E16">
            <v>4</v>
          </cell>
        </row>
        <row r="17">
          <cell r="A17">
            <v>12</v>
          </cell>
          <cell r="B17" t="str">
            <v xml:space="preserve">PROPOSED PRICE (SEL.)  </v>
          </cell>
          <cell r="E17">
            <v>5</v>
          </cell>
        </row>
        <row r="18">
          <cell r="A18">
            <v>13</v>
          </cell>
          <cell r="B18" t="str">
            <v xml:space="preserve">CONTRACT AMOUNT </v>
          </cell>
        </row>
        <row r="19">
          <cell r="A19">
            <v>14</v>
          </cell>
          <cell r="B19" t="str">
            <v>TYPE OF WORK</v>
          </cell>
          <cell r="C19" t="str">
            <v>I</v>
          </cell>
          <cell r="D19" t="str">
            <v>A</v>
          </cell>
        </row>
        <row r="20">
          <cell r="A20">
            <v>15</v>
          </cell>
          <cell r="B20" t="str">
            <v>TYPE OF BUILDING</v>
          </cell>
          <cell r="C20" t="str">
            <v>A</v>
          </cell>
          <cell r="D20" t="str">
            <v>W</v>
          </cell>
        </row>
        <row r="22">
          <cell r="B22" t="str">
            <v xml:space="preserve">    1.  TPI                  2.   TPI + TH + OS                  3.  TPI + OS                    4.  TPI + OTHER TKS GROUP                   5.  TPI + MF</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A"/>
      <sheetName val="list B"/>
      <sheetName val="Source"/>
      <sheetName val="FRONT PAGE"/>
      <sheetName val="2ND PAGE"/>
      <sheetName val="Sheet2"/>
      <sheetName val="Sheet1"/>
      <sheetName val="101(3)A"/>
      <sheetName val="101(3b)"/>
      <sheetName val="102(1)A"/>
      <sheetName val="102(2)A"/>
      <sheetName val="103(1)A"/>
      <sheetName val="104(1)"/>
      <sheetName val="Sheet3"/>
      <sheetName val="105(1)"/>
      <sheetName val="200 A"/>
      <sheetName val="311 A"/>
      <sheetName val="505(5)A"/>
      <sheetName val="612(1)"/>
      <sheetName val="101(2)"/>
      <sheetName val="101(2)b"/>
      <sheetName val="101(3)"/>
      <sheetName val="101(4)"/>
      <sheetName val="FC 103(1)"/>
      <sheetName val="FC 103(3)"/>
      <sheetName val="103(6)"/>
      <sheetName val="404(a)"/>
      <sheetName val="404(b)"/>
      <sheetName val="405"/>
      <sheetName val="500(1)"/>
      <sheetName val="500(1)b A"/>
      <sheetName val="502(1)"/>
      <sheetName val="502(3)"/>
      <sheetName val="504(1)"/>
      <sheetName val="504(2)"/>
      <sheetName val="505(5)"/>
      <sheetName val="506"/>
      <sheetName val="519(1)"/>
      <sheetName val="519(2)A"/>
      <sheetName val="102(2)B"/>
      <sheetName val="103(1)B"/>
      <sheetName val="104(1) B"/>
      <sheetName val="105(1)B"/>
      <sheetName val="200 B"/>
      <sheetName val="311 B"/>
      <sheetName val="505(5)B"/>
      <sheetName val="612(1)B"/>
      <sheetName val="101(3)B"/>
      <sheetName val="103(1)"/>
      <sheetName val="103(3) B"/>
      <sheetName val="103(6) B"/>
      <sheetName val="404B"/>
      <sheetName val="404(b)B"/>
      <sheetName val="405B"/>
      <sheetName val="500(1)B"/>
      <sheetName val="502(3)B"/>
      <sheetName val="506 B"/>
      <sheetName val="FC 505(5) b"/>
      <sheetName val="519(2)B"/>
      <sheetName val="LINE DITCH"/>
      <sheetName val="102(2) C"/>
      <sheetName val="105(1)C"/>
      <sheetName val="200 C"/>
      <sheetName val="311(1) C"/>
      <sheetName val="605(3)"/>
      <sheetName val="612(1)C"/>
      <sheetName val="spl-1"/>
      <sheetName val="spl-2"/>
      <sheetName val="Spl-3"/>
      <sheetName val="bollard"/>
      <sheetName val="TMA MAA-BANGKAL"/>
      <sheetName val="Sheet7"/>
      <sheetName val="tma rd"/>
      <sheetName val="tma FC"/>
      <sheetName val="TMA 1"/>
      <sheetName val="TMA"/>
      <sheetName val="bare month equip"/>
    </sheetNames>
    <sheetDataSet>
      <sheetData sheetId="0" refreshError="1"/>
      <sheetData sheetId="1" refreshError="1"/>
      <sheetData sheetId="2">
        <row r="5">
          <cell r="B5">
            <v>841</v>
          </cell>
        </row>
        <row r="6">
          <cell r="B6">
            <v>614</v>
          </cell>
        </row>
      </sheetData>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MMARY"/>
      <sheetName val="SUMINIST"/>
      <sheetName val="CLAUSE_60"/>
      <sheetName val="SAL"/>
      <sheetName val="V.O."/>
      <sheetName val="MOS"/>
      <sheetName val="SUMM_PC_MR"/>
      <sheetName val="SUMM_CGPC_MR"/>
      <sheetName val="SUMM_BC_MR"/>
      <sheetName val="SUMM_PC_DT"/>
      <sheetName val="SUMM_BC_DT"/>
      <sheetName val="PIPE 300"/>
      <sheetName val="PIPE750"/>
      <sheetName val="PIPE900"/>
      <sheetName val="STEEL_PIPE"/>
      <sheetName val="CAMPO &amp; PC_BC"/>
      <sheetName val="CPR"/>
      <sheetName val="BKWPSUM"/>
      <sheetName val="10.Linkway"/>
      <sheetName val="11.Bus Shelter-Bay"/>
      <sheetName val="BOQ-E(spi)(x)"/>
      <sheetName val="breakdown"/>
      <sheetName val="LABCOST"/>
    </sheetNames>
    <sheetDataSet>
      <sheetData sheetId="0" refreshError="1"/>
      <sheetData sheetId="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UMMARY"/>
      <sheetName val="SUMINIST"/>
      <sheetName val="CLAUSE_60"/>
      <sheetName val="SAL"/>
      <sheetName val="V.O."/>
      <sheetName val="MOS"/>
      <sheetName val="SUMM_PC_MR"/>
      <sheetName val="SUMM_CGPC_MR"/>
      <sheetName val="SUMM_BC_MR"/>
      <sheetName val="SUMM_PC_DT"/>
      <sheetName val="SUMM_BC_DT"/>
      <sheetName val="PIPE 300"/>
      <sheetName val="PIPE750"/>
      <sheetName val="PIPE900"/>
      <sheetName val="STEEL_PIPE"/>
      <sheetName val="CAMPO &amp; PC_BC"/>
      <sheetName val="CPR"/>
      <sheetName val="BKWPSUM"/>
      <sheetName val="BOQ-M"/>
      <sheetName val="細目"/>
      <sheetName val="BOQ-E(spi)(x)"/>
      <sheetName val="10.Linkway"/>
      <sheetName val="11.Bus Shelter-Bay"/>
    </sheetNames>
    <sheetDataSet>
      <sheetData sheetId="0" refreshError="1"/>
      <sheetData sheetId="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A"/>
      <sheetName val="list B"/>
      <sheetName val="Source"/>
      <sheetName val="summary"/>
      <sheetName val="FRONT PAGE"/>
      <sheetName val="ABC"/>
      <sheetName val="tma ups"/>
      <sheetName val="2ND PAGE"/>
      <sheetName val="104(1)"/>
      <sheetName val="104(2)"/>
      <sheetName val="404 ups"/>
      <sheetName val="405 ups"/>
      <sheetName val="505(5)"/>
      <sheetName val="506"/>
      <sheetName val="102(2) ups"/>
      <sheetName val="tma cement"/>
      <sheetName val="507 ups"/>
      <sheetName val="509 ups"/>
      <sheetName val="boulders ups"/>
      <sheetName val="desilting"/>
      <sheetName val="tma desilting"/>
      <sheetName val="mob.&amp; dem."/>
      <sheetName val="traffic control"/>
      <sheetName val="safety 2"/>
      <sheetName val="BILLBOARD2"/>
      <sheetName val="TEMFACIL"/>
      <sheetName val="CAMPHOUSE 6 X6"/>
      <sheetName val="BAC"/>
      <sheetName val="tma FC"/>
      <sheetName val="TMA 1"/>
      <sheetName val="bare month equip"/>
      <sheetName val="bar chart"/>
      <sheetName val="working days"/>
      <sheetName val="Sheet3"/>
      <sheetName val="Sheet1"/>
    </sheetNames>
    <sheetDataSet>
      <sheetData sheetId="0" refreshError="1"/>
      <sheetData sheetId="1" refreshError="1"/>
      <sheetData sheetId="2" refreshError="1">
        <row r="14">
          <cell r="G14">
            <v>3985</v>
          </cell>
        </row>
        <row r="29">
          <cell r="G29">
            <v>218.63</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SHIBA-Structure"/>
      <sheetName val="PID"/>
      <sheetName val="STAFFSCHED "/>
      <sheetName val="TOSHIBA_Structure"/>
      <sheetName val="2000전체분"/>
      <sheetName val="2000년1차"/>
      <sheetName val="물량집계표"/>
      <sheetName val="Bresk-civil2"/>
      <sheetName val="Scaffolds-qty_rev1"/>
      <sheetName val="細目"/>
      <sheetName val="General"/>
      <sheetName val="A"/>
      <sheetName val="Branch Power"/>
      <sheetName val="Distrib"/>
      <sheetName val="Emergency"/>
      <sheetName val="Equipment"/>
      <sheetName val="Lighting"/>
      <sheetName val="Sched of Rates"/>
      <sheetName val="DD EST."/>
      <sheetName val="BILLING SUMMARY"/>
      <sheetName val="Rate"/>
      <sheetName val="Manpower (M)"/>
      <sheetName val="STAFFSCHED_"/>
      <sheetName val="Manpower_(M)"/>
      <sheetName val=" Manpower Sched (E)"/>
      <sheetName val="FR"/>
      <sheetName val="H.Satuan"/>
      <sheetName val="SAN REDUCED 1"/>
      <sheetName val="Rate-M"/>
      <sheetName val="Part 2.2.1 MVAC"/>
      <sheetName val=" Part 2.2.2 P&amp;S"/>
      <sheetName val="Part 2.2.2 LPG"/>
      <sheetName val="Part 2.2.3 Fire Protection"/>
      <sheetName val="퍼스트"/>
      <sheetName val="breakdown"/>
      <sheetName val="BOQ-M"/>
      <sheetName val="electric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S Pipes,Fittings-Lay. &amp; Inst."/>
      <sheetName val="HDPE Pipes,Fitings-Lay. &amp; Inst."/>
      <sheetName val="TOC"/>
      <sheetName val="Draw Pits"/>
      <sheetName val="Vent Riser"/>
      <sheetName val="Villa-TOC"/>
      <sheetName val="BOQ-E(spi)(x)"/>
      <sheetName val="electrical"/>
      <sheetName val="Breakdow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BOQ-E(2)"/>
      <sheetName val="xBOQ-E(2).Net"/>
      <sheetName val="BOQ-E(Opt)"/>
      <sheetName val="BOQ-E(Opt).Net"/>
      <sheetName val="BOQ-E(1)"/>
      <sheetName val="BOQ-E(1).Net"/>
      <sheetName val="SITEEXPENSES"/>
      <sheetName val="MATERIAL SHEET"/>
      <sheetName val="TABLE OF BUDGET"/>
      <sheetName val="TABLE OF BUDGET (EM)"/>
      <sheetName val="TOSHIBA-Structure"/>
      <sheetName val="細目"/>
      <sheetName val="총괄"/>
      <sheetName val="Nikkoshi-2E01(copy BOQ-E)"/>
      <sheetName val="PID"/>
    </sheetNames>
    <sheetDataSet>
      <sheetData sheetId="0"/>
      <sheetData sheetId="1"/>
      <sheetData sheetId="2"/>
      <sheetData sheetId="3"/>
      <sheetData sheetId="4"/>
      <sheetData sheetId="5" refreshError="1">
        <row r="2">
          <cell r="V2">
            <v>0.03</v>
          </cell>
        </row>
      </sheetData>
      <sheetData sheetId="6"/>
      <sheetData sheetId="7"/>
      <sheetData sheetId="8"/>
      <sheetData sheetId="9"/>
      <sheetData sheetId="10" refreshError="1"/>
      <sheetData sheetId="11" refreshError="1"/>
      <sheetData sheetId="12" refreshError="1"/>
      <sheetData sheetId="13" refreshError="1"/>
      <sheetData sheetId="14"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S"/>
      <sheetName val="GRAND SUM"/>
      <sheetName val="gr"/>
      <sheetName val="street lighting"/>
      <sheetName val="uwt#1-res"/>
      <sheetName val="ch#1-res"/>
      <sheetName val="uwt#2-comm"/>
      <sheetName val="ch#2-comm"/>
      <sheetName val="細目"/>
      <sheetName val="BOQ-M"/>
      <sheetName val="PID"/>
      <sheetName val="BOQ-E(1).Net"/>
      <sheetName val="TOSHIBA-Structure"/>
    </sheetNames>
    <sheetDataSet>
      <sheetData sheetId="0" refreshError="1"/>
      <sheetData sheetId="1">
        <row r="2">
          <cell r="H2" t="str">
            <v>FORMAT A</v>
          </cell>
        </row>
        <row r="3">
          <cell r="A3" t="str">
            <v>ESTIMATE SUMMARY SHEET</v>
          </cell>
        </row>
        <row r="4">
          <cell r="A4" t="str">
            <v>STANDARD COST CODE DIVISION</v>
          </cell>
        </row>
        <row r="6">
          <cell r="A6" t="str">
            <v>PROJECT:</v>
          </cell>
          <cell r="B6" t="str">
            <v>NIRWANA BALI WEST LAND DEVELOPMENT</v>
          </cell>
        </row>
        <row r="7">
          <cell r="A7" t="str">
            <v>PACKAGE:</v>
          </cell>
          <cell r="B7" t="str">
            <v>ELECTRICAL WORKS</v>
          </cell>
        </row>
        <row r="8">
          <cell r="A8" t="str">
            <v>LOCATION:</v>
          </cell>
          <cell r="B8" t="str">
            <v>SILANG, CAVITE</v>
          </cell>
        </row>
        <row r="10">
          <cell r="A10" t="str">
            <v>TYPE OF ESTIMATE:</v>
          </cell>
          <cell r="F10" t="str">
            <v>ESTIMATE CURRENCY:</v>
          </cell>
          <cell r="G10" t="str">
            <v>Php</v>
          </cell>
        </row>
        <row r="11">
          <cell r="A11" t="str">
            <v>DATE PREPARED:</v>
          </cell>
          <cell r="F11" t="str">
            <v>ACTUAL EXCHANGE RATE:</v>
          </cell>
          <cell r="G11" t="str">
            <v>Php          / USD</v>
          </cell>
        </row>
        <row r="12">
          <cell r="A12" t="str">
            <v>ISSUE NUMBER:</v>
          </cell>
          <cell r="F12" t="str">
            <v>ESTIMATE BY:</v>
          </cell>
          <cell r="G12" t="str">
            <v>coes</v>
          </cell>
        </row>
        <row r="16">
          <cell r="A16" t="str">
            <v>ITEM NO.</v>
          </cell>
          <cell r="C16" t="str">
            <v>DESCRIPTION</v>
          </cell>
          <cell r="E16" t="str">
            <v>TOTAL COST in PhP</v>
          </cell>
          <cell r="G16" t="str">
            <v>REMARKS</v>
          </cell>
        </row>
        <row r="18">
          <cell r="A18">
            <v>1</v>
          </cell>
          <cell r="C18" t="str">
            <v>GENERAL REQUIREMENTS</v>
          </cell>
          <cell r="E18">
            <v>597977.50688995002</v>
          </cell>
        </row>
        <row r="19">
          <cell r="A19">
            <v>2</v>
          </cell>
          <cell r="C19" t="str">
            <v>SITE WORKS</v>
          </cell>
        </row>
        <row r="20">
          <cell r="A20">
            <v>2.6</v>
          </cell>
          <cell r="C20" t="str">
            <v>ELECTRICAL WORKS</v>
          </cell>
          <cell r="E20">
            <v>5107038.379999999</v>
          </cell>
        </row>
        <row r="22">
          <cell r="A22">
            <v>16</v>
          </cell>
          <cell r="C22" t="str">
            <v xml:space="preserve">ELECTRICAL WORKS </v>
          </cell>
        </row>
        <row r="23">
          <cell r="A23">
            <v>16.100000000000001</v>
          </cell>
          <cell r="C23" t="str">
            <v>UNDERGROUND WATER TANK NO. 1 (RESIDENTIAL)</v>
          </cell>
          <cell r="E23">
            <v>3256515.1619000002</v>
          </cell>
        </row>
        <row r="24">
          <cell r="A24">
            <v>16.2</v>
          </cell>
          <cell r="C24" t="str">
            <v>CHLORINATION HOUSE NO. 1 (RESIDENTIAL)</v>
          </cell>
          <cell r="E24">
            <v>55274.619999999995</v>
          </cell>
        </row>
        <row r="25">
          <cell r="A25">
            <v>16.3</v>
          </cell>
          <cell r="C25" t="str">
            <v>UNDERGROUND WATER TANK NO. 2 (COMMERCIAL)</v>
          </cell>
          <cell r="E25">
            <v>2398209.62519</v>
          </cell>
        </row>
        <row r="26">
          <cell r="A26">
            <v>16.399999999999999</v>
          </cell>
          <cell r="C26" t="str">
            <v>CHLORINATION HOUSE NO. 2 (COMMERCIAL)</v>
          </cell>
          <cell r="E26">
            <v>55280.520000000004</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A"/>
      <sheetName val="list B"/>
      <sheetName val="Source"/>
      <sheetName val="FRONT PAGE"/>
      <sheetName val="2ND PAGE"/>
      <sheetName val="BRIDGE"/>
      <sheetName val="103(2)"/>
      <sheetName val="401"/>
      <sheetName val="404(a)"/>
      <sheetName val="404(b)"/>
      <sheetName val="405(1)"/>
      <sheetName val="405(2)"/>
      <sheetName val="406"/>
      <sheetName val="412"/>
      <sheetName val="101(3)"/>
      <sheetName val="101(4)"/>
      <sheetName val="102(2)"/>
      <sheetName val="103"/>
      <sheetName val="104(1)"/>
      <sheetName val="105(1)"/>
      <sheetName val="200"/>
      <sheetName val="311(1)"/>
      <sheetName val="311(2)"/>
      <sheetName val="612(1)"/>
      <sheetName val="Sheet1"/>
      <sheetName val="505"/>
      <sheetName val="RW 103"/>
      <sheetName val="RW 404a"/>
      <sheetName val="RW 404b"/>
      <sheetName val="RW 405(1)"/>
      <sheetName val="RW 405 (2)"/>
      <sheetName val="103(1)FC"/>
      <sheetName val="505FC"/>
      <sheetName val="FC 507"/>
      <sheetName val="safety 2"/>
      <sheetName val="safety"/>
      <sheetName val="tma rd"/>
      <sheetName val="TRAFFIC"/>
      <sheetName val="tma FC"/>
      <sheetName val="temfacil 6 x 8"/>
      <sheetName val="temfacil"/>
      <sheetName val="BILLBOARD2"/>
      <sheetName val="BB"/>
      <sheetName val="vehicle b"/>
      <sheetName val="veh comp"/>
      <sheetName val="VEHICLE A"/>
      <sheetName val="TMA 1"/>
      <sheetName val="TMA"/>
      <sheetName val="bare month equip"/>
      <sheetName val="SUMMARY 2"/>
    </sheetNames>
    <sheetDataSet>
      <sheetData sheetId="0"/>
      <sheetData sheetId="1"/>
      <sheetData sheetId="2">
        <row r="24">
          <cell r="B24">
            <v>100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CVM"/>
      <sheetName val="WCVC"/>
      <sheetName val="WCAM"/>
      <sheetName val="BBS"/>
      <sheetName val="DCE"/>
      <sheetName val="BOQ"/>
      <sheetName val="Breakdown"/>
      <sheetName val="Net-Sell"/>
      <sheetName val="SAL"/>
      <sheetName val="CAMPO &amp; PC_BC"/>
    </sheetNames>
    <sheetDataSet>
      <sheetData sheetId="0"/>
      <sheetData sheetId="1"/>
      <sheetData sheetId="2"/>
      <sheetData sheetId="3">
        <row r="97">
          <cell r="C97" t="str">
            <v>Weight of Bar</v>
          </cell>
          <cell r="D97">
            <v>0</v>
          </cell>
          <cell r="E97">
            <v>0</v>
          </cell>
        </row>
        <row r="98">
          <cell r="C98" t="str">
            <v>Bar Diameter</v>
          </cell>
          <cell r="D98" t="str">
            <v>Weight per Meter</v>
          </cell>
          <cell r="E98" t="str">
            <v>Unit</v>
          </cell>
        </row>
        <row r="99">
          <cell r="C99">
            <v>6</v>
          </cell>
          <cell r="D99">
            <v>0.222</v>
          </cell>
          <cell r="E99" t="str">
            <v>kg/m</v>
          </cell>
        </row>
        <row r="100">
          <cell r="C100">
            <v>8</v>
          </cell>
          <cell r="D100">
            <v>0.39500000000000002</v>
          </cell>
          <cell r="E100" t="str">
            <v>kg/m</v>
          </cell>
        </row>
        <row r="101">
          <cell r="C101">
            <v>10</v>
          </cell>
          <cell r="D101">
            <v>0.61599999999999999</v>
          </cell>
          <cell r="E101" t="str">
            <v>kg/m</v>
          </cell>
        </row>
        <row r="102">
          <cell r="C102">
            <v>12</v>
          </cell>
          <cell r="D102">
            <v>0.88800000000000001</v>
          </cell>
          <cell r="E102" t="str">
            <v>kg/m</v>
          </cell>
        </row>
        <row r="103">
          <cell r="C103">
            <v>13</v>
          </cell>
          <cell r="D103">
            <v>1.042</v>
          </cell>
          <cell r="E103" t="str">
            <v>kg/m</v>
          </cell>
        </row>
        <row r="104">
          <cell r="C104">
            <v>14</v>
          </cell>
          <cell r="D104">
            <v>1.21</v>
          </cell>
          <cell r="E104" t="str">
            <v>kg/m</v>
          </cell>
        </row>
        <row r="105">
          <cell r="C105">
            <v>16</v>
          </cell>
          <cell r="D105">
            <v>1.579</v>
          </cell>
          <cell r="E105" t="str">
            <v>kg/m</v>
          </cell>
        </row>
        <row r="106">
          <cell r="C106">
            <v>20</v>
          </cell>
          <cell r="D106">
            <v>2.4660000000000002</v>
          </cell>
          <cell r="E106" t="str">
            <v>kg/m</v>
          </cell>
        </row>
        <row r="107">
          <cell r="C107">
            <v>25</v>
          </cell>
          <cell r="D107">
            <v>3.8540000000000001</v>
          </cell>
          <cell r="E107" t="str">
            <v>kg/m</v>
          </cell>
        </row>
        <row r="108">
          <cell r="C108">
            <v>28</v>
          </cell>
          <cell r="D108">
            <v>4.8330000000000002</v>
          </cell>
          <cell r="E108" t="str">
            <v>kg/m</v>
          </cell>
        </row>
        <row r="109">
          <cell r="C109">
            <v>32</v>
          </cell>
          <cell r="D109">
            <v>6.3129999999999997</v>
          </cell>
          <cell r="E109" t="str">
            <v>kg/m</v>
          </cell>
        </row>
        <row r="110">
          <cell r="C110">
            <v>36</v>
          </cell>
          <cell r="D110">
            <v>7.9909999999999997</v>
          </cell>
          <cell r="E110" t="str">
            <v>kg/m</v>
          </cell>
        </row>
        <row r="111">
          <cell r="C111">
            <v>40</v>
          </cell>
          <cell r="D111">
            <v>9.8640000000000008</v>
          </cell>
          <cell r="E111" t="str">
            <v>kg/m</v>
          </cell>
        </row>
      </sheetData>
      <sheetData sheetId="4">
        <row r="195">
          <cell r="C195" t="str">
            <v>Acrylic Paint White</v>
          </cell>
        </row>
      </sheetData>
      <sheetData sheetId="5"/>
      <sheetData sheetId="6" refreshError="1"/>
      <sheetData sheetId="7" refreshError="1"/>
      <sheetData sheetId="8" refreshError="1"/>
      <sheetData sheetId="9"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集計"/>
      <sheetName val="CCOMP (R1)"/>
      <sheetName val="CCOMP"/>
      <sheetName val="BOQ-E"/>
      <sheetName val="BOQ-E(1).Net"/>
      <sheetName val="DATA-UPS"/>
      <sheetName val="BOQ_E"/>
      <sheetName val="Vari by Vendor"/>
      <sheetName val="Factor"/>
      <sheetName val="Vari by Trade"/>
      <sheetName val="equip"/>
      <sheetName val="Footing Tie Beam"/>
      <sheetName val="bi-mnthly rep Villa"/>
      <sheetName val="DATA"/>
      <sheetName val="Manpower (M)"/>
      <sheetName val="PRICES"/>
      <sheetName val="총괄"/>
      <sheetName val="細目"/>
      <sheetName val="LOTS-A&amp;B"/>
      <sheetName val="bq"/>
      <sheetName val="Rates"/>
      <sheetName val="WAO Classification"/>
      <sheetName val="DATA VALIDATION"/>
      <sheetName val="BBS"/>
      <sheetName val="GRAND SUM"/>
    </sheetNames>
    <sheetDataSet>
      <sheetData sheetId="0"/>
      <sheetData sheetId="1"/>
      <sheetData sheetId="2"/>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urce"/>
      <sheetName val="1"/>
      <sheetName val="2"/>
      <sheetName val="abc"/>
      <sheetName val="Sheet2"/>
      <sheetName val="summary"/>
      <sheetName val="roads"/>
      <sheetName val="drainage"/>
      <sheetName val="310 tma"/>
      <sheetName val="mob.&amp; dem"/>
      <sheetName val="camphouse"/>
      <sheetName val="Temfacil"/>
      <sheetName val="sv A"/>
      <sheetName val="SV B"/>
      <sheetName val="traffic control"/>
      <sheetName val="605(3)"/>
      <sheetName val="spl-5"/>
      <sheetName val="spl-4"/>
      <sheetName val="SUMMARY OF MATERIALS"/>
      <sheetName val="WORKING DAYS"/>
      <sheetName val="Sheet1"/>
    </sheetNames>
    <sheetDataSet>
      <sheetData sheetId="0">
        <row r="47">
          <cell r="G47">
            <v>145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FFSCHED "/>
      <sheetName val="細目"/>
      <sheetName val="BOQ-E"/>
      <sheetName val="자재단가"/>
      <sheetName val="일위대가(계측기설치)"/>
      <sheetName val="Rate"/>
      <sheetName val="1999-2000 MONTHLY CASHFLOW"/>
      <sheetName val="Vari by Trade"/>
      <sheetName val="MATERIAL'S PRICE"/>
      <sheetName val="UTILITIES"/>
      <sheetName val="DATA"/>
      <sheetName val="Cash Flow (4)"/>
      <sheetName val="STAFFSCHED_"/>
      <sheetName val="Cash_Flow_(4)"/>
      <sheetName val="DATA-UPS"/>
      <sheetName val="TOSHIBA-Structure"/>
      <sheetName val="Summary"/>
      <sheetName val="BBS"/>
    </sheetNames>
    <sheetDataSet>
      <sheetData sheetId="0" refreshError="1">
        <row r="1">
          <cell r="A1" t="str">
            <v>TAISEI  PHIL.  CONST., INC.</v>
          </cell>
          <cell r="AH1" t="str">
            <v xml:space="preserve"> PAGE :</v>
          </cell>
          <cell r="AJ1" t="str">
            <v>PB-12</v>
          </cell>
        </row>
        <row r="2">
          <cell r="A2" t="str">
            <v>FUJITSU COMPUTER PRODUCTS</v>
          </cell>
          <cell r="AH2" t="str">
            <v xml:space="preserve"> REVISION :      </v>
          </cell>
          <cell r="AK2">
            <v>0</v>
          </cell>
        </row>
        <row r="3">
          <cell r="A3" t="str">
            <v>CORPORATION OF THE PHILIPPINES</v>
          </cell>
          <cell r="AH3" t="str">
            <v xml:space="preserve"> ISSUE :</v>
          </cell>
          <cell r="AK3" t="str">
            <v>A</v>
          </cell>
        </row>
        <row r="4">
          <cell r="A4" t="str">
            <v>TANAUAN FACTORY - 1 PROJECT</v>
          </cell>
          <cell r="D4">
            <v>0</v>
          </cell>
          <cell r="AH4" t="str">
            <v xml:space="preserve"> DATE :</v>
          </cell>
        </row>
        <row r="5">
          <cell r="B5" t="str">
            <v>YEAR</v>
          </cell>
          <cell r="D5">
            <v>1998</v>
          </cell>
          <cell r="R5">
            <v>1999</v>
          </cell>
        </row>
        <row r="6">
          <cell r="B6" t="str">
            <v>MONTH</v>
          </cell>
          <cell r="D6" t="str">
            <v>JUN</v>
          </cell>
          <cell r="F6" t="str">
            <v>JUL</v>
          </cell>
          <cell r="H6" t="str">
            <v>AUG</v>
          </cell>
          <cell r="J6" t="str">
            <v>SEP</v>
          </cell>
          <cell r="L6" t="str">
            <v>OCT</v>
          </cell>
          <cell r="N6" t="str">
            <v>NOV</v>
          </cell>
          <cell r="P6" t="str">
            <v>DEC</v>
          </cell>
          <cell r="R6" t="str">
            <v>JAN</v>
          </cell>
          <cell r="T6" t="str">
            <v>FEB</v>
          </cell>
          <cell r="V6" t="str">
            <v>MAR</v>
          </cell>
          <cell r="X6" t="str">
            <v>APR</v>
          </cell>
          <cell r="Z6" t="str">
            <v>MAY</v>
          </cell>
          <cell r="AB6" t="str">
            <v>JUN</v>
          </cell>
          <cell r="AD6" t="str">
            <v>JUL</v>
          </cell>
          <cell r="AF6" t="str">
            <v>AUG</v>
          </cell>
          <cell r="AG6">
            <v>0</v>
          </cell>
          <cell r="AH6" t="str">
            <v>SEP</v>
          </cell>
          <cell r="AI6">
            <v>0</v>
          </cell>
          <cell r="AJ6" t="str">
            <v>OCT</v>
          </cell>
          <cell r="AK6">
            <v>0</v>
          </cell>
        </row>
        <row r="7">
          <cell r="B7" t="str">
            <v>PROGRESS MONTH</v>
          </cell>
          <cell r="F7">
            <v>1</v>
          </cell>
          <cell r="H7">
            <v>2</v>
          </cell>
          <cell r="J7">
            <v>3</v>
          </cell>
          <cell r="L7">
            <v>4</v>
          </cell>
          <cell r="N7">
            <v>5</v>
          </cell>
          <cell r="P7">
            <v>6</v>
          </cell>
          <cell r="R7">
            <v>7</v>
          </cell>
          <cell r="T7">
            <v>8</v>
          </cell>
          <cell r="V7">
            <v>9</v>
          </cell>
          <cell r="X7">
            <v>10</v>
          </cell>
          <cell r="Z7">
            <v>11</v>
          </cell>
          <cell r="AB7">
            <v>12</v>
          </cell>
          <cell r="AD7">
            <v>13</v>
          </cell>
          <cell r="AF7">
            <v>14</v>
          </cell>
          <cell r="AG7">
            <v>0</v>
          </cell>
          <cell r="AH7">
            <v>15</v>
          </cell>
          <cell r="AI7">
            <v>0</v>
          </cell>
          <cell r="AJ7">
            <v>16</v>
          </cell>
          <cell r="AK7">
            <v>0</v>
          </cell>
        </row>
        <row r="9">
          <cell r="B9" t="str">
            <v>STAFF</v>
          </cell>
          <cell r="L9" t="str">
            <v>CONSTRUCTION PERIOD:  11.5 MONTHS</v>
          </cell>
        </row>
        <row r="11">
          <cell r="A11">
            <v>1</v>
          </cell>
          <cell r="B11" t="str">
            <v>PROJECT MANAGER</v>
          </cell>
          <cell r="C11" t="str">
            <v>TAWADA</v>
          </cell>
        </row>
        <row r="13">
          <cell r="A13">
            <v>2</v>
          </cell>
          <cell r="B13" t="str">
            <v>DEPUTY PROJECT MANAGER</v>
          </cell>
          <cell r="C13" t="str">
            <v>OKITA</v>
          </cell>
        </row>
        <row r="15">
          <cell r="A15">
            <v>3</v>
          </cell>
          <cell r="B15" t="str">
            <v>SENIOR ENGINEER (JAPANESE)</v>
          </cell>
          <cell r="C15" t="str">
            <v>HARA</v>
          </cell>
        </row>
        <row r="17">
          <cell r="A17">
            <v>4</v>
          </cell>
          <cell r="B17" t="str">
            <v>SENIOR ENGINEER (JAPANESE)</v>
          </cell>
          <cell r="C17" t="str">
            <v>IMABAYASHI</v>
          </cell>
        </row>
        <row r="19">
          <cell r="A19">
            <v>5</v>
          </cell>
          <cell r="B19" t="str">
            <v>SENIOR SITE MANAGER</v>
          </cell>
          <cell r="C19" t="str">
            <v>JOJO</v>
          </cell>
        </row>
        <row r="21">
          <cell r="A21">
            <v>6</v>
          </cell>
          <cell r="B21" t="str">
            <v>SITE MANAGER</v>
          </cell>
          <cell r="C21" t="str">
            <v>ERNIE</v>
          </cell>
        </row>
        <row r="23">
          <cell r="A23">
            <v>7</v>
          </cell>
          <cell r="B23" t="str">
            <v>PROJECT ENGINEER-1</v>
          </cell>
          <cell r="C23" t="str">
            <v>FERMIN</v>
          </cell>
        </row>
        <row r="25">
          <cell r="A25">
            <v>8</v>
          </cell>
          <cell r="B25" t="str">
            <v>PROJECT ENGINEER-2</v>
          </cell>
          <cell r="C25" t="str">
            <v>EDWIN</v>
          </cell>
        </row>
        <row r="27">
          <cell r="A27">
            <v>9</v>
          </cell>
          <cell r="B27" t="str">
            <v>PROJECT DESIGN HEAD</v>
          </cell>
          <cell r="C27" t="str">
            <v>DICKYO</v>
          </cell>
        </row>
        <row r="29">
          <cell r="A29">
            <v>10</v>
          </cell>
          <cell r="B29" t="str">
            <v>SR. CONTROL ENGINEER</v>
          </cell>
          <cell r="C29" t="str">
            <v>RONNIE</v>
          </cell>
        </row>
        <row r="31">
          <cell r="A31">
            <v>11</v>
          </cell>
          <cell r="B31" t="str">
            <v>SR. CONTROL ENGINEER</v>
          </cell>
          <cell r="C31" t="str">
            <v>NOEL</v>
          </cell>
        </row>
        <row r="33">
          <cell r="A33">
            <v>12</v>
          </cell>
          <cell r="B33" t="str">
            <v>FIELD ENGINEER-1</v>
          </cell>
          <cell r="C33" t="str">
            <v>RICKY</v>
          </cell>
        </row>
        <row r="35">
          <cell r="A35">
            <v>13</v>
          </cell>
          <cell r="B35" t="str">
            <v>FIELD ENGINEER-2</v>
          </cell>
          <cell r="C35" t="str">
            <v>JOHNNY</v>
          </cell>
        </row>
        <row r="37">
          <cell r="A37">
            <v>14</v>
          </cell>
          <cell r="B37" t="str">
            <v>FIELD ENGINEER-3</v>
          </cell>
          <cell r="C37" t="str">
            <v>NESTY</v>
          </cell>
        </row>
        <row r="39">
          <cell r="A39">
            <v>15</v>
          </cell>
          <cell r="B39" t="str">
            <v>FIELD ENGINEER-4</v>
          </cell>
          <cell r="C39" t="str">
            <v>GILBERT</v>
          </cell>
        </row>
        <row r="41">
          <cell r="A41">
            <v>16</v>
          </cell>
          <cell r="B41" t="str">
            <v>FIELD ENGINEER-5</v>
          </cell>
          <cell r="C41" t="str">
            <v>NILO</v>
          </cell>
        </row>
        <row r="43">
          <cell r="A43">
            <v>17</v>
          </cell>
          <cell r="B43" t="str">
            <v>FIELD ENGINEER-6</v>
          </cell>
          <cell r="C43" t="str">
            <v>NEIL</v>
          </cell>
        </row>
        <row r="45">
          <cell r="A45">
            <v>18</v>
          </cell>
          <cell r="B45" t="str">
            <v>FIELD ENGINEER-7</v>
          </cell>
          <cell r="C45" t="str">
            <v>ROMY</v>
          </cell>
        </row>
        <row r="47">
          <cell r="A47">
            <v>19</v>
          </cell>
          <cell r="B47" t="str">
            <v>PROJECT ESTIMATOR</v>
          </cell>
          <cell r="C47" t="str">
            <v>RICKY</v>
          </cell>
        </row>
        <row r="49">
          <cell r="A49">
            <v>20</v>
          </cell>
          <cell r="B49" t="str">
            <v>PROJECT ESTIMATOR</v>
          </cell>
          <cell r="C49" t="str">
            <v>ELMER</v>
          </cell>
        </row>
        <row r="50">
          <cell r="A50">
            <v>19</v>
          </cell>
        </row>
        <row r="51">
          <cell r="A51">
            <v>21</v>
          </cell>
          <cell r="B51" t="str">
            <v>PROJECT ESTIMATOR</v>
          </cell>
          <cell r="C51" t="str">
            <v>RICKY</v>
          </cell>
        </row>
        <row r="53">
          <cell r="A53">
            <v>22</v>
          </cell>
          <cell r="B53" t="str">
            <v>FIELD MECH'L ENGINEER</v>
          </cell>
        </row>
        <row r="55">
          <cell r="A55">
            <v>23</v>
          </cell>
          <cell r="B55" t="str">
            <v>ELECTRICAL ENGINEER</v>
          </cell>
          <cell r="C55" t="str">
            <v>ROMY</v>
          </cell>
        </row>
        <row r="57">
          <cell r="A57">
            <v>24</v>
          </cell>
          <cell r="B57" t="str">
            <v>ASST. QA DOCUMENT CONTROL</v>
          </cell>
          <cell r="C57" t="str">
            <v>RODERICK</v>
          </cell>
        </row>
        <row r="59">
          <cell r="A59">
            <v>25</v>
          </cell>
          <cell r="B59" t="str">
            <v>IMPORT COORDINATOR</v>
          </cell>
          <cell r="C59" t="str">
            <v>MYRA</v>
          </cell>
        </row>
        <row r="61">
          <cell r="A61">
            <v>26</v>
          </cell>
          <cell r="B61" t="str">
            <v>ADMIN/ACCOUNTANT</v>
          </cell>
          <cell r="C61" t="str">
            <v>LALA</v>
          </cell>
        </row>
        <row r="63">
          <cell r="A63">
            <v>27</v>
          </cell>
          <cell r="B63" t="str">
            <v>IMPORT ASST. COORDINATOR</v>
          </cell>
          <cell r="C63" t="str">
            <v>MICHELLE</v>
          </cell>
        </row>
        <row r="65">
          <cell r="A65">
            <v>28</v>
          </cell>
          <cell r="B65" t="str">
            <v>COMPUTER OPERATOR</v>
          </cell>
          <cell r="C65" t="str">
            <v>RICHIE</v>
          </cell>
        </row>
        <row r="67">
          <cell r="A67">
            <v>29</v>
          </cell>
          <cell r="B67" t="str">
            <v>CADD OPERATOR</v>
          </cell>
          <cell r="C67" t="str">
            <v>JOBELYN</v>
          </cell>
        </row>
        <row r="69">
          <cell r="A69">
            <v>30</v>
          </cell>
          <cell r="B69" t="str">
            <v>CADD OPERATOR</v>
          </cell>
          <cell r="C69" t="str">
            <v>JAY-AR</v>
          </cell>
        </row>
        <row r="71">
          <cell r="A71">
            <v>31</v>
          </cell>
          <cell r="B71" t="str">
            <v>CADD OPERATOR</v>
          </cell>
          <cell r="C71" t="str">
            <v>ALLAN</v>
          </cell>
        </row>
        <row r="73">
          <cell r="A73">
            <v>32</v>
          </cell>
          <cell r="B73" t="str">
            <v>CADD OPERATOR</v>
          </cell>
          <cell r="C73" t="str">
            <v>WEIN</v>
          </cell>
        </row>
        <row r="75">
          <cell r="A75">
            <v>33</v>
          </cell>
          <cell r="B75" t="str">
            <v>DRAFTSMAN</v>
          </cell>
          <cell r="C75" t="str">
            <v>ARNIL</v>
          </cell>
        </row>
        <row r="77">
          <cell r="A77">
            <v>34</v>
          </cell>
          <cell r="B77" t="str">
            <v>DRAFTSMAN</v>
          </cell>
          <cell r="C77" t="str">
            <v>MICHAEL</v>
          </cell>
        </row>
        <row r="79">
          <cell r="A79">
            <v>35</v>
          </cell>
          <cell r="B79" t="str">
            <v>DRAFTSMAN</v>
          </cell>
          <cell r="C79" t="str">
            <v>JOEL</v>
          </cell>
        </row>
        <row r="81">
          <cell r="A81">
            <v>36</v>
          </cell>
          <cell r="B81" t="str">
            <v>UTILITY/HELPER</v>
          </cell>
          <cell r="C81" t="str">
            <v>MARLON</v>
          </cell>
        </row>
        <row r="84">
          <cell r="B84" t="str">
            <v>MONTH</v>
          </cell>
          <cell r="D84" t="str">
            <v>JUN</v>
          </cell>
          <cell r="F84" t="str">
            <v>JUL</v>
          </cell>
          <cell r="H84" t="str">
            <v>AUG</v>
          </cell>
          <cell r="J84" t="str">
            <v>SEP</v>
          </cell>
          <cell r="L84" t="str">
            <v>OCT</v>
          </cell>
          <cell r="N84" t="str">
            <v>NOV</v>
          </cell>
          <cell r="P84" t="str">
            <v>DEC</v>
          </cell>
          <cell r="R84" t="str">
            <v>JAN</v>
          </cell>
          <cell r="T84" t="str">
            <v>FEB</v>
          </cell>
          <cell r="V84" t="str">
            <v>MAR</v>
          </cell>
          <cell r="X84" t="str">
            <v>APR</v>
          </cell>
          <cell r="Z84" t="str">
            <v>MAY</v>
          </cell>
          <cell r="AB84" t="str">
            <v>JUN</v>
          </cell>
          <cell r="AD84" t="str">
            <v>JUL</v>
          </cell>
          <cell r="AF84" t="str">
            <v>AUG</v>
          </cell>
          <cell r="AG84">
            <v>0</v>
          </cell>
          <cell r="AH84" t="str">
            <v>SEP</v>
          </cell>
          <cell r="AI84">
            <v>0</v>
          </cell>
          <cell r="AJ84" t="str">
            <v>OCT</v>
          </cell>
          <cell r="AK84">
            <v>0</v>
          </cell>
        </row>
        <row r="85">
          <cell r="B85" t="str">
            <v>PROGRESS MONTH</v>
          </cell>
          <cell r="F85">
            <v>1</v>
          </cell>
          <cell r="H85">
            <v>2</v>
          </cell>
          <cell r="J85">
            <v>3</v>
          </cell>
          <cell r="L85">
            <v>4</v>
          </cell>
          <cell r="N85">
            <v>5</v>
          </cell>
          <cell r="P85">
            <v>6</v>
          </cell>
          <cell r="R85">
            <v>7</v>
          </cell>
          <cell r="T85">
            <v>8</v>
          </cell>
          <cell r="V85">
            <v>9</v>
          </cell>
          <cell r="X85">
            <v>10</v>
          </cell>
          <cell r="Z85">
            <v>11</v>
          </cell>
          <cell r="AB85">
            <v>12</v>
          </cell>
          <cell r="AD85">
            <v>13</v>
          </cell>
          <cell r="AF85">
            <v>14</v>
          </cell>
          <cell r="AG85">
            <v>0</v>
          </cell>
          <cell r="AH85">
            <v>15</v>
          </cell>
          <cell r="AI85">
            <v>0</v>
          </cell>
          <cell r="AJ85">
            <v>16</v>
          </cell>
          <cell r="AK85">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C81C5-F0E9-4B83-9BD9-065EA6D272C4}">
  <sheetPr>
    <tabColor rgb="FFFFFF00"/>
  </sheetPr>
  <dimension ref="A1:W2507"/>
  <sheetViews>
    <sheetView tabSelected="1" zoomScaleNormal="100" zoomScaleSheetLayoutView="85" workbookViewId="0">
      <pane ySplit="9" topLeftCell="A10" activePane="bottomLeft" state="frozen"/>
      <selection pane="bottomLeft" activeCell="A8" sqref="A8"/>
    </sheetView>
  </sheetViews>
  <sheetFormatPr defaultColWidth="13.69921875" defaultRowHeight="12" x14ac:dyDescent="0.25"/>
  <cols>
    <col min="1" max="1" width="8.5" style="10" customWidth="1"/>
    <col min="2" max="2" width="8.59765625" style="2" customWidth="1"/>
    <col min="3" max="3" width="12.59765625" style="2" customWidth="1"/>
    <col min="4" max="4" width="15.5" style="2" customWidth="1"/>
    <col min="5" max="5" width="26.8984375" style="3" customWidth="1"/>
    <col min="6" max="6" width="12.19921875" style="4" customWidth="1"/>
    <col min="7" max="7" width="13.19921875" style="4" customWidth="1"/>
    <col min="8" max="8" width="16.59765625" style="4" customWidth="1"/>
    <col min="9" max="9" width="13.09765625" style="4" customWidth="1"/>
    <col min="10" max="11" width="12.8984375" style="4" customWidth="1"/>
    <col min="12" max="12" width="13.09765625" style="5" customWidth="1"/>
    <col min="13" max="13" width="10.5" style="6" customWidth="1"/>
    <col min="14" max="14" width="55.09765625" style="1" customWidth="1"/>
    <col min="15" max="15" width="16.796875" style="7" customWidth="1"/>
    <col min="16" max="16" width="13.796875" style="7" customWidth="1"/>
    <col min="17" max="17" width="12.8984375" style="7" customWidth="1"/>
    <col min="18" max="18" width="10.5" style="7" customWidth="1"/>
    <col min="19" max="19" width="11.19921875" style="3" bestFit="1" customWidth="1"/>
    <col min="20" max="20" width="29.59765625" style="3" customWidth="1"/>
    <col min="21" max="21" width="18" style="8" customWidth="1"/>
    <col min="22" max="22" width="11" style="8" bestFit="1" customWidth="1"/>
    <col min="23" max="23" width="11" style="9" bestFit="1" customWidth="1"/>
    <col min="24" max="33" width="10.59765625" style="8" customWidth="1"/>
    <col min="34" max="16384" width="13.69921875" style="8"/>
  </cols>
  <sheetData>
    <row r="1" spans="1:23" x14ac:dyDescent="0.25">
      <c r="A1" s="1"/>
    </row>
    <row r="2" spans="1:23" x14ac:dyDescent="0.25">
      <c r="F2" s="3"/>
      <c r="G2" s="3"/>
      <c r="H2" s="3"/>
      <c r="I2" s="3"/>
      <c r="J2" s="3"/>
      <c r="K2" s="3"/>
      <c r="L2" s="6"/>
    </row>
    <row r="3" spans="1:23" x14ac:dyDescent="0.25">
      <c r="F3" s="3"/>
      <c r="G3" s="3"/>
      <c r="H3" s="3"/>
      <c r="I3" s="3"/>
      <c r="J3" s="3"/>
      <c r="K3" s="3"/>
      <c r="L3" s="6"/>
    </row>
    <row r="4" spans="1:23" x14ac:dyDescent="0.25">
      <c r="F4" s="3"/>
      <c r="G4" s="3"/>
      <c r="H4" s="3"/>
      <c r="I4" s="3"/>
      <c r="J4" s="3"/>
      <c r="K4" s="3"/>
      <c r="L4" s="6"/>
    </row>
    <row r="5" spans="1:23" ht="12.75" customHeight="1" x14ac:dyDescent="0.25">
      <c r="F5" s="3"/>
      <c r="G5" s="3"/>
      <c r="H5" s="3"/>
      <c r="I5" s="3"/>
      <c r="J5" s="3"/>
      <c r="K5" s="3"/>
      <c r="L5" s="6"/>
      <c r="N5" s="11"/>
      <c r="R5" s="12"/>
    </row>
    <row r="7" spans="1:23" x14ac:dyDescent="0.25">
      <c r="A7" s="13" t="s">
        <v>0</v>
      </c>
      <c r="B7" s="14">
        <v>2026</v>
      </c>
    </row>
    <row r="9" spans="1:23" s="21" customFormat="1" x14ac:dyDescent="0.25">
      <c r="A9" s="13" t="s">
        <v>1</v>
      </c>
      <c r="B9" s="2" t="s">
        <v>2</v>
      </c>
      <c r="C9" s="2" t="s">
        <v>3</v>
      </c>
      <c r="D9" s="2" t="s">
        <v>4</v>
      </c>
      <c r="E9" s="15" t="s">
        <v>5</v>
      </c>
      <c r="F9" s="5" t="s">
        <v>6</v>
      </c>
      <c r="G9" s="5" t="s">
        <v>7</v>
      </c>
      <c r="H9" s="16" t="s">
        <v>8</v>
      </c>
      <c r="I9" s="16" t="s">
        <v>9</v>
      </c>
      <c r="J9" s="16" t="s">
        <v>10</v>
      </c>
      <c r="K9" s="16" t="s">
        <v>11</v>
      </c>
      <c r="L9" s="17" t="s">
        <v>12</v>
      </c>
      <c r="M9" s="6" t="s">
        <v>13</v>
      </c>
      <c r="N9" s="15" t="s">
        <v>14</v>
      </c>
      <c r="O9" s="18" t="s">
        <v>15</v>
      </c>
      <c r="P9" s="18" t="s">
        <v>16</v>
      </c>
      <c r="Q9" s="18" t="s">
        <v>17</v>
      </c>
      <c r="R9" s="18" t="s">
        <v>18</v>
      </c>
      <c r="S9" s="6" t="s">
        <v>19</v>
      </c>
      <c r="T9" s="6" t="s">
        <v>20</v>
      </c>
      <c r="U9" s="6" t="s">
        <v>21</v>
      </c>
      <c r="V9" s="19" t="s">
        <v>22</v>
      </c>
      <c r="W9" s="20" t="s">
        <v>23</v>
      </c>
    </row>
    <row r="10" spans="1:23" ht="36" x14ac:dyDescent="0.25">
      <c r="A10" s="10">
        <v>46027</v>
      </c>
      <c r="B10" s="2" t="s">
        <v>24</v>
      </c>
      <c r="C10" s="2" t="s">
        <v>25</v>
      </c>
      <c r="D10" s="2" t="s">
        <v>26</v>
      </c>
      <c r="E10" s="3" t="s">
        <v>27</v>
      </c>
      <c r="F10" s="4">
        <v>13483832.84</v>
      </c>
      <c r="G10" s="4" t="s">
        <v>28</v>
      </c>
      <c r="H10" s="22" t="s">
        <v>29</v>
      </c>
      <c r="I10" s="22">
        <v>13483832.84</v>
      </c>
      <c r="J10" s="22"/>
      <c r="K10" s="22">
        <f>ABS(I10-J10)</f>
        <v>13483832.84</v>
      </c>
      <c r="L10" s="17">
        <v>13483832.84</v>
      </c>
      <c r="M10" s="23" t="s">
        <v>41</v>
      </c>
      <c r="N10" s="1" t="s">
        <v>30</v>
      </c>
      <c r="O10" s="24" t="s">
        <v>31</v>
      </c>
      <c r="P10" s="24" t="s">
        <v>32</v>
      </c>
      <c r="Q10" s="25" t="s">
        <v>33</v>
      </c>
      <c r="R10" s="7" t="s">
        <v>34</v>
      </c>
      <c r="S10" s="3" t="s">
        <v>35</v>
      </c>
    </row>
    <row r="11" spans="1:23" x14ac:dyDescent="0.25">
      <c r="A11" s="10">
        <v>46027</v>
      </c>
      <c r="B11" s="2" t="s">
        <v>24</v>
      </c>
      <c r="C11" s="2" t="s">
        <v>25</v>
      </c>
      <c r="D11" s="2" t="s">
        <v>26</v>
      </c>
      <c r="E11" s="3" t="s">
        <v>27</v>
      </c>
      <c r="G11" s="4" t="s">
        <v>28</v>
      </c>
      <c r="H11" s="22" t="s">
        <v>36</v>
      </c>
      <c r="I11" s="22"/>
      <c r="J11" s="22">
        <f>I10</f>
        <v>13483832.84</v>
      </c>
      <c r="K11" s="22">
        <f t="shared" ref="K11:K85" si="0">ABS(I11-J11)</f>
        <v>13483832.84</v>
      </c>
      <c r="L11" s="17"/>
    </row>
    <row r="12" spans="1:23" ht="24" x14ac:dyDescent="0.25">
      <c r="A12" s="10">
        <v>46027</v>
      </c>
      <c r="B12" s="2" t="s">
        <v>37</v>
      </c>
      <c r="C12" s="2" t="s">
        <v>38</v>
      </c>
      <c r="E12" s="3" t="s">
        <v>39</v>
      </c>
      <c r="F12" s="4">
        <f>129093.6+2264.8</f>
        <v>131358.39999999999</v>
      </c>
      <c r="G12" s="4" t="s">
        <v>28</v>
      </c>
      <c r="H12" s="22" t="s">
        <v>40</v>
      </c>
      <c r="I12" s="22">
        <v>129093.6</v>
      </c>
      <c r="J12" s="22"/>
      <c r="K12" s="22">
        <f t="shared" si="0"/>
        <v>129093.6</v>
      </c>
      <c r="L12" s="17">
        <f>129093.6+2264.8</f>
        <v>131358.39999999999</v>
      </c>
      <c r="M12" s="23" t="s">
        <v>41</v>
      </c>
      <c r="N12" s="1" t="s">
        <v>42</v>
      </c>
      <c r="P12" s="7" t="s">
        <v>43</v>
      </c>
      <c r="R12" s="7" t="s">
        <v>44</v>
      </c>
      <c r="S12" s="3" t="s">
        <v>45</v>
      </c>
      <c r="U12" s="8" t="s">
        <v>46</v>
      </c>
    </row>
    <row r="13" spans="1:23" x14ac:dyDescent="0.25">
      <c r="A13" s="10">
        <v>46027</v>
      </c>
      <c r="B13" s="2" t="s">
        <v>37</v>
      </c>
      <c r="C13" s="2" t="s">
        <v>38</v>
      </c>
      <c r="E13" s="3" t="s">
        <v>39</v>
      </c>
      <c r="G13" s="4" t="s">
        <v>28</v>
      </c>
      <c r="H13" s="22" t="s">
        <v>47</v>
      </c>
      <c r="I13" s="22">
        <v>2264.8000000000002</v>
      </c>
      <c r="J13" s="22"/>
      <c r="K13" s="22"/>
      <c r="L13" s="17"/>
      <c r="M13" s="23"/>
    </row>
    <row r="14" spans="1:23" x14ac:dyDescent="0.25">
      <c r="A14" s="10">
        <v>46027</v>
      </c>
      <c r="B14" s="2" t="s">
        <v>37</v>
      </c>
      <c r="C14" s="2" t="s">
        <v>38</v>
      </c>
      <c r="E14" s="3" t="s">
        <v>39</v>
      </c>
      <c r="G14" s="4" t="s">
        <v>48</v>
      </c>
      <c r="H14" s="22" t="s">
        <v>49</v>
      </c>
      <c r="I14" s="22"/>
      <c r="J14" s="22">
        <f>I12+I13</f>
        <v>131358.39999999999</v>
      </c>
      <c r="K14" s="22">
        <f t="shared" si="0"/>
        <v>131358.39999999999</v>
      </c>
      <c r="L14" s="17"/>
      <c r="M14" s="26"/>
    </row>
    <row r="15" spans="1:23" ht="24" x14ac:dyDescent="0.25">
      <c r="A15" s="10">
        <v>46027</v>
      </c>
      <c r="B15" s="2" t="s">
        <v>50</v>
      </c>
      <c r="C15" s="2" t="s">
        <v>38</v>
      </c>
      <c r="E15" s="3" t="s">
        <v>39</v>
      </c>
      <c r="F15" s="4">
        <f>983412.58+2264.8</f>
        <v>985677.38</v>
      </c>
      <c r="G15" s="4" t="s">
        <v>28</v>
      </c>
      <c r="H15" s="22" t="s">
        <v>40</v>
      </c>
      <c r="I15" s="22">
        <v>978000</v>
      </c>
      <c r="J15" s="22"/>
      <c r="K15" s="22">
        <f t="shared" si="0"/>
        <v>978000</v>
      </c>
      <c r="L15" s="17">
        <f>983412.58+2264.8</f>
        <v>985677.38</v>
      </c>
      <c r="M15" s="23" t="s">
        <v>41</v>
      </c>
      <c r="N15" s="1" t="s">
        <v>51</v>
      </c>
      <c r="P15" s="7" t="s">
        <v>43</v>
      </c>
      <c r="R15" s="7" t="s">
        <v>44</v>
      </c>
      <c r="S15" s="3" t="s">
        <v>45</v>
      </c>
      <c r="U15" s="8" t="s">
        <v>52</v>
      </c>
    </row>
    <row r="16" spans="1:23" x14ac:dyDescent="0.25">
      <c r="A16" s="10">
        <v>46027</v>
      </c>
      <c r="B16" s="2" t="s">
        <v>50</v>
      </c>
      <c r="C16" s="2" t="s">
        <v>38</v>
      </c>
      <c r="E16" s="3" t="s">
        <v>39</v>
      </c>
      <c r="G16" s="4" t="s">
        <v>28</v>
      </c>
      <c r="H16" s="22" t="s">
        <v>47</v>
      </c>
      <c r="I16" s="22"/>
      <c r="J16" s="22"/>
      <c r="K16" s="22"/>
      <c r="L16" s="17"/>
      <c r="M16" s="23"/>
    </row>
    <row r="17" spans="1:22" x14ac:dyDescent="0.25">
      <c r="A17" s="10">
        <v>46027</v>
      </c>
      <c r="B17" s="2" t="s">
        <v>50</v>
      </c>
      <c r="C17" s="2" t="s">
        <v>38</v>
      </c>
      <c r="E17" s="3" t="s">
        <v>39</v>
      </c>
      <c r="G17" s="4" t="s">
        <v>48</v>
      </c>
      <c r="H17" s="22" t="s">
        <v>49</v>
      </c>
      <c r="I17" s="22"/>
      <c r="J17" s="22">
        <f>I15</f>
        <v>978000</v>
      </c>
      <c r="K17" s="22">
        <f t="shared" si="0"/>
        <v>978000</v>
      </c>
      <c r="L17" s="17"/>
      <c r="M17" s="26"/>
    </row>
    <row r="18" spans="1:22" ht="24" x14ac:dyDescent="0.25">
      <c r="A18" s="10">
        <v>46027</v>
      </c>
      <c r="B18" s="2" t="s">
        <v>53</v>
      </c>
      <c r="C18" s="2" t="s">
        <v>54</v>
      </c>
      <c r="D18" s="2" t="s">
        <v>55</v>
      </c>
      <c r="E18" s="3" t="s">
        <v>56</v>
      </c>
      <c r="F18" s="4">
        <v>233147</v>
      </c>
      <c r="G18" s="4" t="s">
        <v>28</v>
      </c>
      <c r="H18" s="22" t="s">
        <v>57</v>
      </c>
      <c r="I18" s="22">
        <v>280900</v>
      </c>
      <c r="J18" s="22"/>
      <c r="K18" s="22">
        <f t="shared" si="0"/>
        <v>280900</v>
      </c>
      <c r="L18" s="17">
        <v>233147</v>
      </c>
      <c r="M18" s="23" t="s">
        <v>41</v>
      </c>
      <c r="N18" s="1" t="s">
        <v>58</v>
      </c>
      <c r="O18" s="7" t="s">
        <v>59</v>
      </c>
      <c r="V18" s="27"/>
    </row>
    <row r="19" spans="1:22" x14ac:dyDescent="0.25">
      <c r="A19" s="10">
        <v>46027</v>
      </c>
      <c r="B19" s="2" t="s">
        <v>53</v>
      </c>
      <c r="C19" s="2" t="s">
        <v>54</v>
      </c>
      <c r="D19" s="2" t="s">
        <v>55</v>
      </c>
      <c r="E19" s="3" t="s">
        <v>56</v>
      </c>
      <c r="G19" s="4" t="s">
        <v>28</v>
      </c>
      <c r="H19" s="22" t="s">
        <v>60</v>
      </c>
      <c r="I19" s="22"/>
      <c r="J19" s="22">
        <v>5618</v>
      </c>
      <c r="K19" s="22">
        <f t="shared" si="0"/>
        <v>5618</v>
      </c>
      <c r="L19" s="17"/>
      <c r="M19" s="26"/>
    </row>
    <row r="20" spans="1:22" x14ac:dyDescent="0.25">
      <c r="A20" s="10">
        <v>46027</v>
      </c>
      <c r="B20" s="2" t="s">
        <v>53</v>
      </c>
      <c r="C20" s="2" t="s">
        <v>54</v>
      </c>
      <c r="D20" s="2" t="s">
        <v>55</v>
      </c>
      <c r="E20" s="3" t="s">
        <v>56</v>
      </c>
      <c r="G20" s="4" t="s">
        <v>28</v>
      </c>
      <c r="H20" s="22" t="s">
        <v>61</v>
      </c>
      <c r="I20" s="22"/>
      <c r="J20" s="22">
        <v>14045</v>
      </c>
      <c r="K20" s="22">
        <f t="shared" si="0"/>
        <v>14045</v>
      </c>
      <c r="L20" s="17"/>
      <c r="M20" s="26"/>
    </row>
    <row r="21" spans="1:22" x14ac:dyDescent="0.25">
      <c r="A21" s="10">
        <v>46027</v>
      </c>
      <c r="B21" s="2" t="s">
        <v>53</v>
      </c>
      <c r="C21" s="2" t="s">
        <v>54</v>
      </c>
      <c r="D21" s="2" t="s">
        <v>55</v>
      </c>
      <c r="E21" s="3" t="s">
        <v>56</v>
      </c>
      <c r="G21" s="4" t="s">
        <v>28</v>
      </c>
      <c r="H21" s="22" t="s">
        <v>62</v>
      </c>
      <c r="I21" s="22"/>
      <c r="J21" s="22">
        <v>28090</v>
      </c>
      <c r="K21" s="22">
        <f t="shared" si="0"/>
        <v>28090</v>
      </c>
      <c r="L21" s="17"/>
      <c r="M21" s="26"/>
    </row>
    <row r="22" spans="1:22" x14ac:dyDescent="0.25">
      <c r="A22" s="10">
        <v>46027</v>
      </c>
      <c r="B22" s="2" t="s">
        <v>53</v>
      </c>
      <c r="C22" s="2" t="s">
        <v>54</v>
      </c>
      <c r="D22" s="2" t="s">
        <v>55</v>
      </c>
      <c r="E22" s="3" t="s">
        <v>56</v>
      </c>
      <c r="G22" s="4" t="s">
        <v>48</v>
      </c>
      <c r="H22" s="22" t="s">
        <v>49</v>
      </c>
      <c r="I22" s="22"/>
      <c r="J22" s="22">
        <f>I18-J19-J20-J21</f>
        <v>233147</v>
      </c>
      <c r="K22" s="22">
        <f t="shared" si="0"/>
        <v>233147</v>
      </c>
      <c r="L22" s="17"/>
      <c r="M22" s="26"/>
    </row>
    <row r="23" spans="1:22" ht="24" x14ac:dyDescent="0.25">
      <c r="A23" s="10">
        <v>46027</v>
      </c>
      <c r="B23" s="2" t="s">
        <v>63</v>
      </c>
      <c r="C23" s="2" t="s">
        <v>64</v>
      </c>
      <c r="D23" s="2" t="s">
        <v>65</v>
      </c>
      <c r="E23" s="3" t="s">
        <v>66</v>
      </c>
      <c r="F23" s="4">
        <v>500000</v>
      </c>
      <c r="G23" s="4" t="s">
        <v>28</v>
      </c>
      <c r="H23" s="22" t="s">
        <v>61</v>
      </c>
      <c r="I23" s="22">
        <v>500000</v>
      </c>
      <c r="J23" s="22"/>
      <c r="K23" s="22">
        <f t="shared" si="0"/>
        <v>500000</v>
      </c>
      <c r="L23" s="17">
        <v>500000</v>
      </c>
      <c r="M23" s="23" t="s">
        <v>41</v>
      </c>
      <c r="N23" s="1" t="s">
        <v>67</v>
      </c>
      <c r="O23" s="24" t="s">
        <v>68</v>
      </c>
      <c r="P23" s="24"/>
      <c r="Q23" s="25" t="s">
        <v>69</v>
      </c>
      <c r="R23" s="7" t="s">
        <v>70</v>
      </c>
      <c r="S23" s="3" t="s">
        <v>71</v>
      </c>
      <c r="T23" s="3" t="s">
        <v>72</v>
      </c>
    </row>
    <row r="24" spans="1:22" x14ac:dyDescent="0.25">
      <c r="A24" s="10">
        <v>46027</v>
      </c>
      <c r="B24" s="2" t="s">
        <v>63</v>
      </c>
      <c r="C24" s="2" t="s">
        <v>64</v>
      </c>
      <c r="D24" s="2" t="s">
        <v>65</v>
      </c>
      <c r="E24" s="3" t="s">
        <v>66</v>
      </c>
      <c r="G24" s="4" t="s">
        <v>48</v>
      </c>
      <c r="H24" s="22" t="s">
        <v>49</v>
      </c>
      <c r="I24" s="22"/>
      <c r="J24" s="22">
        <f>I23</f>
        <v>500000</v>
      </c>
      <c r="K24" s="22">
        <f t="shared" si="0"/>
        <v>500000</v>
      </c>
      <c r="L24" s="17"/>
      <c r="M24" s="26"/>
    </row>
    <row r="25" spans="1:22" ht="24" x14ac:dyDescent="0.25">
      <c r="A25" s="10">
        <v>46027</v>
      </c>
      <c r="B25" s="2" t="s">
        <v>73</v>
      </c>
      <c r="C25" s="2" t="s">
        <v>74</v>
      </c>
      <c r="D25" s="2" t="s">
        <v>75</v>
      </c>
      <c r="E25" s="3" t="s">
        <v>76</v>
      </c>
      <c r="F25" s="4">
        <v>10300</v>
      </c>
      <c r="G25" s="4" t="s">
        <v>77</v>
      </c>
      <c r="H25" s="22" t="s">
        <v>78</v>
      </c>
      <c r="I25" s="22">
        <v>10300</v>
      </c>
      <c r="J25" s="22"/>
      <c r="K25" s="22">
        <f t="shared" si="0"/>
        <v>10300</v>
      </c>
      <c r="L25" s="17">
        <v>10300</v>
      </c>
      <c r="M25" s="23" t="s">
        <v>41</v>
      </c>
      <c r="N25" s="1" t="s">
        <v>79</v>
      </c>
      <c r="O25" s="28" t="s">
        <v>80</v>
      </c>
      <c r="P25" s="28"/>
      <c r="Q25" s="7" t="s">
        <v>81</v>
      </c>
      <c r="R25" s="7" t="s">
        <v>82</v>
      </c>
      <c r="S25" s="3" t="s">
        <v>83</v>
      </c>
      <c r="T25" s="3" t="s">
        <v>84</v>
      </c>
    </row>
    <row r="26" spans="1:22" x14ac:dyDescent="0.25">
      <c r="A26" s="10">
        <v>46027</v>
      </c>
      <c r="B26" s="2" t="s">
        <v>73</v>
      </c>
      <c r="C26" s="2" t="s">
        <v>74</v>
      </c>
      <c r="D26" s="2" t="s">
        <v>75</v>
      </c>
      <c r="E26" s="3" t="s">
        <v>76</v>
      </c>
      <c r="G26" s="4" t="s">
        <v>48</v>
      </c>
      <c r="H26" s="22" t="s">
        <v>49</v>
      </c>
      <c r="I26" s="22"/>
      <c r="J26" s="22">
        <f>I25</f>
        <v>10300</v>
      </c>
      <c r="K26" s="22">
        <f t="shared" si="0"/>
        <v>10300</v>
      </c>
      <c r="L26" s="17"/>
      <c r="M26" s="26"/>
    </row>
    <row r="27" spans="1:22" x14ac:dyDescent="0.25">
      <c r="A27" s="10">
        <v>46027</v>
      </c>
      <c r="B27" s="2" t="s">
        <v>85</v>
      </c>
      <c r="C27" s="2" t="s">
        <v>86</v>
      </c>
      <c r="D27" s="2" t="s">
        <v>87</v>
      </c>
      <c r="E27" s="3" t="s">
        <v>76</v>
      </c>
      <c r="F27" s="4">
        <v>5900</v>
      </c>
      <c r="G27" s="4" t="s">
        <v>77</v>
      </c>
      <c r="H27" s="22" t="s">
        <v>78</v>
      </c>
      <c r="I27" s="22">
        <v>5900</v>
      </c>
      <c r="J27" s="22"/>
      <c r="K27" s="22">
        <f t="shared" si="0"/>
        <v>5900</v>
      </c>
      <c r="L27" s="17">
        <v>5900</v>
      </c>
      <c r="M27" s="23" t="s">
        <v>41</v>
      </c>
      <c r="N27" s="1" t="s">
        <v>88</v>
      </c>
      <c r="O27" s="28" t="s">
        <v>80</v>
      </c>
      <c r="P27" s="28"/>
      <c r="R27" s="7" t="s">
        <v>89</v>
      </c>
    </row>
    <row r="28" spans="1:22" x14ac:dyDescent="0.25">
      <c r="A28" s="10">
        <v>46027</v>
      </c>
      <c r="B28" s="2" t="s">
        <v>85</v>
      </c>
      <c r="C28" s="2" t="s">
        <v>86</v>
      </c>
      <c r="D28" s="2" t="s">
        <v>87</v>
      </c>
      <c r="E28" s="3" t="s">
        <v>76</v>
      </c>
      <c r="G28" s="4" t="s">
        <v>48</v>
      </c>
      <c r="H28" s="22" t="s">
        <v>49</v>
      </c>
      <c r="I28" s="22"/>
      <c r="J28" s="22">
        <f>I27</f>
        <v>5900</v>
      </c>
      <c r="K28" s="22">
        <f t="shared" si="0"/>
        <v>5900</v>
      </c>
      <c r="L28" s="17"/>
      <c r="M28" s="26"/>
    </row>
    <row r="29" spans="1:22" ht="24" x14ac:dyDescent="0.25">
      <c r="A29" s="10">
        <v>46027</v>
      </c>
      <c r="B29" s="2" t="s">
        <v>90</v>
      </c>
      <c r="D29" s="2" t="s">
        <v>91</v>
      </c>
      <c r="E29" s="3" t="s">
        <v>92</v>
      </c>
      <c r="F29" s="4">
        <v>7500</v>
      </c>
      <c r="G29" s="4" t="s">
        <v>28</v>
      </c>
      <c r="H29" s="22" t="s">
        <v>78</v>
      </c>
      <c r="I29" s="22">
        <v>7500</v>
      </c>
      <c r="J29" s="22"/>
      <c r="K29" s="22">
        <f t="shared" si="0"/>
        <v>7500</v>
      </c>
      <c r="L29" s="17">
        <v>7500</v>
      </c>
      <c r="M29" s="23" t="s">
        <v>41</v>
      </c>
      <c r="N29" s="1" t="s">
        <v>93</v>
      </c>
    </row>
    <row r="30" spans="1:22" x14ac:dyDescent="0.25">
      <c r="A30" s="10">
        <v>46027</v>
      </c>
      <c r="B30" s="2" t="s">
        <v>90</v>
      </c>
      <c r="D30" s="2" t="s">
        <v>91</v>
      </c>
      <c r="E30" s="3" t="s">
        <v>92</v>
      </c>
      <c r="G30" s="4" t="s">
        <v>48</v>
      </c>
      <c r="H30" s="22" t="s">
        <v>49</v>
      </c>
      <c r="I30" s="22"/>
      <c r="J30" s="22">
        <f>I29</f>
        <v>7500</v>
      </c>
      <c r="K30" s="22">
        <f t="shared" si="0"/>
        <v>7500</v>
      </c>
      <c r="L30" s="17"/>
      <c r="M30" s="26"/>
    </row>
    <row r="31" spans="1:22" x14ac:dyDescent="0.25">
      <c r="A31" s="10">
        <v>46027</v>
      </c>
      <c r="B31" s="2" t="s">
        <v>94</v>
      </c>
      <c r="C31" s="2" t="s">
        <v>95</v>
      </c>
      <c r="D31" s="2" t="s">
        <v>96</v>
      </c>
      <c r="E31" s="3" t="s">
        <v>97</v>
      </c>
      <c r="F31" s="4">
        <v>17779.82</v>
      </c>
      <c r="G31" s="4" t="s">
        <v>98</v>
      </c>
      <c r="H31" s="22" t="s">
        <v>40</v>
      </c>
      <c r="I31" s="22">
        <f>17940/1.12</f>
        <v>16017.857142857141</v>
      </c>
      <c r="J31" s="22"/>
      <c r="K31" s="22">
        <f t="shared" si="0"/>
        <v>16017.857142857141</v>
      </c>
      <c r="L31" s="17">
        <v>0</v>
      </c>
      <c r="M31" s="29" t="s">
        <v>99</v>
      </c>
      <c r="N31" s="1" t="s">
        <v>100</v>
      </c>
      <c r="O31" s="30" t="s">
        <v>101</v>
      </c>
      <c r="P31" s="30"/>
      <c r="Q31" s="25" t="s">
        <v>102</v>
      </c>
      <c r="R31" s="7" t="s">
        <v>89</v>
      </c>
      <c r="S31" s="3" t="s">
        <v>71</v>
      </c>
      <c r="T31" s="3" t="s">
        <v>103</v>
      </c>
    </row>
    <row r="32" spans="1:22" x14ac:dyDescent="0.25">
      <c r="A32" s="10">
        <v>46027</v>
      </c>
      <c r="B32" s="2" t="s">
        <v>94</v>
      </c>
      <c r="C32" s="2" t="s">
        <v>95</v>
      </c>
      <c r="D32" s="2" t="s">
        <v>96</v>
      </c>
      <c r="E32" s="3" t="s">
        <v>97</v>
      </c>
      <c r="G32" s="4" t="s">
        <v>98</v>
      </c>
      <c r="H32" s="22" t="s">
        <v>104</v>
      </c>
      <c r="I32" s="22">
        <f>I31*0.12</f>
        <v>1922.1428571428569</v>
      </c>
      <c r="J32" s="22"/>
      <c r="K32" s="22">
        <f t="shared" si="0"/>
        <v>1922.1428571428569</v>
      </c>
      <c r="L32" s="17"/>
      <c r="M32" s="26"/>
    </row>
    <row r="33" spans="1:23" x14ac:dyDescent="0.25">
      <c r="A33" s="10">
        <v>46027</v>
      </c>
      <c r="B33" s="2" t="s">
        <v>94</v>
      </c>
      <c r="C33" s="2" t="s">
        <v>95</v>
      </c>
      <c r="D33" s="2" t="s">
        <v>96</v>
      </c>
      <c r="E33" s="3" t="s">
        <v>97</v>
      </c>
      <c r="G33" s="4" t="s">
        <v>98</v>
      </c>
      <c r="H33" s="22" t="s">
        <v>105</v>
      </c>
      <c r="I33" s="22"/>
      <c r="J33" s="22">
        <f>I31*0.01</f>
        <v>160.17857142857142</v>
      </c>
      <c r="K33" s="22">
        <f t="shared" si="0"/>
        <v>160.17857142857142</v>
      </c>
      <c r="L33" s="17"/>
      <c r="M33" s="26"/>
    </row>
    <row r="34" spans="1:23" x14ac:dyDescent="0.25">
      <c r="A34" s="10">
        <v>46027</v>
      </c>
      <c r="B34" s="2" t="s">
        <v>94</v>
      </c>
      <c r="C34" s="2" t="s">
        <v>95</v>
      </c>
      <c r="D34" s="2" t="s">
        <v>96</v>
      </c>
      <c r="E34" s="3" t="s">
        <v>97</v>
      </c>
      <c r="G34" s="4" t="s">
        <v>48</v>
      </c>
      <c r="H34" s="22" t="s">
        <v>49</v>
      </c>
      <c r="I34" s="22"/>
      <c r="J34" s="22">
        <f>I31+I32-J33</f>
        <v>17779.821428571428</v>
      </c>
      <c r="K34" s="22">
        <f t="shared" si="0"/>
        <v>17779.821428571428</v>
      </c>
      <c r="L34" s="17"/>
      <c r="M34" s="26"/>
    </row>
    <row r="35" spans="1:23" ht="24" x14ac:dyDescent="0.25">
      <c r="A35" s="10">
        <v>46028</v>
      </c>
      <c r="B35" s="2" t="s">
        <v>106</v>
      </c>
      <c r="C35" s="2" t="s">
        <v>107</v>
      </c>
      <c r="D35" s="2" t="s">
        <v>108</v>
      </c>
      <c r="E35" s="3" t="s">
        <v>109</v>
      </c>
      <c r="F35" s="4">
        <v>19100</v>
      </c>
      <c r="G35" s="4" t="s">
        <v>110</v>
      </c>
      <c r="H35" s="22" t="s">
        <v>40</v>
      </c>
      <c r="I35" s="22">
        <v>19100</v>
      </c>
      <c r="J35" s="22"/>
      <c r="K35" s="22">
        <f t="shared" si="0"/>
        <v>19100</v>
      </c>
      <c r="L35" s="17">
        <v>19100</v>
      </c>
      <c r="M35" s="23" t="s">
        <v>41</v>
      </c>
      <c r="N35" s="1" t="s">
        <v>111</v>
      </c>
    </row>
    <row r="36" spans="1:23" x14ac:dyDescent="0.25">
      <c r="A36" s="10">
        <v>46028</v>
      </c>
      <c r="B36" s="2" t="s">
        <v>106</v>
      </c>
      <c r="C36" s="2" t="s">
        <v>107</v>
      </c>
      <c r="D36" s="2" t="s">
        <v>108</v>
      </c>
      <c r="E36" s="3" t="s">
        <v>109</v>
      </c>
      <c r="G36" s="4" t="s">
        <v>48</v>
      </c>
      <c r="H36" s="22" t="s">
        <v>49</v>
      </c>
      <c r="I36" s="22"/>
      <c r="J36" s="22">
        <f>I35:I35</f>
        <v>19100</v>
      </c>
      <c r="K36" s="22">
        <f t="shared" si="0"/>
        <v>19100</v>
      </c>
      <c r="L36" s="17"/>
      <c r="M36" s="26"/>
    </row>
    <row r="37" spans="1:23" ht="24" x14ac:dyDescent="0.25">
      <c r="A37" s="10">
        <v>46028</v>
      </c>
      <c r="B37" s="2" t="s">
        <v>112</v>
      </c>
      <c r="C37" s="2" t="s">
        <v>113</v>
      </c>
      <c r="D37" s="2" t="s">
        <v>108</v>
      </c>
      <c r="E37" s="3" t="s">
        <v>114</v>
      </c>
      <c r="F37" s="4">
        <f>10500-(10500*0.05)</f>
        <v>9975</v>
      </c>
      <c r="G37" s="4" t="s">
        <v>110</v>
      </c>
      <c r="H37" s="22" t="s">
        <v>40</v>
      </c>
      <c r="I37" s="22">
        <v>10500</v>
      </c>
      <c r="J37" s="22"/>
      <c r="K37" s="22">
        <f t="shared" si="0"/>
        <v>10500</v>
      </c>
      <c r="L37" s="17">
        <v>9975</v>
      </c>
      <c r="M37" s="23" t="s">
        <v>41</v>
      </c>
      <c r="N37" s="1" t="s">
        <v>115</v>
      </c>
      <c r="O37" s="7" t="s">
        <v>116</v>
      </c>
      <c r="Q37" s="7" t="s">
        <v>81</v>
      </c>
      <c r="R37" s="7" t="s">
        <v>117</v>
      </c>
      <c r="S37" s="3" t="s">
        <v>83</v>
      </c>
      <c r="T37" s="3" t="s">
        <v>118</v>
      </c>
      <c r="U37" s="8" t="s">
        <v>119</v>
      </c>
      <c r="W37" s="9" t="s">
        <v>120</v>
      </c>
    </row>
    <row r="38" spans="1:23" x14ac:dyDescent="0.25">
      <c r="A38" s="10">
        <v>46028</v>
      </c>
      <c r="B38" s="2" t="s">
        <v>112</v>
      </c>
      <c r="C38" s="2" t="s">
        <v>113</v>
      </c>
      <c r="D38" s="2" t="s">
        <v>108</v>
      </c>
      <c r="E38" s="3" t="s">
        <v>114</v>
      </c>
      <c r="G38" s="4" t="s">
        <v>110</v>
      </c>
      <c r="H38" s="22" t="s">
        <v>105</v>
      </c>
      <c r="I38" s="22"/>
      <c r="J38" s="22">
        <f>I37*0.05</f>
        <v>525</v>
      </c>
      <c r="K38" s="22">
        <f t="shared" si="0"/>
        <v>525</v>
      </c>
      <c r="L38" s="17"/>
      <c r="M38" s="26"/>
    </row>
    <row r="39" spans="1:23" x14ac:dyDescent="0.25">
      <c r="A39" s="10">
        <v>46028</v>
      </c>
      <c r="B39" s="2" t="s">
        <v>112</v>
      </c>
      <c r="C39" s="2" t="s">
        <v>113</v>
      </c>
      <c r="D39" s="2" t="s">
        <v>108</v>
      </c>
      <c r="E39" s="3" t="s">
        <v>114</v>
      </c>
      <c r="G39" s="4" t="s">
        <v>48</v>
      </c>
      <c r="H39" s="22" t="s">
        <v>49</v>
      </c>
      <c r="I39" s="22"/>
      <c r="J39" s="22">
        <f>I37-J38</f>
        <v>9975</v>
      </c>
      <c r="K39" s="22">
        <f t="shared" si="0"/>
        <v>9975</v>
      </c>
      <c r="L39" s="17"/>
      <c r="M39" s="26"/>
    </row>
    <row r="40" spans="1:23" ht="24" x14ac:dyDescent="0.25">
      <c r="A40" s="10">
        <v>46028</v>
      </c>
      <c r="B40" s="2" t="s">
        <v>121</v>
      </c>
      <c r="C40" s="2" t="s">
        <v>122</v>
      </c>
      <c r="D40" s="2" t="s">
        <v>108</v>
      </c>
      <c r="E40" s="3" t="s">
        <v>123</v>
      </c>
      <c r="F40" s="4">
        <f>(6500/1.12)+(6500/1.12*0.12)-(6500/1.12*0.01)</f>
        <v>6441.9642857142853</v>
      </c>
      <c r="G40" s="4" t="s">
        <v>110</v>
      </c>
      <c r="H40" s="22" t="s">
        <v>40</v>
      </c>
      <c r="I40" s="22">
        <f>6500/1.12</f>
        <v>5803.5714285714284</v>
      </c>
      <c r="J40" s="22"/>
      <c r="K40" s="22">
        <f t="shared" si="0"/>
        <v>5803.5714285714284</v>
      </c>
      <c r="L40" s="17">
        <v>6441.96</v>
      </c>
      <c r="M40" s="23" t="s">
        <v>41</v>
      </c>
      <c r="N40" s="1" t="s">
        <v>124</v>
      </c>
      <c r="O40" s="7" t="s">
        <v>116</v>
      </c>
      <c r="Q40" s="7" t="s">
        <v>81</v>
      </c>
      <c r="R40" s="7" t="s">
        <v>117</v>
      </c>
      <c r="S40" s="3" t="s">
        <v>83</v>
      </c>
      <c r="T40" s="3" t="s">
        <v>118</v>
      </c>
      <c r="U40" s="8" t="s">
        <v>119</v>
      </c>
      <c r="W40" s="9" t="s">
        <v>125</v>
      </c>
    </row>
    <row r="41" spans="1:23" x14ac:dyDescent="0.25">
      <c r="A41" s="10">
        <v>46028</v>
      </c>
      <c r="B41" s="2" t="s">
        <v>121</v>
      </c>
      <c r="C41" s="2" t="s">
        <v>122</v>
      </c>
      <c r="D41" s="2" t="s">
        <v>108</v>
      </c>
      <c r="E41" s="3" t="s">
        <v>123</v>
      </c>
      <c r="G41" s="4" t="s">
        <v>110</v>
      </c>
      <c r="H41" s="22" t="s">
        <v>104</v>
      </c>
      <c r="I41" s="22">
        <f>I40*0.12</f>
        <v>696.42857142857133</v>
      </c>
      <c r="J41" s="22"/>
      <c r="K41" s="22">
        <f t="shared" si="0"/>
        <v>696.42857142857133</v>
      </c>
      <c r="L41" s="17"/>
      <c r="M41" s="26"/>
    </row>
    <row r="42" spans="1:23" x14ac:dyDescent="0.25">
      <c r="A42" s="10">
        <v>46028</v>
      </c>
      <c r="B42" s="2" t="s">
        <v>121</v>
      </c>
      <c r="C42" s="2" t="s">
        <v>122</v>
      </c>
      <c r="D42" s="2" t="s">
        <v>108</v>
      </c>
      <c r="E42" s="3" t="s">
        <v>123</v>
      </c>
      <c r="G42" s="4" t="s">
        <v>110</v>
      </c>
      <c r="H42" s="22" t="s">
        <v>105</v>
      </c>
      <c r="I42" s="22"/>
      <c r="J42" s="22">
        <f>I40*0.01</f>
        <v>58.035714285714285</v>
      </c>
      <c r="K42" s="22">
        <f t="shared" si="0"/>
        <v>58.035714285714285</v>
      </c>
      <c r="L42" s="17"/>
      <c r="M42" s="26"/>
    </row>
    <row r="43" spans="1:23" x14ac:dyDescent="0.25">
      <c r="A43" s="10">
        <v>46028</v>
      </c>
      <c r="B43" s="2" t="s">
        <v>121</v>
      </c>
      <c r="C43" s="2" t="s">
        <v>122</v>
      </c>
      <c r="D43" s="2" t="s">
        <v>108</v>
      </c>
      <c r="E43" s="3" t="s">
        <v>123</v>
      </c>
      <c r="G43" s="4" t="s">
        <v>48</v>
      </c>
      <c r="H43" s="22" t="s">
        <v>49</v>
      </c>
      <c r="I43" s="22"/>
      <c r="J43" s="22">
        <f>I40+I41-J42</f>
        <v>6441.9642857142853</v>
      </c>
      <c r="K43" s="22">
        <f t="shared" si="0"/>
        <v>6441.9642857142853</v>
      </c>
      <c r="L43" s="17"/>
      <c r="M43" s="26"/>
    </row>
    <row r="44" spans="1:23" x14ac:dyDescent="0.25">
      <c r="A44" s="10">
        <v>46028</v>
      </c>
      <c r="B44" s="2" t="s">
        <v>126</v>
      </c>
      <c r="C44" s="2" t="s">
        <v>74</v>
      </c>
      <c r="D44" s="2" t="s">
        <v>127</v>
      </c>
      <c r="E44" s="3" t="s">
        <v>76</v>
      </c>
      <c r="F44" s="4">
        <v>7650</v>
      </c>
      <c r="G44" s="4" t="s">
        <v>128</v>
      </c>
      <c r="H44" s="22" t="s">
        <v>78</v>
      </c>
      <c r="I44" s="22">
        <v>7650</v>
      </c>
      <c r="J44" s="22"/>
      <c r="K44" s="22">
        <f t="shared" si="0"/>
        <v>7650</v>
      </c>
      <c r="L44" s="17">
        <v>7650</v>
      </c>
      <c r="M44" s="23" t="s">
        <v>41</v>
      </c>
      <c r="N44" s="1" t="s">
        <v>129</v>
      </c>
      <c r="O44" s="28" t="s">
        <v>80</v>
      </c>
      <c r="P44" s="28"/>
      <c r="Q44" s="7" t="s">
        <v>81</v>
      </c>
      <c r="R44" s="7" t="s">
        <v>82</v>
      </c>
      <c r="S44" s="3" t="s">
        <v>83</v>
      </c>
      <c r="T44" s="3" t="s">
        <v>84</v>
      </c>
    </row>
    <row r="45" spans="1:23" x14ac:dyDescent="0.25">
      <c r="A45" s="10">
        <v>46028</v>
      </c>
      <c r="B45" s="2" t="s">
        <v>126</v>
      </c>
      <c r="C45" s="2" t="s">
        <v>74</v>
      </c>
      <c r="D45" s="2" t="s">
        <v>127</v>
      </c>
      <c r="E45" s="3" t="s">
        <v>76</v>
      </c>
      <c r="G45" s="4" t="s">
        <v>48</v>
      </c>
      <c r="H45" s="22" t="s">
        <v>49</v>
      </c>
      <c r="I45" s="22"/>
      <c r="J45" s="22">
        <f>I44</f>
        <v>7650</v>
      </c>
      <c r="K45" s="22">
        <f t="shared" si="0"/>
        <v>7650</v>
      </c>
      <c r="L45" s="17"/>
      <c r="M45" s="26"/>
    </row>
    <row r="46" spans="1:23" ht="24" x14ac:dyDescent="0.25">
      <c r="A46" s="10">
        <v>46028</v>
      </c>
      <c r="B46" s="2" t="s">
        <v>130</v>
      </c>
      <c r="D46" s="2" t="s">
        <v>131</v>
      </c>
      <c r="E46" s="3" t="s">
        <v>76</v>
      </c>
      <c r="F46" s="4">
        <v>10000</v>
      </c>
      <c r="G46" s="4" t="s">
        <v>77</v>
      </c>
      <c r="H46" s="22" t="s">
        <v>78</v>
      </c>
      <c r="I46" s="22">
        <v>10000</v>
      </c>
      <c r="J46" s="22"/>
      <c r="K46" s="22">
        <f t="shared" si="0"/>
        <v>10000</v>
      </c>
      <c r="L46" s="17">
        <v>10000</v>
      </c>
      <c r="M46" s="23" t="s">
        <v>41</v>
      </c>
      <c r="N46" s="1" t="s">
        <v>132</v>
      </c>
      <c r="O46" s="28" t="s">
        <v>80</v>
      </c>
      <c r="P46" s="28"/>
      <c r="Q46" s="7" t="s">
        <v>81</v>
      </c>
      <c r="R46" s="7" t="s">
        <v>82</v>
      </c>
      <c r="S46" s="3" t="s">
        <v>83</v>
      </c>
      <c r="T46" s="3" t="s">
        <v>84</v>
      </c>
    </row>
    <row r="47" spans="1:23" x14ac:dyDescent="0.25">
      <c r="A47" s="10">
        <v>46028</v>
      </c>
      <c r="B47" s="2" t="s">
        <v>130</v>
      </c>
      <c r="D47" s="2" t="s">
        <v>131</v>
      </c>
      <c r="E47" s="3" t="s">
        <v>76</v>
      </c>
      <c r="G47" s="4" t="s">
        <v>48</v>
      </c>
      <c r="H47" s="22" t="s">
        <v>49</v>
      </c>
      <c r="I47" s="22"/>
      <c r="J47" s="22">
        <f>I46</f>
        <v>10000</v>
      </c>
      <c r="K47" s="22">
        <f t="shared" si="0"/>
        <v>10000</v>
      </c>
      <c r="L47" s="17"/>
      <c r="M47" s="26"/>
    </row>
    <row r="48" spans="1:23" x14ac:dyDescent="0.25">
      <c r="A48" s="10">
        <v>46028</v>
      </c>
      <c r="B48" s="2" t="s">
        <v>133</v>
      </c>
      <c r="C48" s="2" t="s">
        <v>134</v>
      </c>
      <c r="D48" s="2" t="s">
        <v>135</v>
      </c>
      <c r="E48" s="3" t="s">
        <v>136</v>
      </c>
      <c r="F48" s="4">
        <v>10000</v>
      </c>
      <c r="G48" s="4" t="s">
        <v>48</v>
      </c>
      <c r="H48" s="22" t="s">
        <v>137</v>
      </c>
      <c r="I48" s="22">
        <v>10000</v>
      </c>
      <c r="J48" s="22"/>
      <c r="K48" s="22">
        <f t="shared" si="0"/>
        <v>10000</v>
      </c>
      <c r="L48" s="17">
        <v>10000</v>
      </c>
      <c r="M48" s="23" t="s">
        <v>41</v>
      </c>
      <c r="N48" s="1" t="s">
        <v>138</v>
      </c>
    </row>
    <row r="49" spans="1:20" x14ac:dyDescent="0.25">
      <c r="A49" s="10">
        <v>46028</v>
      </c>
      <c r="B49" s="2" t="s">
        <v>133</v>
      </c>
      <c r="C49" s="2" t="s">
        <v>134</v>
      </c>
      <c r="D49" s="2" t="s">
        <v>135</v>
      </c>
      <c r="E49" s="3" t="s">
        <v>136</v>
      </c>
      <c r="G49" s="4" t="s">
        <v>48</v>
      </c>
      <c r="H49" s="22" t="s">
        <v>49</v>
      </c>
      <c r="I49" s="22"/>
      <c r="J49" s="22">
        <f>I48</f>
        <v>10000</v>
      </c>
      <c r="K49" s="22">
        <f t="shared" si="0"/>
        <v>10000</v>
      </c>
      <c r="L49" s="17"/>
      <c r="M49" s="26"/>
    </row>
    <row r="50" spans="1:20" x14ac:dyDescent="0.25">
      <c r="A50" s="10">
        <v>46028</v>
      </c>
      <c r="B50" s="2" t="s">
        <v>139</v>
      </c>
      <c r="C50" s="2" t="s">
        <v>140</v>
      </c>
      <c r="E50" s="3" t="s">
        <v>27</v>
      </c>
      <c r="F50" s="4">
        <v>1205000</v>
      </c>
      <c r="G50" s="4" t="s">
        <v>48</v>
      </c>
      <c r="H50" s="22" t="s">
        <v>81</v>
      </c>
      <c r="I50" s="22">
        <v>1205000</v>
      </c>
      <c r="J50" s="22"/>
      <c r="K50" s="22">
        <f t="shared" si="0"/>
        <v>1205000</v>
      </c>
      <c r="L50" s="17">
        <v>1205000</v>
      </c>
      <c r="M50" s="23" t="s">
        <v>41</v>
      </c>
      <c r="N50" s="1" t="s">
        <v>142</v>
      </c>
      <c r="O50" s="7" t="s">
        <v>143</v>
      </c>
      <c r="Q50" s="25" t="s">
        <v>144</v>
      </c>
      <c r="R50" s="7" t="s">
        <v>82</v>
      </c>
      <c r="S50" s="3" t="s">
        <v>145</v>
      </c>
    </row>
    <row r="51" spans="1:20" x14ac:dyDescent="0.25">
      <c r="A51" s="10">
        <v>46028</v>
      </c>
      <c r="B51" s="2" t="s">
        <v>139</v>
      </c>
      <c r="C51" s="2" t="s">
        <v>141</v>
      </c>
      <c r="E51" s="3" t="s">
        <v>27</v>
      </c>
      <c r="G51" s="4" t="s">
        <v>48</v>
      </c>
      <c r="H51" s="22" t="s">
        <v>29</v>
      </c>
      <c r="I51" s="22"/>
      <c r="J51" s="22">
        <f>I50</f>
        <v>1205000</v>
      </c>
      <c r="K51" s="22">
        <f t="shared" si="0"/>
        <v>1205000</v>
      </c>
      <c r="L51" s="17"/>
      <c r="M51" s="23"/>
    </row>
    <row r="52" spans="1:20" ht="36" x14ac:dyDescent="0.25">
      <c r="A52" s="10">
        <v>46029</v>
      </c>
      <c r="B52" s="2" t="s">
        <v>146</v>
      </c>
      <c r="C52" s="2" t="s">
        <v>147</v>
      </c>
      <c r="D52" s="2" t="s">
        <v>148</v>
      </c>
      <c r="E52" s="3" t="s">
        <v>149</v>
      </c>
      <c r="F52" s="4">
        <f>7000+1700+1800</f>
        <v>10500</v>
      </c>
      <c r="G52" s="4" t="s">
        <v>48</v>
      </c>
      <c r="H52" s="22" t="s">
        <v>78</v>
      </c>
      <c r="I52" s="22">
        <v>10500</v>
      </c>
      <c r="J52" s="22"/>
      <c r="K52" s="22">
        <f t="shared" si="0"/>
        <v>10500</v>
      </c>
      <c r="L52" s="17">
        <v>10500</v>
      </c>
      <c r="M52" s="23" t="s">
        <v>41</v>
      </c>
      <c r="N52" s="1" t="s">
        <v>150</v>
      </c>
      <c r="O52" s="7" t="s">
        <v>151</v>
      </c>
      <c r="Q52" s="7" t="s">
        <v>81</v>
      </c>
      <c r="R52" s="7" t="s">
        <v>117</v>
      </c>
      <c r="S52" s="3" t="s">
        <v>83</v>
      </c>
      <c r="T52" s="3" t="s">
        <v>84</v>
      </c>
    </row>
    <row r="53" spans="1:20" x14ac:dyDescent="0.25">
      <c r="A53" s="10">
        <v>46029</v>
      </c>
      <c r="B53" s="2" t="s">
        <v>146</v>
      </c>
      <c r="C53" s="2" t="s">
        <v>147</v>
      </c>
      <c r="D53" s="2" t="s">
        <v>148</v>
      </c>
      <c r="E53" s="3" t="s">
        <v>149</v>
      </c>
      <c r="G53" s="4" t="s">
        <v>48</v>
      </c>
      <c r="H53" s="22" t="s">
        <v>81</v>
      </c>
      <c r="I53" s="22"/>
      <c r="J53" s="22">
        <f>I52</f>
        <v>10500</v>
      </c>
      <c r="K53" s="22">
        <f t="shared" si="0"/>
        <v>10500</v>
      </c>
      <c r="L53" s="17"/>
      <c r="M53" s="26"/>
    </row>
    <row r="54" spans="1:20" x14ac:dyDescent="0.25">
      <c r="A54" s="10">
        <v>46029</v>
      </c>
      <c r="B54" s="2" t="s">
        <v>152</v>
      </c>
      <c r="C54" s="2" t="s">
        <v>153</v>
      </c>
      <c r="E54" s="3" t="s">
        <v>27</v>
      </c>
      <c r="F54" s="4">
        <v>300000</v>
      </c>
      <c r="G54" s="4" t="s">
        <v>48</v>
      </c>
      <c r="H54" s="22" t="s">
        <v>81</v>
      </c>
      <c r="I54" s="22">
        <v>300000</v>
      </c>
      <c r="J54" s="22"/>
      <c r="K54" s="22">
        <f t="shared" si="0"/>
        <v>300000</v>
      </c>
      <c r="L54" s="17">
        <v>300000</v>
      </c>
      <c r="M54" s="23" t="s">
        <v>41</v>
      </c>
      <c r="N54" s="1" t="s">
        <v>154</v>
      </c>
      <c r="O54" s="7" t="s">
        <v>143</v>
      </c>
      <c r="Q54" s="25" t="s">
        <v>155</v>
      </c>
      <c r="R54" s="7" t="s">
        <v>82</v>
      </c>
      <c r="S54" s="3" t="s">
        <v>145</v>
      </c>
    </row>
    <row r="55" spans="1:20" x14ac:dyDescent="0.25">
      <c r="A55" s="10">
        <v>46029</v>
      </c>
      <c r="B55" s="2" t="s">
        <v>152</v>
      </c>
      <c r="C55" s="2" t="s">
        <v>141</v>
      </c>
      <c r="E55" s="3" t="s">
        <v>27</v>
      </c>
      <c r="G55" s="4" t="s">
        <v>48</v>
      </c>
      <c r="H55" s="22" t="s">
        <v>29</v>
      </c>
      <c r="I55" s="22"/>
      <c r="J55" s="22">
        <f>I54</f>
        <v>300000</v>
      </c>
      <c r="K55" s="22">
        <f t="shared" si="0"/>
        <v>300000</v>
      </c>
      <c r="L55" s="17"/>
      <c r="M55" s="23"/>
      <c r="Q55" s="25"/>
    </row>
    <row r="56" spans="1:20" ht="24" x14ac:dyDescent="0.25">
      <c r="A56" s="10">
        <v>46029</v>
      </c>
      <c r="B56" s="2" t="s">
        <v>156</v>
      </c>
      <c r="C56" s="2" t="s">
        <v>157</v>
      </c>
      <c r="E56" s="3" t="s">
        <v>27</v>
      </c>
      <c r="F56" s="4">
        <v>2200000</v>
      </c>
      <c r="G56" s="4" t="s">
        <v>48</v>
      </c>
      <c r="H56" s="22" t="s">
        <v>81</v>
      </c>
      <c r="I56" s="22">
        <v>2200000</v>
      </c>
      <c r="J56" s="22"/>
      <c r="K56" s="22">
        <f t="shared" si="0"/>
        <v>2200000</v>
      </c>
      <c r="L56" s="17">
        <v>2200000</v>
      </c>
      <c r="M56" s="23" t="s">
        <v>41</v>
      </c>
      <c r="N56" s="1" t="s">
        <v>158</v>
      </c>
      <c r="O56" s="24" t="s">
        <v>159</v>
      </c>
      <c r="P56" s="24"/>
      <c r="Q56" s="25" t="s">
        <v>160</v>
      </c>
      <c r="R56" s="7" t="s">
        <v>82</v>
      </c>
      <c r="S56" s="3" t="s">
        <v>145</v>
      </c>
    </row>
    <row r="57" spans="1:20" x14ac:dyDescent="0.25">
      <c r="A57" s="10">
        <v>46029</v>
      </c>
      <c r="B57" s="2" t="s">
        <v>156</v>
      </c>
      <c r="C57" s="2" t="s">
        <v>141</v>
      </c>
      <c r="E57" s="3" t="s">
        <v>27</v>
      </c>
      <c r="G57" s="4" t="s">
        <v>48</v>
      </c>
      <c r="H57" s="22" t="s">
        <v>29</v>
      </c>
      <c r="I57" s="22"/>
      <c r="J57" s="22">
        <f>I56</f>
        <v>2200000</v>
      </c>
      <c r="K57" s="22">
        <f t="shared" si="0"/>
        <v>2200000</v>
      </c>
      <c r="L57" s="17"/>
      <c r="M57" s="23"/>
      <c r="O57" s="24"/>
      <c r="P57" s="24"/>
      <c r="Q57" s="25"/>
    </row>
    <row r="58" spans="1:20" ht="36" x14ac:dyDescent="0.25">
      <c r="A58" s="10">
        <v>46029</v>
      </c>
      <c r="B58" s="2" t="s">
        <v>161</v>
      </c>
      <c r="C58" s="2" t="s">
        <v>25</v>
      </c>
      <c r="D58" s="2" t="s">
        <v>26</v>
      </c>
      <c r="E58" s="3" t="s">
        <v>27</v>
      </c>
      <c r="F58" s="4">
        <v>3316729.63</v>
      </c>
      <c r="G58" s="4" t="s">
        <v>48</v>
      </c>
      <c r="H58" s="22" t="s">
        <v>29</v>
      </c>
      <c r="I58" s="22">
        <v>3316729.63</v>
      </c>
      <c r="J58" s="22"/>
      <c r="K58" s="22">
        <f t="shared" si="0"/>
        <v>3316729.63</v>
      </c>
      <c r="L58" s="17">
        <v>3316729.63</v>
      </c>
      <c r="M58" s="23" t="s">
        <v>41</v>
      </c>
      <c r="N58" s="1" t="s">
        <v>30</v>
      </c>
      <c r="O58" s="24" t="s">
        <v>31</v>
      </c>
      <c r="P58" s="24" t="s">
        <v>32</v>
      </c>
      <c r="Q58" s="25" t="s">
        <v>162</v>
      </c>
      <c r="R58" s="7" t="s">
        <v>82</v>
      </c>
      <c r="S58" s="3" t="s">
        <v>35</v>
      </c>
    </row>
    <row r="59" spans="1:20" x14ac:dyDescent="0.25">
      <c r="A59" s="10">
        <v>46029</v>
      </c>
      <c r="B59" s="2" t="s">
        <v>161</v>
      </c>
      <c r="C59" s="2" t="s">
        <v>25</v>
      </c>
      <c r="D59" s="2" t="s">
        <v>26</v>
      </c>
      <c r="E59" s="3" t="s">
        <v>27</v>
      </c>
      <c r="G59" s="4" t="s">
        <v>48</v>
      </c>
      <c r="H59" s="22" t="s">
        <v>36</v>
      </c>
      <c r="I59" s="22"/>
      <c r="J59" s="22">
        <f>I58</f>
        <v>3316729.63</v>
      </c>
      <c r="K59" s="22">
        <f t="shared" si="0"/>
        <v>3316729.63</v>
      </c>
      <c r="L59" s="17"/>
      <c r="M59" s="23"/>
      <c r="O59" s="24"/>
      <c r="P59" s="24"/>
      <c r="Q59" s="25"/>
    </row>
    <row r="60" spans="1:20" ht="24" x14ac:dyDescent="0.25">
      <c r="A60" s="10">
        <v>46029</v>
      </c>
      <c r="B60" s="2" t="s">
        <v>163</v>
      </c>
      <c r="C60" s="2" t="s">
        <v>164</v>
      </c>
      <c r="D60" s="31" t="s">
        <v>165</v>
      </c>
      <c r="E60" s="3" t="s">
        <v>166</v>
      </c>
      <c r="F60" s="4">
        <v>515000</v>
      </c>
      <c r="G60" s="4" t="s">
        <v>167</v>
      </c>
      <c r="H60" s="22" t="s">
        <v>168</v>
      </c>
      <c r="I60" s="22">
        <v>515000</v>
      </c>
      <c r="J60" s="22"/>
      <c r="K60" s="22">
        <f t="shared" si="0"/>
        <v>515000</v>
      </c>
      <c r="L60" s="17">
        <v>515000</v>
      </c>
      <c r="M60" s="23" t="s">
        <v>41</v>
      </c>
      <c r="N60" s="1" t="s">
        <v>169</v>
      </c>
      <c r="O60" s="7" t="s">
        <v>170</v>
      </c>
      <c r="P60" s="7" t="s">
        <v>81</v>
      </c>
      <c r="R60" s="7" t="s">
        <v>117</v>
      </c>
      <c r="S60" s="3" t="s">
        <v>83</v>
      </c>
      <c r="T60" s="3" t="s">
        <v>171</v>
      </c>
    </row>
    <row r="61" spans="1:20" x14ac:dyDescent="0.25">
      <c r="A61" s="10">
        <v>46029</v>
      </c>
      <c r="B61" s="2" t="s">
        <v>163</v>
      </c>
      <c r="C61" s="2" t="s">
        <v>164</v>
      </c>
      <c r="D61" s="31" t="s">
        <v>165</v>
      </c>
      <c r="E61" s="3" t="s">
        <v>166</v>
      </c>
      <c r="G61" s="4" t="s">
        <v>48</v>
      </c>
      <c r="H61" s="22" t="s">
        <v>81</v>
      </c>
      <c r="I61" s="22"/>
      <c r="J61" s="22">
        <f>I60</f>
        <v>515000</v>
      </c>
      <c r="K61" s="22">
        <f t="shared" si="0"/>
        <v>515000</v>
      </c>
      <c r="L61" s="17"/>
    </row>
    <row r="62" spans="1:20" ht="24" x14ac:dyDescent="0.25">
      <c r="A62" s="10">
        <v>46029</v>
      </c>
      <c r="B62" s="2" t="s">
        <v>172</v>
      </c>
      <c r="C62" s="2" t="s">
        <v>173</v>
      </c>
      <c r="D62" s="31" t="s">
        <v>174</v>
      </c>
      <c r="E62" s="3" t="s">
        <v>175</v>
      </c>
      <c r="F62" s="4">
        <v>60676</v>
      </c>
      <c r="G62" s="4" t="s">
        <v>167</v>
      </c>
      <c r="H62" s="22" t="s">
        <v>168</v>
      </c>
      <c r="I62" s="22">
        <v>60676</v>
      </c>
      <c r="J62" s="22"/>
      <c r="K62" s="22">
        <f t="shared" si="0"/>
        <v>60676</v>
      </c>
      <c r="L62" s="17">
        <v>60676</v>
      </c>
      <c r="M62" s="23" t="s">
        <v>41</v>
      </c>
      <c r="N62" s="1" t="s">
        <v>176</v>
      </c>
      <c r="O62" s="7" t="s">
        <v>177</v>
      </c>
      <c r="P62" s="7" t="s">
        <v>81</v>
      </c>
      <c r="R62" s="7" t="s">
        <v>178</v>
      </c>
      <c r="S62" s="3" t="s">
        <v>83</v>
      </c>
      <c r="T62" s="3" t="s">
        <v>171</v>
      </c>
    </row>
    <row r="63" spans="1:20" x14ac:dyDescent="0.25">
      <c r="A63" s="10">
        <v>46029</v>
      </c>
      <c r="B63" s="2" t="s">
        <v>172</v>
      </c>
      <c r="C63" s="2" t="s">
        <v>173</v>
      </c>
      <c r="D63" s="31" t="s">
        <v>174</v>
      </c>
      <c r="E63" s="3" t="s">
        <v>175</v>
      </c>
      <c r="G63" s="4" t="s">
        <v>48</v>
      </c>
      <c r="H63" s="22" t="s">
        <v>81</v>
      </c>
      <c r="I63" s="22"/>
      <c r="J63" s="22">
        <f>I62</f>
        <v>60676</v>
      </c>
      <c r="K63" s="22">
        <f t="shared" si="0"/>
        <v>60676</v>
      </c>
      <c r="L63" s="17"/>
    </row>
    <row r="64" spans="1:20" ht="24" x14ac:dyDescent="0.25">
      <c r="A64" s="10">
        <v>46029</v>
      </c>
      <c r="B64" s="2" t="s">
        <v>179</v>
      </c>
      <c r="C64" s="2" t="s">
        <v>164</v>
      </c>
      <c r="D64" s="31" t="s">
        <v>180</v>
      </c>
      <c r="E64" s="3" t="s">
        <v>181</v>
      </c>
      <c r="F64" s="4">
        <v>978545</v>
      </c>
      <c r="G64" s="4" t="s">
        <v>167</v>
      </c>
      <c r="H64" s="22" t="s">
        <v>168</v>
      </c>
      <c r="I64" s="22">
        <v>978545</v>
      </c>
      <c r="J64" s="22"/>
      <c r="K64" s="22">
        <f t="shared" si="0"/>
        <v>978545</v>
      </c>
      <c r="L64" s="17">
        <v>978545</v>
      </c>
      <c r="M64" s="23" t="s">
        <v>41</v>
      </c>
      <c r="N64" s="1" t="s">
        <v>182</v>
      </c>
      <c r="O64" s="7" t="s">
        <v>183</v>
      </c>
      <c r="P64" s="7" t="s">
        <v>81</v>
      </c>
      <c r="R64" s="7" t="s">
        <v>117</v>
      </c>
      <c r="S64" s="3" t="s">
        <v>83</v>
      </c>
      <c r="T64" s="3" t="s">
        <v>171</v>
      </c>
    </row>
    <row r="65" spans="1:23" x14ac:dyDescent="0.25">
      <c r="A65" s="10">
        <v>46029</v>
      </c>
      <c r="B65" s="2" t="s">
        <v>179</v>
      </c>
      <c r="C65" s="2" t="s">
        <v>164</v>
      </c>
      <c r="D65" s="31" t="s">
        <v>180</v>
      </c>
      <c r="E65" s="3" t="s">
        <v>181</v>
      </c>
      <c r="G65" s="4" t="s">
        <v>48</v>
      </c>
      <c r="H65" s="22" t="s">
        <v>81</v>
      </c>
      <c r="I65" s="22"/>
      <c r="J65" s="22">
        <f>I64</f>
        <v>978545</v>
      </c>
      <c r="K65" s="22">
        <f t="shared" si="0"/>
        <v>978545</v>
      </c>
      <c r="L65" s="17"/>
      <c r="M65" s="23"/>
    </row>
    <row r="66" spans="1:23" x14ac:dyDescent="0.25">
      <c r="A66" s="10">
        <v>46029</v>
      </c>
      <c r="B66" s="2" t="s">
        <v>184</v>
      </c>
      <c r="C66" s="2" t="s">
        <v>164</v>
      </c>
      <c r="D66" s="31" t="s">
        <v>185</v>
      </c>
      <c r="E66" s="3" t="s">
        <v>186</v>
      </c>
      <c r="F66" s="4">
        <v>280000</v>
      </c>
      <c r="G66" s="4" t="s">
        <v>167</v>
      </c>
      <c r="H66" s="22" t="s">
        <v>168</v>
      </c>
      <c r="I66" s="22">
        <v>280000</v>
      </c>
      <c r="J66" s="22"/>
      <c r="K66" s="22">
        <f t="shared" si="0"/>
        <v>280000</v>
      </c>
      <c r="L66" s="17">
        <v>280000</v>
      </c>
      <c r="M66" s="23" t="s">
        <v>41</v>
      </c>
      <c r="N66" s="1" t="s">
        <v>187</v>
      </c>
      <c r="O66" s="7" t="s">
        <v>177</v>
      </c>
      <c r="P66" s="7" t="s">
        <v>81</v>
      </c>
      <c r="R66" s="7" t="s">
        <v>178</v>
      </c>
      <c r="S66" s="3" t="s">
        <v>83</v>
      </c>
      <c r="T66" s="3" t="s">
        <v>171</v>
      </c>
    </row>
    <row r="67" spans="1:23" x14ac:dyDescent="0.25">
      <c r="A67" s="10">
        <v>46029</v>
      </c>
      <c r="B67" s="2" t="s">
        <v>184</v>
      </c>
      <c r="C67" s="2" t="s">
        <v>164</v>
      </c>
      <c r="D67" s="31" t="s">
        <v>185</v>
      </c>
      <c r="E67" s="3" t="s">
        <v>186</v>
      </c>
      <c r="G67" s="4" t="s">
        <v>48</v>
      </c>
      <c r="H67" s="22" t="s">
        <v>81</v>
      </c>
      <c r="I67" s="22"/>
      <c r="J67" s="22">
        <f>I66</f>
        <v>280000</v>
      </c>
      <c r="K67" s="22">
        <f t="shared" si="0"/>
        <v>280000</v>
      </c>
      <c r="L67" s="17"/>
      <c r="M67" s="23"/>
    </row>
    <row r="68" spans="1:23" ht="24" x14ac:dyDescent="0.25">
      <c r="A68" s="10">
        <v>46029</v>
      </c>
      <c r="B68" s="2" t="s">
        <v>188</v>
      </c>
      <c r="C68" s="2" t="s">
        <v>164</v>
      </c>
      <c r="D68" s="31" t="s">
        <v>189</v>
      </c>
      <c r="E68" s="3" t="s">
        <v>190</v>
      </c>
      <c r="F68" s="4">
        <v>12000</v>
      </c>
      <c r="G68" s="4" t="s">
        <v>167</v>
      </c>
      <c r="H68" s="22" t="s">
        <v>168</v>
      </c>
      <c r="I68" s="22">
        <v>12000</v>
      </c>
      <c r="J68" s="22"/>
      <c r="K68" s="22">
        <f t="shared" si="0"/>
        <v>12000</v>
      </c>
      <c r="L68" s="17">
        <v>12000</v>
      </c>
      <c r="M68" s="23" t="s">
        <v>41</v>
      </c>
      <c r="N68" s="1" t="s">
        <v>191</v>
      </c>
      <c r="O68" s="7" t="s">
        <v>177</v>
      </c>
      <c r="P68" s="7" t="s">
        <v>81</v>
      </c>
      <c r="R68" s="7" t="s">
        <v>178</v>
      </c>
      <c r="S68" s="3" t="s">
        <v>83</v>
      </c>
      <c r="T68" s="3" t="s">
        <v>171</v>
      </c>
    </row>
    <row r="69" spans="1:23" x14ac:dyDescent="0.25">
      <c r="A69" s="10">
        <v>46029</v>
      </c>
      <c r="B69" s="2" t="s">
        <v>188</v>
      </c>
      <c r="C69" s="2" t="s">
        <v>164</v>
      </c>
      <c r="D69" s="31" t="s">
        <v>189</v>
      </c>
      <c r="E69" s="3" t="s">
        <v>190</v>
      </c>
      <c r="G69" s="4" t="s">
        <v>48</v>
      </c>
      <c r="H69" s="22" t="s">
        <v>81</v>
      </c>
      <c r="I69" s="22"/>
      <c r="J69" s="22">
        <f>I68</f>
        <v>12000</v>
      </c>
      <c r="K69" s="22">
        <f t="shared" si="0"/>
        <v>12000</v>
      </c>
      <c r="L69" s="17"/>
      <c r="M69" s="23"/>
    </row>
    <row r="70" spans="1:23" ht="24" x14ac:dyDescent="0.25">
      <c r="A70" s="10">
        <v>46029</v>
      </c>
      <c r="B70" s="2" t="s">
        <v>192</v>
      </c>
      <c r="C70" s="2" t="s">
        <v>164</v>
      </c>
      <c r="D70" s="31" t="s">
        <v>189</v>
      </c>
      <c r="E70" s="3" t="s">
        <v>190</v>
      </c>
      <c r="F70" s="4">
        <v>188681</v>
      </c>
      <c r="G70" s="4" t="s">
        <v>167</v>
      </c>
      <c r="H70" s="22" t="s">
        <v>168</v>
      </c>
      <c r="I70" s="22">
        <v>188681</v>
      </c>
      <c r="J70" s="22"/>
      <c r="K70" s="22">
        <f t="shared" si="0"/>
        <v>188681</v>
      </c>
      <c r="L70" s="17">
        <v>188681</v>
      </c>
      <c r="M70" s="23" t="s">
        <v>41</v>
      </c>
      <c r="N70" s="1" t="s">
        <v>191</v>
      </c>
      <c r="O70" s="7" t="s">
        <v>177</v>
      </c>
      <c r="P70" s="7" t="s">
        <v>81</v>
      </c>
      <c r="R70" s="7" t="s">
        <v>178</v>
      </c>
      <c r="S70" s="3" t="s">
        <v>83</v>
      </c>
      <c r="T70" s="3" t="s">
        <v>171</v>
      </c>
    </row>
    <row r="71" spans="1:23" x14ac:dyDescent="0.25">
      <c r="A71" s="10">
        <v>46029</v>
      </c>
      <c r="B71" s="2" t="s">
        <v>192</v>
      </c>
      <c r="C71" s="2" t="s">
        <v>164</v>
      </c>
      <c r="D71" s="31" t="s">
        <v>189</v>
      </c>
      <c r="E71" s="3" t="s">
        <v>190</v>
      </c>
      <c r="G71" s="4" t="s">
        <v>48</v>
      </c>
      <c r="H71" s="22" t="s">
        <v>81</v>
      </c>
      <c r="I71" s="22"/>
      <c r="J71" s="22">
        <f>I70</f>
        <v>188681</v>
      </c>
      <c r="K71" s="22">
        <f t="shared" si="0"/>
        <v>188681</v>
      </c>
      <c r="L71" s="32"/>
      <c r="M71" s="23"/>
    </row>
    <row r="72" spans="1:23" x14ac:dyDescent="0.25">
      <c r="A72" s="10">
        <v>46029</v>
      </c>
      <c r="B72" s="2" t="s">
        <v>193</v>
      </c>
      <c r="D72" s="31" t="s">
        <v>194</v>
      </c>
      <c r="E72" s="3" t="s">
        <v>195</v>
      </c>
      <c r="F72" s="4">
        <v>120000</v>
      </c>
      <c r="G72" s="4" t="s">
        <v>167</v>
      </c>
      <c r="H72" s="22" t="s">
        <v>168</v>
      </c>
      <c r="I72" s="22">
        <v>120000</v>
      </c>
      <c r="J72" s="22"/>
      <c r="K72" s="22">
        <f t="shared" si="0"/>
        <v>120000</v>
      </c>
      <c r="L72" s="17">
        <v>120000</v>
      </c>
      <c r="M72" s="23" t="s">
        <v>41</v>
      </c>
      <c r="N72" s="1" t="s">
        <v>196</v>
      </c>
      <c r="O72" s="7" t="s">
        <v>116</v>
      </c>
      <c r="Q72" s="7" t="s">
        <v>81</v>
      </c>
      <c r="R72" s="7" t="s">
        <v>117</v>
      </c>
      <c r="S72" s="3" t="s">
        <v>83</v>
      </c>
      <c r="T72" s="3" t="s">
        <v>171</v>
      </c>
    </row>
    <row r="73" spans="1:23" x14ac:dyDescent="0.25">
      <c r="A73" s="10">
        <v>46029</v>
      </c>
      <c r="B73" s="2" t="s">
        <v>193</v>
      </c>
      <c r="D73" s="31" t="s">
        <v>194</v>
      </c>
      <c r="E73" s="3" t="s">
        <v>195</v>
      </c>
      <c r="G73" s="4" t="s">
        <v>48</v>
      </c>
      <c r="H73" s="22" t="s">
        <v>81</v>
      </c>
      <c r="I73" s="22"/>
      <c r="J73" s="22">
        <f>I72</f>
        <v>120000</v>
      </c>
      <c r="K73" s="22">
        <f t="shared" si="0"/>
        <v>120000</v>
      </c>
      <c r="L73" s="17"/>
      <c r="M73" s="23"/>
    </row>
    <row r="74" spans="1:23" ht="24" x14ac:dyDescent="0.25">
      <c r="A74" s="10">
        <v>46029</v>
      </c>
      <c r="B74" s="2" t="s">
        <v>197</v>
      </c>
      <c r="E74" s="3" t="s">
        <v>198</v>
      </c>
      <c r="F74" s="4">
        <v>45098</v>
      </c>
      <c r="G74" s="4" t="s">
        <v>167</v>
      </c>
      <c r="H74" s="22" t="s">
        <v>168</v>
      </c>
      <c r="I74" s="22">
        <v>45098</v>
      </c>
      <c r="J74" s="22"/>
      <c r="K74" s="22">
        <f t="shared" si="0"/>
        <v>45098</v>
      </c>
      <c r="L74" s="17">
        <v>45098</v>
      </c>
      <c r="M74" s="23" t="s">
        <v>41</v>
      </c>
      <c r="N74" s="1" t="s">
        <v>199</v>
      </c>
      <c r="O74" s="7" t="s">
        <v>200</v>
      </c>
      <c r="Q74" s="7" t="s">
        <v>81</v>
      </c>
      <c r="R74" s="7" t="s">
        <v>117</v>
      </c>
      <c r="S74" s="3" t="s">
        <v>83</v>
      </c>
      <c r="T74" s="3" t="s">
        <v>171</v>
      </c>
      <c r="W74" s="9" t="s">
        <v>201</v>
      </c>
    </row>
    <row r="75" spans="1:23" x14ac:dyDescent="0.25">
      <c r="A75" s="10">
        <v>46029</v>
      </c>
      <c r="B75" s="2" t="s">
        <v>197</v>
      </c>
      <c r="E75" s="3" t="s">
        <v>198</v>
      </c>
      <c r="G75" s="4" t="s">
        <v>48</v>
      </c>
      <c r="H75" s="22" t="s">
        <v>81</v>
      </c>
      <c r="I75" s="22"/>
      <c r="J75" s="22">
        <f>I74</f>
        <v>45098</v>
      </c>
      <c r="K75" s="22">
        <f t="shared" si="0"/>
        <v>45098</v>
      </c>
      <c r="L75" s="17"/>
      <c r="M75" s="23"/>
    </row>
    <row r="76" spans="1:23" ht="36" x14ac:dyDescent="0.25">
      <c r="A76" s="10">
        <v>46030</v>
      </c>
      <c r="B76" s="2" t="s">
        <v>202</v>
      </c>
      <c r="C76" s="2" t="s">
        <v>25</v>
      </c>
      <c r="D76" s="2" t="s">
        <v>203</v>
      </c>
      <c r="E76" s="3" t="s">
        <v>27</v>
      </c>
      <c r="F76" s="4">
        <v>1812173.63</v>
      </c>
      <c r="G76" s="4" t="s">
        <v>204</v>
      </c>
      <c r="H76" s="22" t="s">
        <v>205</v>
      </c>
      <c r="I76" s="22">
        <v>1812173.63</v>
      </c>
      <c r="J76" s="22"/>
      <c r="K76" s="22">
        <f t="shared" si="0"/>
        <v>1812173.63</v>
      </c>
      <c r="L76" s="17">
        <v>1812173.63</v>
      </c>
      <c r="M76" s="23" t="s">
        <v>41</v>
      </c>
      <c r="N76" s="1" t="s">
        <v>206</v>
      </c>
      <c r="O76" s="24" t="s">
        <v>207</v>
      </c>
      <c r="P76" s="24" t="s">
        <v>32</v>
      </c>
      <c r="Q76" s="25" t="s">
        <v>208</v>
      </c>
      <c r="R76" s="7" t="s">
        <v>82</v>
      </c>
      <c r="S76" s="3" t="s">
        <v>35</v>
      </c>
    </row>
    <row r="77" spans="1:23" x14ac:dyDescent="0.25">
      <c r="A77" s="10">
        <v>46030</v>
      </c>
      <c r="B77" s="2" t="s">
        <v>202</v>
      </c>
      <c r="C77" s="2" t="s">
        <v>25</v>
      </c>
      <c r="D77" s="2" t="s">
        <v>203</v>
      </c>
      <c r="E77" s="3" t="s">
        <v>27</v>
      </c>
      <c r="G77" s="4" t="s">
        <v>48</v>
      </c>
      <c r="H77" s="22" t="s">
        <v>209</v>
      </c>
      <c r="I77" s="22"/>
      <c r="J77" s="22">
        <f>I76</f>
        <v>1812173.63</v>
      </c>
      <c r="K77" s="22">
        <f t="shared" si="0"/>
        <v>1812173.63</v>
      </c>
      <c r="L77" s="17"/>
      <c r="M77" s="23"/>
      <c r="O77" s="24"/>
      <c r="P77" s="24"/>
      <c r="Q77" s="25"/>
    </row>
    <row r="78" spans="1:23" ht="24" x14ac:dyDescent="0.25">
      <c r="A78" s="10">
        <v>46030</v>
      </c>
      <c r="B78" s="2" t="s">
        <v>210</v>
      </c>
      <c r="C78" s="2" t="s">
        <v>25</v>
      </c>
      <c r="D78" s="2" t="s">
        <v>203</v>
      </c>
      <c r="E78" s="3" t="s">
        <v>27</v>
      </c>
      <c r="F78" s="4">
        <v>1329652.53</v>
      </c>
      <c r="G78" s="4" t="s">
        <v>211</v>
      </c>
      <c r="H78" s="22" t="s">
        <v>205</v>
      </c>
      <c r="I78" s="22">
        <v>1329652.53</v>
      </c>
      <c r="J78" s="22"/>
      <c r="K78" s="22">
        <f t="shared" si="0"/>
        <v>1329652.53</v>
      </c>
      <c r="L78" s="17">
        <v>1329652.53</v>
      </c>
      <c r="M78" s="23" t="s">
        <v>41</v>
      </c>
      <c r="N78" s="1" t="s">
        <v>212</v>
      </c>
      <c r="O78" s="24" t="s">
        <v>207</v>
      </c>
      <c r="P78" s="24" t="s">
        <v>32</v>
      </c>
      <c r="Q78" s="25" t="s">
        <v>213</v>
      </c>
      <c r="R78" s="7" t="s">
        <v>82</v>
      </c>
      <c r="S78" s="3" t="s">
        <v>35</v>
      </c>
    </row>
    <row r="79" spans="1:23" x14ac:dyDescent="0.25">
      <c r="A79" s="10">
        <v>46030</v>
      </c>
      <c r="B79" s="2" t="s">
        <v>210</v>
      </c>
      <c r="C79" s="2" t="s">
        <v>25</v>
      </c>
      <c r="D79" s="2" t="s">
        <v>203</v>
      </c>
      <c r="E79" s="3" t="s">
        <v>27</v>
      </c>
      <c r="G79" s="4" t="s">
        <v>48</v>
      </c>
      <c r="H79" s="22" t="s">
        <v>214</v>
      </c>
      <c r="I79" s="22"/>
      <c r="J79" s="22">
        <f>I78</f>
        <v>1329652.53</v>
      </c>
      <c r="K79" s="22">
        <f t="shared" si="0"/>
        <v>1329652.53</v>
      </c>
      <c r="L79" s="17"/>
      <c r="M79" s="23"/>
      <c r="O79" s="24"/>
      <c r="P79" s="24"/>
      <c r="Q79" s="25"/>
    </row>
    <row r="80" spans="1:23" ht="24" x14ac:dyDescent="0.25">
      <c r="A80" s="10">
        <v>46030</v>
      </c>
      <c r="B80" s="2" t="s">
        <v>215</v>
      </c>
      <c r="C80" s="2" t="s">
        <v>25</v>
      </c>
      <c r="D80" s="2" t="s">
        <v>203</v>
      </c>
      <c r="E80" s="3" t="s">
        <v>27</v>
      </c>
      <c r="F80" s="4">
        <v>4009008.12</v>
      </c>
      <c r="G80" s="4" t="s">
        <v>211</v>
      </c>
      <c r="H80" s="22" t="s">
        <v>205</v>
      </c>
      <c r="I80" s="22">
        <v>4009008.12</v>
      </c>
      <c r="J80" s="22"/>
      <c r="K80" s="22">
        <f t="shared" si="0"/>
        <v>4009008.12</v>
      </c>
      <c r="L80" s="17">
        <v>4009008.12</v>
      </c>
      <c r="M80" s="23" t="s">
        <v>41</v>
      </c>
      <c r="N80" s="1" t="s">
        <v>212</v>
      </c>
      <c r="O80" s="24" t="s">
        <v>216</v>
      </c>
      <c r="P80" s="24" t="s">
        <v>216</v>
      </c>
      <c r="R80" s="7" t="s">
        <v>178</v>
      </c>
      <c r="S80" s="3" t="s">
        <v>35</v>
      </c>
    </row>
    <row r="81" spans="1:23" x14ac:dyDescent="0.25">
      <c r="A81" s="10">
        <v>46030</v>
      </c>
      <c r="B81" s="2" t="s">
        <v>215</v>
      </c>
      <c r="C81" s="2" t="s">
        <v>25</v>
      </c>
      <c r="D81" s="2" t="s">
        <v>203</v>
      </c>
      <c r="E81" s="3" t="s">
        <v>27</v>
      </c>
      <c r="G81" s="4" t="s">
        <v>48</v>
      </c>
      <c r="H81" s="22" t="s">
        <v>214</v>
      </c>
      <c r="I81" s="22"/>
      <c r="J81" s="22">
        <f>I80</f>
        <v>4009008.12</v>
      </c>
      <c r="K81" s="22">
        <f t="shared" si="0"/>
        <v>4009008.12</v>
      </c>
      <c r="L81" s="17"/>
      <c r="M81" s="23"/>
      <c r="O81" s="24"/>
      <c r="P81" s="24"/>
    </row>
    <row r="82" spans="1:23" ht="24" x14ac:dyDescent="0.25">
      <c r="A82" s="10">
        <v>46030</v>
      </c>
      <c r="B82" s="2" t="s">
        <v>217</v>
      </c>
      <c r="C82" s="2" t="s">
        <v>95</v>
      </c>
      <c r="D82" s="2" t="s">
        <v>218</v>
      </c>
      <c r="E82" s="3" t="s">
        <v>136</v>
      </c>
      <c r="F82" s="4">
        <v>5000</v>
      </c>
      <c r="G82" s="4" t="s">
        <v>48</v>
      </c>
      <c r="H82" s="22" t="s">
        <v>78</v>
      </c>
      <c r="I82" s="22">
        <v>2500</v>
      </c>
      <c r="J82" s="22"/>
      <c r="K82" s="22">
        <f t="shared" si="0"/>
        <v>2500</v>
      </c>
      <c r="L82" s="17">
        <v>5000</v>
      </c>
      <c r="M82" s="23" t="s">
        <v>41</v>
      </c>
      <c r="N82" s="1" t="s">
        <v>219</v>
      </c>
    </row>
    <row r="83" spans="1:23" x14ac:dyDescent="0.25">
      <c r="A83" s="10">
        <v>46030</v>
      </c>
      <c r="B83" s="2" t="s">
        <v>217</v>
      </c>
      <c r="C83" s="2" t="s">
        <v>95</v>
      </c>
      <c r="D83" s="2" t="s">
        <v>218</v>
      </c>
      <c r="E83" s="3" t="s">
        <v>136</v>
      </c>
      <c r="G83" s="4" t="s">
        <v>98</v>
      </c>
      <c r="H83" s="22" t="s">
        <v>78</v>
      </c>
      <c r="I83" s="22">
        <v>2500</v>
      </c>
      <c r="J83" s="22"/>
      <c r="K83" s="22">
        <f t="shared" si="0"/>
        <v>2500</v>
      </c>
      <c r="L83" s="17"/>
    </row>
    <row r="84" spans="1:23" x14ac:dyDescent="0.25">
      <c r="A84" s="10">
        <v>46030</v>
      </c>
      <c r="B84" s="2" t="s">
        <v>217</v>
      </c>
      <c r="C84" s="2" t="s">
        <v>95</v>
      </c>
      <c r="D84" s="2" t="s">
        <v>218</v>
      </c>
      <c r="E84" s="3" t="s">
        <v>136</v>
      </c>
      <c r="G84" s="4" t="s">
        <v>48</v>
      </c>
      <c r="H84" s="22" t="s">
        <v>49</v>
      </c>
      <c r="I84" s="22"/>
      <c r="J84" s="22">
        <f>I82+I83</f>
        <v>5000</v>
      </c>
      <c r="K84" s="22">
        <f t="shared" si="0"/>
        <v>5000</v>
      </c>
      <c r="L84" s="17"/>
    </row>
    <row r="85" spans="1:23" ht="36" x14ac:dyDescent="0.25">
      <c r="A85" s="10">
        <v>46030</v>
      </c>
      <c r="B85" s="2" t="s">
        <v>220</v>
      </c>
      <c r="C85" s="2" t="s">
        <v>95</v>
      </c>
      <c r="D85" s="2" t="s">
        <v>221</v>
      </c>
      <c r="E85" s="3" t="s">
        <v>222</v>
      </c>
      <c r="F85" s="4">
        <f>8000+10500+400</f>
        <v>18900</v>
      </c>
      <c r="G85" s="4" t="s">
        <v>48</v>
      </c>
      <c r="H85" s="22" t="s">
        <v>78</v>
      </c>
      <c r="I85" s="22">
        <v>18900</v>
      </c>
      <c r="J85" s="22"/>
      <c r="K85" s="22">
        <f t="shared" si="0"/>
        <v>18900</v>
      </c>
      <c r="L85" s="17">
        <f>9500+9400</f>
        <v>18900</v>
      </c>
      <c r="M85" s="23" t="s">
        <v>41</v>
      </c>
      <c r="N85" s="1" t="s">
        <v>223</v>
      </c>
      <c r="O85" s="7" t="s">
        <v>224</v>
      </c>
      <c r="Q85" s="7" t="s">
        <v>81</v>
      </c>
      <c r="R85" s="24" t="s">
        <v>225</v>
      </c>
      <c r="S85" s="3" t="s">
        <v>83</v>
      </c>
      <c r="T85" s="3" t="s">
        <v>226</v>
      </c>
    </row>
    <row r="86" spans="1:23" x14ac:dyDescent="0.25">
      <c r="A86" s="10">
        <v>46030</v>
      </c>
      <c r="B86" s="2" t="s">
        <v>220</v>
      </c>
      <c r="C86" s="2" t="s">
        <v>95</v>
      </c>
      <c r="D86" s="2" t="s">
        <v>221</v>
      </c>
      <c r="E86" s="3" t="s">
        <v>222</v>
      </c>
      <c r="G86" s="4" t="s">
        <v>48</v>
      </c>
      <c r="H86" s="22" t="s">
        <v>49</v>
      </c>
      <c r="I86" s="22"/>
      <c r="J86" s="22">
        <f>I85</f>
        <v>18900</v>
      </c>
      <c r="K86" s="22">
        <f t="shared" ref="K86:K166" si="1">ABS(I86-J86)</f>
        <v>18900</v>
      </c>
      <c r="L86" s="17"/>
    </row>
    <row r="87" spans="1:23" ht="36" x14ac:dyDescent="0.25">
      <c r="A87" s="10">
        <v>46030</v>
      </c>
      <c r="B87" s="2" t="s">
        <v>227</v>
      </c>
      <c r="C87" s="2" t="s">
        <v>95</v>
      </c>
      <c r="D87" s="2" t="s">
        <v>228</v>
      </c>
      <c r="E87" s="3" t="s">
        <v>76</v>
      </c>
      <c r="F87" s="4">
        <v>9500</v>
      </c>
      <c r="G87" s="4" t="s">
        <v>211</v>
      </c>
      <c r="H87" s="22" t="s">
        <v>78</v>
      </c>
      <c r="I87" s="22">
        <v>9500</v>
      </c>
      <c r="J87" s="22"/>
      <c r="K87" s="22">
        <f t="shared" si="1"/>
        <v>9500</v>
      </c>
      <c r="L87" s="17">
        <v>9500</v>
      </c>
      <c r="M87" s="23" t="s">
        <v>41</v>
      </c>
      <c r="N87" s="1" t="s">
        <v>229</v>
      </c>
      <c r="O87" s="7" t="s">
        <v>230</v>
      </c>
      <c r="Q87" s="7" t="s">
        <v>81</v>
      </c>
      <c r="R87" s="7" t="s">
        <v>178</v>
      </c>
      <c r="S87" s="3" t="s">
        <v>83</v>
      </c>
      <c r="T87" s="3" t="s">
        <v>84</v>
      </c>
    </row>
    <row r="88" spans="1:23" x14ac:dyDescent="0.25">
      <c r="A88" s="10">
        <v>46030</v>
      </c>
      <c r="B88" s="2" t="s">
        <v>227</v>
      </c>
      <c r="C88" s="2" t="s">
        <v>95</v>
      </c>
      <c r="D88" s="2" t="s">
        <v>228</v>
      </c>
      <c r="E88" s="3" t="s">
        <v>76</v>
      </c>
      <c r="G88" s="4" t="s">
        <v>48</v>
      </c>
      <c r="H88" s="22" t="s">
        <v>81</v>
      </c>
      <c r="I88" s="22"/>
      <c r="J88" s="22">
        <f>I87</f>
        <v>9500</v>
      </c>
      <c r="K88" s="22">
        <f t="shared" si="1"/>
        <v>9500</v>
      </c>
      <c r="L88" s="17"/>
      <c r="M88" s="23"/>
    </row>
    <row r="89" spans="1:23" ht="24" x14ac:dyDescent="0.25">
      <c r="A89" s="10">
        <v>46030</v>
      </c>
      <c r="B89" s="2" t="s">
        <v>231</v>
      </c>
      <c r="C89" s="2" t="s">
        <v>147</v>
      </c>
      <c r="D89" s="2" t="s">
        <v>232</v>
      </c>
      <c r="E89" s="3" t="s">
        <v>233</v>
      </c>
      <c r="F89" s="4">
        <f>1000+600+5000</f>
        <v>6600</v>
      </c>
      <c r="G89" s="4" t="s">
        <v>211</v>
      </c>
      <c r="H89" s="22" t="s">
        <v>78</v>
      </c>
      <c r="I89" s="22">
        <v>6600</v>
      </c>
      <c r="J89" s="22"/>
      <c r="K89" s="22">
        <f t="shared" si="1"/>
        <v>6600</v>
      </c>
      <c r="L89" s="17">
        <v>6600</v>
      </c>
      <c r="M89" s="23" t="s">
        <v>41</v>
      </c>
      <c r="N89" s="1" t="s">
        <v>234</v>
      </c>
      <c r="O89" s="24" t="s">
        <v>235</v>
      </c>
      <c r="P89" s="24"/>
      <c r="Q89" s="7" t="s">
        <v>81</v>
      </c>
      <c r="R89" s="7" t="s">
        <v>178</v>
      </c>
      <c r="S89" s="3" t="s">
        <v>83</v>
      </c>
      <c r="T89" s="3" t="s">
        <v>84</v>
      </c>
      <c r="W89" s="9" t="s">
        <v>236</v>
      </c>
    </row>
    <row r="90" spans="1:23" x14ac:dyDescent="0.25">
      <c r="A90" s="10">
        <v>46030</v>
      </c>
      <c r="B90" s="2" t="s">
        <v>231</v>
      </c>
      <c r="C90" s="2" t="s">
        <v>147</v>
      </c>
      <c r="D90" s="2" t="s">
        <v>232</v>
      </c>
      <c r="E90" s="3" t="s">
        <v>233</v>
      </c>
      <c r="G90" s="4" t="s">
        <v>48</v>
      </c>
      <c r="H90" s="22" t="s">
        <v>81</v>
      </c>
      <c r="I90" s="22"/>
      <c r="J90" s="22">
        <f>I89</f>
        <v>6600</v>
      </c>
      <c r="K90" s="22">
        <f t="shared" si="1"/>
        <v>6600</v>
      </c>
      <c r="L90" s="17"/>
      <c r="M90" s="23"/>
      <c r="O90" s="24"/>
      <c r="P90" s="24"/>
    </row>
    <row r="91" spans="1:23" x14ac:dyDescent="0.25">
      <c r="A91" s="10">
        <v>46030</v>
      </c>
      <c r="B91" s="2" t="s">
        <v>231</v>
      </c>
      <c r="C91" s="2" t="s">
        <v>147</v>
      </c>
      <c r="D91" s="2" t="s">
        <v>232</v>
      </c>
      <c r="E91" s="3" t="s">
        <v>233</v>
      </c>
      <c r="G91" s="4" t="s">
        <v>211</v>
      </c>
      <c r="H91" s="22" t="s">
        <v>40</v>
      </c>
      <c r="I91" s="22">
        <v>8035.33</v>
      </c>
      <c r="J91" s="22"/>
      <c r="K91" s="22">
        <f t="shared" si="1"/>
        <v>8035.33</v>
      </c>
      <c r="L91" s="17"/>
      <c r="M91" s="23"/>
      <c r="O91" s="24"/>
      <c r="P91" s="24"/>
    </row>
    <row r="92" spans="1:23" x14ac:dyDescent="0.25">
      <c r="A92" s="10">
        <v>46030</v>
      </c>
      <c r="B92" s="2" t="s">
        <v>231</v>
      </c>
      <c r="C92" s="2" t="s">
        <v>147</v>
      </c>
      <c r="D92" s="2" t="s">
        <v>232</v>
      </c>
      <c r="E92" s="3" t="s">
        <v>233</v>
      </c>
      <c r="G92" s="4" t="s">
        <v>211</v>
      </c>
      <c r="H92" s="22" t="s">
        <v>237</v>
      </c>
      <c r="I92" s="22">
        <v>3121.43</v>
      </c>
      <c r="J92" s="22"/>
      <c r="K92" s="22">
        <f t="shared" si="1"/>
        <v>3121.43</v>
      </c>
      <c r="L92" s="17"/>
      <c r="M92" s="23"/>
      <c r="O92" s="24"/>
      <c r="P92" s="24"/>
    </row>
    <row r="93" spans="1:23" x14ac:dyDescent="0.25">
      <c r="A93" s="10">
        <v>46030</v>
      </c>
      <c r="B93" s="2" t="s">
        <v>231</v>
      </c>
      <c r="C93" s="2" t="s">
        <v>147</v>
      </c>
      <c r="D93" s="2" t="s">
        <v>232</v>
      </c>
      <c r="E93" s="3" t="s">
        <v>233</v>
      </c>
      <c r="G93" s="4" t="s">
        <v>211</v>
      </c>
      <c r="H93" s="22" t="s">
        <v>238</v>
      </c>
      <c r="I93" s="22">
        <v>1200</v>
      </c>
      <c r="J93" s="22"/>
      <c r="K93" s="22">
        <f t="shared" si="1"/>
        <v>1200</v>
      </c>
      <c r="L93" s="17"/>
      <c r="M93" s="23"/>
      <c r="O93" s="24"/>
      <c r="P93" s="24"/>
    </row>
    <row r="94" spans="1:23" x14ac:dyDescent="0.25">
      <c r="A94" s="10">
        <v>46030</v>
      </c>
      <c r="B94" s="2" t="s">
        <v>231</v>
      </c>
      <c r="C94" s="2" t="s">
        <v>147</v>
      </c>
      <c r="D94" s="2" t="s">
        <v>232</v>
      </c>
      <c r="E94" s="3" t="s">
        <v>233</v>
      </c>
      <c r="G94" s="4" t="s">
        <v>211</v>
      </c>
      <c r="H94" s="22" t="s">
        <v>239</v>
      </c>
      <c r="I94" s="22">
        <v>890.24</v>
      </c>
      <c r="J94" s="22"/>
      <c r="K94" s="22">
        <f t="shared" si="1"/>
        <v>890.24</v>
      </c>
      <c r="L94" s="17"/>
      <c r="M94" s="23"/>
      <c r="O94" s="24"/>
      <c r="P94" s="24"/>
    </row>
    <row r="95" spans="1:23" x14ac:dyDescent="0.25">
      <c r="A95" s="10">
        <v>46030</v>
      </c>
      <c r="B95" s="2" t="s">
        <v>231</v>
      </c>
      <c r="C95" s="2" t="s">
        <v>147</v>
      </c>
      <c r="D95" s="2" t="s">
        <v>232</v>
      </c>
      <c r="E95" s="3" t="s">
        <v>233</v>
      </c>
      <c r="G95" s="4" t="s">
        <v>211</v>
      </c>
      <c r="H95" s="22" t="s">
        <v>240</v>
      </c>
      <c r="I95" s="22"/>
      <c r="J95" s="22">
        <f>I91+I92+I93+I94-J96</f>
        <v>6647</v>
      </c>
      <c r="K95" s="22">
        <f t="shared" si="1"/>
        <v>6647</v>
      </c>
      <c r="L95" s="17"/>
      <c r="M95" s="23"/>
      <c r="O95" s="24"/>
      <c r="P95" s="24"/>
    </row>
    <row r="96" spans="1:23" x14ac:dyDescent="0.25">
      <c r="A96" s="10">
        <v>46030</v>
      </c>
      <c r="B96" s="2" t="s">
        <v>231</v>
      </c>
      <c r="C96" s="2" t="s">
        <v>147</v>
      </c>
      <c r="D96" s="2" t="s">
        <v>232</v>
      </c>
      <c r="E96" s="3" t="s">
        <v>233</v>
      </c>
      <c r="G96" s="4" t="s">
        <v>48</v>
      </c>
      <c r="H96" s="22" t="s">
        <v>78</v>
      </c>
      <c r="I96" s="22"/>
      <c r="J96" s="22">
        <v>6600</v>
      </c>
      <c r="K96" s="22">
        <f t="shared" si="1"/>
        <v>6600</v>
      </c>
      <c r="L96" s="17"/>
      <c r="M96" s="23"/>
      <c r="O96" s="24"/>
      <c r="P96" s="24"/>
    </row>
    <row r="97" spans="1:20" ht="24" x14ac:dyDescent="0.25">
      <c r="A97" s="10">
        <v>46031</v>
      </c>
      <c r="B97" s="2" t="s">
        <v>241</v>
      </c>
      <c r="C97" s="2" t="s">
        <v>242</v>
      </c>
      <c r="D97" s="2" t="s">
        <v>243</v>
      </c>
      <c r="E97" s="3" t="s">
        <v>244</v>
      </c>
      <c r="F97" s="33">
        <f>(19600/1.12)+(19600/1.12*0.12)-(19600/1.12*0.01)</f>
        <v>19425</v>
      </c>
      <c r="G97" s="4" t="s">
        <v>128</v>
      </c>
      <c r="H97" s="22" t="s">
        <v>40</v>
      </c>
      <c r="I97" s="22">
        <f>19600/1.12</f>
        <v>17500</v>
      </c>
      <c r="J97" s="22"/>
      <c r="K97" s="22">
        <f t="shared" si="1"/>
        <v>17500</v>
      </c>
      <c r="L97" s="17">
        <f>19000+425</f>
        <v>19425</v>
      </c>
      <c r="M97" s="23" t="s">
        <v>41</v>
      </c>
      <c r="N97" s="1" t="s">
        <v>245</v>
      </c>
      <c r="O97" s="7" t="s">
        <v>246</v>
      </c>
      <c r="Q97" s="7" t="s">
        <v>81</v>
      </c>
      <c r="R97" s="24" t="s">
        <v>247</v>
      </c>
      <c r="S97" s="3" t="s">
        <v>83</v>
      </c>
      <c r="T97" s="3" t="s">
        <v>248</v>
      </c>
    </row>
    <row r="98" spans="1:20" x14ac:dyDescent="0.25">
      <c r="A98" s="10">
        <v>46031</v>
      </c>
      <c r="B98" s="2" t="s">
        <v>241</v>
      </c>
      <c r="C98" s="2" t="s">
        <v>242</v>
      </c>
      <c r="D98" s="2" t="s">
        <v>243</v>
      </c>
      <c r="E98" s="3" t="s">
        <v>244</v>
      </c>
      <c r="F98" s="33"/>
      <c r="G98" s="4" t="s">
        <v>128</v>
      </c>
      <c r="H98" s="22" t="s">
        <v>104</v>
      </c>
      <c r="I98" s="22">
        <f>I97*0.12</f>
        <v>2100</v>
      </c>
      <c r="J98" s="22"/>
      <c r="K98" s="22">
        <f t="shared" si="1"/>
        <v>2100</v>
      </c>
      <c r="L98" s="17"/>
    </row>
    <row r="99" spans="1:20" x14ac:dyDescent="0.25">
      <c r="A99" s="10">
        <v>46031</v>
      </c>
      <c r="B99" s="2" t="s">
        <v>241</v>
      </c>
      <c r="C99" s="2" t="s">
        <v>242</v>
      </c>
      <c r="D99" s="2" t="s">
        <v>243</v>
      </c>
      <c r="E99" s="3" t="s">
        <v>244</v>
      </c>
      <c r="F99" s="33"/>
      <c r="G99" s="4" t="s">
        <v>128</v>
      </c>
      <c r="H99" s="22" t="s">
        <v>105</v>
      </c>
      <c r="I99" s="22"/>
      <c r="J99" s="22">
        <f>I97*0.01</f>
        <v>175</v>
      </c>
      <c r="K99" s="22">
        <f t="shared" si="1"/>
        <v>175</v>
      </c>
      <c r="L99" s="17"/>
    </row>
    <row r="100" spans="1:20" x14ac:dyDescent="0.25">
      <c r="A100" s="10">
        <v>46031</v>
      </c>
      <c r="B100" s="2" t="s">
        <v>241</v>
      </c>
      <c r="C100" s="2" t="s">
        <v>242</v>
      </c>
      <c r="D100" s="2" t="s">
        <v>243</v>
      </c>
      <c r="E100" s="3" t="s">
        <v>244</v>
      </c>
      <c r="F100" s="33"/>
      <c r="G100" s="4" t="s">
        <v>48</v>
      </c>
      <c r="H100" s="22" t="s">
        <v>81</v>
      </c>
      <c r="I100" s="22"/>
      <c r="J100" s="22">
        <f>I97+I98-J99</f>
        <v>19425</v>
      </c>
      <c r="K100" s="22">
        <f t="shared" si="1"/>
        <v>19425</v>
      </c>
      <c r="L100" s="17"/>
    </row>
    <row r="101" spans="1:20" ht="24" x14ac:dyDescent="0.25">
      <c r="A101" s="10">
        <v>46031</v>
      </c>
      <c r="B101" s="2" t="s">
        <v>249</v>
      </c>
      <c r="C101" s="2" t="s">
        <v>250</v>
      </c>
      <c r="D101" s="2" t="s">
        <v>251</v>
      </c>
      <c r="E101" s="3" t="s">
        <v>252</v>
      </c>
      <c r="F101" s="33">
        <f>(100508.8/1.12)+(100508.8/1.12*0.12)-(100508.8/1.12*0.01)</f>
        <v>99611.400000000009</v>
      </c>
      <c r="G101" s="4" t="s">
        <v>128</v>
      </c>
      <c r="H101" s="22" t="s">
        <v>40</v>
      </c>
      <c r="I101" s="22">
        <f>100508.8/1.12</f>
        <v>89740</v>
      </c>
      <c r="J101" s="22"/>
      <c r="K101" s="22">
        <f t="shared" si="1"/>
        <v>89740</v>
      </c>
      <c r="L101" s="17">
        <v>99611.4</v>
      </c>
      <c r="M101" s="23" t="s">
        <v>41</v>
      </c>
      <c r="N101" s="1" t="s">
        <v>253</v>
      </c>
      <c r="O101" s="7" t="s">
        <v>116</v>
      </c>
      <c r="Q101" s="7" t="s">
        <v>81</v>
      </c>
      <c r="R101" s="7" t="s">
        <v>70</v>
      </c>
      <c r="S101" s="3" t="s">
        <v>83</v>
      </c>
      <c r="T101" s="3" t="s">
        <v>248</v>
      </c>
    </row>
    <row r="102" spans="1:20" x14ac:dyDescent="0.25">
      <c r="A102" s="10">
        <v>46031</v>
      </c>
      <c r="B102" s="2" t="s">
        <v>249</v>
      </c>
      <c r="C102" s="2" t="s">
        <v>250</v>
      </c>
      <c r="D102" s="2" t="s">
        <v>251</v>
      </c>
      <c r="E102" s="3" t="s">
        <v>252</v>
      </c>
      <c r="F102" s="33"/>
      <c r="G102" s="4" t="s">
        <v>128</v>
      </c>
      <c r="H102" s="22" t="s">
        <v>104</v>
      </c>
      <c r="I102" s="22">
        <f>I101*0.12</f>
        <v>10768.8</v>
      </c>
      <c r="J102" s="22"/>
      <c r="K102" s="22">
        <f t="shared" si="1"/>
        <v>10768.8</v>
      </c>
      <c r="L102" s="17"/>
    </row>
    <row r="103" spans="1:20" x14ac:dyDescent="0.25">
      <c r="A103" s="10">
        <v>46031</v>
      </c>
      <c r="B103" s="2" t="s">
        <v>249</v>
      </c>
      <c r="C103" s="2" t="s">
        <v>250</v>
      </c>
      <c r="D103" s="2" t="s">
        <v>251</v>
      </c>
      <c r="E103" s="3" t="s">
        <v>252</v>
      </c>
      <c r="F103" s="33"/>
      <c r="G103" s="4" t="s">
        <v>128</v>
      </c>
      <c r="H103" s="22" t="s">
        <v>105</v>
      </c>
      <c r="I103" s="22"/>
      <c r="J103" s="22">
        <f>I101*0.01</f>
        <v>897.4</v>
      </c>
      <c r="K103" s="22">
        <f t="shared" si="1"/>
        <v>897.4</v>
      </c>
      <c r="L103" s="17"/>
    </row>
    <row r="104" spans="1:20" x14ac:dyDescent="0.25">
      <c r="A104" s="10">
        <v>46031</v>
      </c>
      <c r="B104" s="2" t="s">
        <v>249</v>
      </c>
      <c r="C104" s="2" t="s">
        <v>250</v>
      </c>
      <c r="D104" s="2" t="s">
        <v>251</v>
      </c>
      <c r="E104" s="3" t="s">
        <v>252</v>
      </c>
      <c r="F104" s="33"/>
      <c r="G104" s="4" t="s">
        <v>48</v>
      </c>
      <c r="H104" s="22" t="s">
        <v>81</v>
      </c>
      <c r="I104" s="22"/>
      <c r="J104" s="22">
        <f>I101+I102-J103</f>
        <v>99611.400000000009</v>
      </c>
      <c r="K104" s="22">
        <f t="shared" si="1"/>
        <v>99611.400000000009</v>
      </c>
      <c r="L104" s="17"/>
    </row>
    <row r="105" spans="1:20" x14ac:dyDescent="0.25">
      <c r="A105" s="10">
        <v>46031</v>
      </c>
      <c r="B105" s="2" t="s">
        <v>254</v>
      </c>
      <c r="C105" s="2" t="s">
        <v>255</v>
      </c>
      <c r="D105" s="2" t="s">
        <v>243</v>
      </c>
      <c r="E105" s="3" t="s">
        <v>256</v>
      </c>
      <c r="F105" s="33">
        <f>(2210/1.12)+(2210/1.12*0.12)-(2210/1.12*0.01)</f>
        <v>2190.2678571428573</v>
      </c>
      <c r="G105" s="4" t="s">
        <v>128</v>
      </c>
      <c r="H105" s="22" t="s">
        <v>40</v>
      </c>
      <c r="I105" s="22">
        <f>2210/1.12</f>
        <v>1973.2142857142856</v>
      </c>
      <c r="J105" s="22"/>
      <c r="K105" s="22">
        <f t="shared" si="1"/>
        <v>1973.2142857142856</v>
      </c>
      <c r="L105" s="17">
        <v>2190.27</v>
      </c>
      <c r="M105" s="23" t="s">
        <v>41</v>
      </c>
      <c r="N105" s="1" t="s">
        <v>257</v>
      </c>
      <c r="O105" s="7" t="s">
        <v>116</v>
      </c>
      <c r="Q105" s="7" t="s">
        <v>81</v>
      </c>
      <c r="R105" s="7" t="s">
        <v>70</v>
      </c>
      <c r="S105" s="3" t="s">
        <v>83</v>
      </c>
      <c r="T105" s="3" t="s">
        <v>248</v>
      </c>
    </row>
    <row r="106" spans="1:20" x14ac:dyDescent="0.25">
      <c r="A106" s="10">
        <v>46031</v>
      </c>
      <c r="B106" s="2" t="s">
        <v>254</v>
      </c>
      <c r="C106" s="2" t="s">
        <v>255</v>
      </c>
      <c r="D106" s="2" t="s">
        <v>243</v>
      </c>
      <c r="E106" s="3" t="s">
        <v>256</v>
      </c>
      <c r="F106" s="33"/>
      <c r="G106" s="4" t="s">
        <v>128</v>
      </c>
      <c r="H106" s="22" t="s">
        <v>104</v>
      </c>
      <c r="I106" s="22">
        <f>I105*0.12</f>
        <v>236.78571428571425</v>
      </c>
      <c r="J106" s="22"/>
      <c r="K106" s="22">
        <f t="shared" si="1"/>
        <v>236.78571428571425</v>
      </c>
      <c r="L106" s="17"/>
    </row>
    <row r="107" spans="1:20" x14ac:dyDescent="0.25">
      <c r="A107" s="10">
        <v>46031</v>
      </c>
      <c r="B107" s="2" t="s">
        <v>254</v>
      </c>
      <c r="C107" s="2" t="s">
        <v>255</v>
      </c>
      <c r="D107" s="2" t="s">
        <v>243</v>
      </c>
      <c r="E107" s="3" t="s">
        <v>256</v>
      </c>
      <c r="F107" s="33"/>
      <c r="G107" s="4" t="s">
        <v>128</v>
      </c>
      <c r="H107" s="22" t="s">
        <v>105</v>
      </c>
      <c r="I107" s="22"/>
      <c r="J107" s="22">
        <f>I105*0.01</f>
        <v>19.732142857142858</v>
      </c>
      <c r="K107" s="22">
        <f t="shared" si="1"/>
        <v>19.732142857142858</v>
      </c>
      <c r="L107" s="17"/>
    </row>
    <row r="108" spans="1:20" x14ac:dyDescent="0.25">
      <c r="A108" s="10">
        <v>46031</v>
      </c>
      <c r="B108" s="2" t="s">
        <v>254</v>
      </c>
      <c r="C108" s="2" t="s">
        <v>255</v>
      </c>
      <c r="D108" s="2" t="s">
        <v>243</v>
      </c>
      <c r="E108" s="3" t="s">
        <v>256</v>
      </c>
      <c r="F108" s="33"/>
      <c r="G108" s="4" t="s">
        <v>48</v>
      </c>
      <c r="H108" s="22" t="s">
        <v>81</v>
      </c>
      <c r="I108" s="22"/>
      <c r="J108" s="22">
        <f>I105+I106-J107</f>
        <v>2190.2678571428573</v>
      </c>
      <c r="K108" s="22">
        <f t="shared" si="1"/>
        <v>2190.2678571428573</v>
      </c>
      <c r="L108" s="17"/>
    </row>
    <row r="109" spans="1:20" x14ac:dyDescent="0.25">
      <c r="A109" s="10">
        <v>46031</v>
      </c>
      <c r="B109" s="2" t="s">
        <v>258</v>
      </c>
      <c r="C109" s="2" t="s">
        <v>259</v>
      </c>
      <c r="D109" s="2" t="s">
        <v>260</v>
      </c>
      <c r="E109" s="3" t="s">
        <v>261</v>
      </c>
      <c r="F109" s="4">
        <v>70462.740000000005</v>
      </c>
      <c r="G109" s="4" t="s">
        <v>262</v>
      </c>
      <c r="H109" s="22" t="s">
        <v>263</v>
      </c>
      <c r="I109" s="22">
        <v>8323.74</v>
      </c>
      <c r="J109" s="22"/>
      <c r="K109" s="22">
        <f t="shared" si="1"/>
        <v>8323.74</v>
      </c>
      <c r="L109" s="17">
        <v>70462.740000000005</v>
      </c>
      <c r="M109" s="23" t="s">
        <v>41</v>
      </c>
      <c r="N109" s="1" t="s">
        <v>264</v>
      </c>
    </row>
    <row r="110" spans="1:20" x14ac:dyDescent="0.25">
      <c r="A110" s="10">
        <v>46031</v>
      </c>
      <c r="B110" s="2" t="s">
        <v>258</v>
      </c>
      <c r="C110" s="2" t="s">
        <v>259</v>
      </c>
      <c r="D110" s="2" t="s">
        <v>260</v>
      </c>
      <c r="E110" s="3" t="s">
        <v>261</v>
      </c>
      <c r="G110" s="4" t="s">
        <v>265</v>
      </c>
      <c r="H110" s="22" t="s">
        <v>266</v>
      </c>
      <c r="I110" s="22">
        <v>5813</v>
      </c>
      <c r="J110" s="22"/>
      <c r="K110" s="22">
        <f t="shared" si="1"/>
        <v>5813</v>
      </c>
      <c r="L110" s="17"/>
      <c r="M110" s="23"/>
    </row>
    <row r="111" spans="1:20" x14ac:dyDescent="0.25">
      <c r="A111" s="10">
        <v>46031</v>
      </c>
      <c r="B111" s="2" t="s">
        <v>258</v>
      </c>
      <c r="C111" s="2" t="s">
        <v>259</v>
      </c>
      <c r="D111" s="2" t="s">
        <v>260</v>
      </c>
      <c r="E111" s="3" t="s">
        <v>261</v>
      </c>
      <c r="G111" s="4" t="s">
        <v>211</v>
      </c>
      <c r="H111" s="22" t="s">
        <v>267</v>
      </c>
      <c r="I111" s="22">
        <v>3750</v>
      </c>
      <c r="J111" s="22"/>
      <c r="K111" s="22">
        <f t="shared" si="1"/>
        <v>3750</v>
      </c>
      <c r="L111" s="17"/>
      <c r="M111" s="23"/>
    </row>
    <row r="112" spans="1:20" x14ac:dyDescent="0.25">
      <c r="A112" s="10">
        <v>46031</v>
      </c>
      <c r="B112" s="2" t="s">
        <v>258</v>
      </c>
      <c r="C112" s="2" t="s">
        <v>259</v>
      </c>
      <c r="D112" s="2" t="s">
        <v>260</v>
      </c>
      <c r="E112" s="3" t="s">
        <v>261</v>
      </c>
      <c r="G112" s="4" t="s">
        <v>268</v>
      </c>
      <c r="H112" s="22" t="s">
        <v>267</v>
      </c>
      <c r="I112" s="22">
        <v>8750</v>
      </c>
      <c r="J112" s="22"/>
      <c r="K112" s="22">
        <f t="shared" si="1"/>
        <v>8750</v>
      </c>
      <c r="L112" s="17"/>
      <c r="M112" s="23"/>
    </row>
    <row r="113" spans="1:20" x14ac:dyDescent="0.25">
      <c r="A113" s="10">
        <v>46031</v>
      </c>
      <c r="B113" s="2" t="s">
        <v>258</v>
      </c>
      <c r="C113" s="2" t="s">
        <v>259</v>
      </c>
      <c r="D113" s="2" t="s">
        <v>260</v>
      </c>
      <c r="E113" s="3" t="s">
        <v>261</v>
      </c>
      <c r="G113" s="4" t="s">
        <v>77</v>
      </c>
      <c r="H113" s="22" t="s">
        <v>269</v>
      </c>
      <c r="I113" s="22">
        <v>19376</v>
      </c>
      <c r="J113" s="22"/>
      <c r="K113" s="22">
        <f t="shared" si="1"/>
        <v>19376</v>
      </c>
      <c r="L113" s="17"/>
      <c r="M113" s="23"/>
    </row>
    <row r="114" spans="1:20" x14ac:dyDescent="0.25">
      <c r="A114" s="10">
        <v>46031</v>
      </c>
      <c r="B114" s="2" t="s">
        <v>258</v>
      </c>
      <c r="C114" s="2" t="s">
        <v>259</v>
      </c>
      <c r="D114" s="2" t="s">
        <v>260</v>
      </c>
      <c r="E114" s="3" t="s">
        <v>261</v>
      </c>
      <c r="G114" s="4" t="s">
        <v>28</v>
      </c>
      <c r="H114" s="22" t="s">
        <v>267</v>
      </c>
      <c r="I114" s="22">
        <v>8100</v>
      </c>
      <c r="J114" s="22"/>
      <c r="K114" s="22">
        <f t="shared" si="1"/>
        <v>8100</v>
      </c>
      <c r="L114" s="17"/>
      <c r="M114" s="23"/>
    </row>
    <row r="115" spans="1:20" x14ac:dyDescent="0.25">
      <c r="A115" s="10">
        <v>46031</v>
      </c>
      <c r="B115" s="2" t="s">
        <v>258</v>
      </c>
      <c r="C115" s="2" t="s">
        <v>259</v>
      </c>
      <c r="D115" s="2" t="s">
        <v>260</v>
      </c>
      <c r="E115" s="3" t="s">
        <v>261</v>
      </c>
      <c r="G115" s="4" t="s">
        <v>128</v>
      </c>
      <c r="H115" s="22" t="s">
        <v>267</v>
      </c>
      <c r="I115" s="22">
        <v>5800</v>
      </c>
      <c r="J115" s="22"/>
      <c r="K115" s="22">
        <f t="shared" si="1"/>
        <v>5800</v>
      </c>
      <c r="L115" s="17"/>
      <c r="M115" s="23"/>
    </row>
    <row r="116" spans="1:20" x14ac:dyDescent="0.25">
      <c r="A116" s="10">
        <v>46031</v>
      </c>
      <c r="B116" s="2" t="s">
        <v>258</v>
      </c>
      <c r="C116" s="2" t="s">
        <v>259</v>
      </c>
      <c r="D116" s="2" t="s">
        <v>260</v>
      </c>
      <c r="E116" s="3" t="s">
        <v>261</v>
      </c>
      <c r="G116" s="4" t="s">
        <v>28</v>
      </c>
      <c r="H116" s="22" t="s">
        <v>270</v>
      </c>
      <c r="I116" s="22">
        <v>5000</v>
      </c>
      <c r="J116" s="22"/>
      <c r="K116" s="22">
        <f t="shared" si="1"/>
        <v>5000</v>
      </c>
      <c r="L116" s="17"/>
      <c r="M116" s="23"/>
    </row>
    <row r="117" spans="1:20" x14ac:dyDescent="0.25">
      <c r="A117" s="10">
        <v>46031</v>
      </c>
      <c r="B117" s="2" t="s">
        <v>258</v>
      </c>
      <c r="C117" s="2" t="s">
        <v>259</v>
      </c>
      <c r="D117" s="2" t="s">
        <v>260</v>
      </c>
      <c r="E117" s="3" t="s">
        <v>261</v>
      </c>
      <c r="G117" s="4" t="s">
        <v>28</v>
      </c>
      <c r="H117" s="22" t="s">
        <v>271</v>
      </c>
      <c r="I117" s="22">
        <v>2550</v>
      </c>
      <c r="J117" s="22"/>
      <c r="K117" s="22">
        <f t="shared" si="1"/>
        <v>2550</v>
      </c>
      <c r="L117" s="17"/>
      <c r="M117" s="23"/>
    </row>
    <row r="118" spans="1:20" x14ac:dyDescent="0.25">
      <c r="A118" s="10">
        <v>46031</v>
      </c>
      <c r="B118" s="2" t="s">
        <v>258</v>
      </c>
      <c r="C118" s="2" t="s">
        <v>259</v>
      </c>
      <c r="D118" s="2" t="s">
        <v>260</v>
      </c>
      <c r="E118" s="3" t="s">
        <v>261</v>
      </c>
      <c r="G118" s="4" t="s">
        <v>28</v>
      </c>
      <c r="H118" s="22" t="s">
        <v>272</v>
      </c>
      <c r="I118" s="22">
        <v>2750</v>
      </c>
      <c r="J118" s="22"/>
      <c r="K118" s="22">
        <f t="shared" si="1"/>
        <v>2750</v>
      </c>
      <c r="L118" s="17"/>
      <c r="M118" s="23"/>
    </row>
    <row r="119" spans="1:20" x14ac:dyDescent="0.25">
      <c r="A119" s="10">
        <v>46031</v>
      </c>
      <c r="B119" s="2" t="s">
        <v>258</v>
      </c>
      <c r="C119" s="2" t="s">
        <v>259</v>
      </c>
      <c r="D119" s="2" t="s">
        <v>260</v>
      </c>
      <c r="E119" s="3" t="s">
        <v>261</v>
      </c>
      <c r="G119" s="4" t="s">
        <v>48</v>
      </c>
      <c r="H119" s="22" t="s">
        <v>47</v>
      </c>
      <c r="I119" s="22">
        <v>250</v>
      </c>
      <c r="J119" s="22"/>
      <c r="K119" s="22">
        <f t="shared" si="1"/>
        <v>250</v>
      </c>
      <c r="L119" s="17"/>
      <c r="M119" s="23"/>
    </row>
    <row r="120" spans="1:20" x14ac:dyDescent="0.25">
      <c r="A120" s="10">
        <v>46031</v>
      </c>
      <c r="B120" s="2" t="s">
        <v>258</v>
      </c>
      <c r="C120" s="2" t="s">
        <v>259</v>
      </c>
      <c r="D120" s="2" t="s">
        <v>260</v>
      </c>
      <c r="E120" s="3" t="s">
        <v>261</v>
      </c>
      <c r="G120" s="4" t="s">
        <v>48</v>
      </c>
      <c r="H120" s="22" t="s">
        <v>49</v>
      </c>
      <c r="I120" s="22"/>
      <c r="J120" s="22">
        <f>SUM(I109:I119)</f>
        <v>70462.739999999991</v>
      </c>
      <c r="K120" s="22">
        <f t="shared" si="1"/>
        <v>70462.739999999991</v>
      </c>
      <c r="L120" s="17"/>
      <c r="M120" s="23"/>
    </row>
    <row r="121" spans="1:20" ht="24" x14ac:dyDescent="0.25">
      <c r="A121" s="10">
        <v>46031</v>
      </c>
      <c r="B121" s="2" t="s">
        <v>273</v>
      </c>
      <c r="D121" s="2" t="s">
        <v>274</v>
      </c>
      <c r="E121" s="3" t="s">
        <v>275</v>
      </c>
      <c r="F121" s="4">
        <f>(41969.24-822.93)+822.93-137.15</f>
        <v>41832.089999999997</v>
      </c>
      <c r="G121" s="4" t="s">
        <v>28</v>
      </c>
      <c r="H121" s="22" t="s">
        <v>276</v>
      </c>
      <c r="I121" s="22">
        <v>41146.31</v>
      </c>
      <c r="J121" s="22"/>
      <c r="K121" s="22">
        <f t="shared" si="1"/>
        <v>41146.31</v>
      </c>
      <c r="L121" s="17">
        <v>41832.089999999997</v>
      </c>
      <c r="M121" s="23" t="s">
        <v>41</v>
      </c>
      <c r="N121" s="1" t="s">
        <v>277</v>
      </c>
      <c r="O121" s="7" t="s">
        <v>278</v>
      </c>
      <c r="P121" s="7" t="s">
        <v>81</v>
      </c>
      <c r="R121" s="7" t="s">
        <v>279</v>
      </c>
      <c r="T121" s="3" t="s">
        <v>280</v>
      </c>
    </row>
    <row r="122" spans="1:20" x14ac:dyDescent="0.25">
      <c r="A122" s="10">
        <v>46031</v>
      </c>
      <c r="B122" s="2" t="s">
        <v>273</v>
      </c>
      <c r="D122" s="2" t="s">
        <v>274</v>
      </c>
      <c r="E122" s="3" t="s">
        <v>275</v>
      </c>
      <c r="G122" s="4" t="s">
        <v>28</v>
      </c>
      <c r="H122" s="22" t="s">
        <v>281</v>
      </c>
      <c r="I122" s="22">
        <v>822.93</v>
      </c>
      <c r="J122" s="22"/>
      <c r="K122" s="22">
        <f t="shared" si="1"/>
        <v>822.93</v>
      </c>
      <c r="L122" s="17"/>
    </row>
    <row r="123" spans="1:20" x14ac:dyDescent="0.25">
      <c r="A123" s="10">
        <v>46031</v>
      </c>
      <c r="B123" s="2" t="s">
        <v>273</v>
      </c>
      <c r="D123" s="2" t="s">
        <v>274</v>
      </c>
      <c r="E123" s="3" t="s">
        <v>275</v>
      </c>
      <c r="G123" s="4" t="s">
        <v>28</v>
      </c>
      <c r="H123" s="22" t="s">
        <v>282</v>
      </c>
      <c r="I123" s="22"/>
      <c r="J123" s="22">
        <v>137.15</v>
      </c>
      <c r="K123" s="22">
        <f t="shared" si="1"/>
        <v>137.15</v>
      </c>
      <c r="L123" s="17"/>
    </row>
    <row r="124" spans="1:20" x14ac:dyDescent="0.25">
      <c r="A124" s="10">
        <v>46031</v>
      </c>
      <c r="B124" s="2" t="s">
        <v>273</v>
      </c>
      <c r="D124" s="2" t="s">
        <v>274</v>
      </c>
      <c r="E124" s="3" t="s">
        <v>275</v>
      </c>
      <c r="G124" s="4" t="s">
        <v>48</v>
      </c>
      <c r="H124" s="22" t="s">
        <v>49</v>
      </c>
      <c r="I124" s="22"/>
      <c r="J124" s="22">
        <f>I121+I122-J123</f>
        <v>41832.089999999997</v>
      </c>
      <c r="K124" s="22">
        <f t="shared" si="1"/>
        <v>41832.089999999997</v>
      </c>
      <c r="L124" s="17"/>
    </row>
    <row r="125" spans="1:20" ht="24" x14ac:dyDescent="0.25">
      <c r="A125" s="10">
        <v>46031</v>
      </c>
      <c r="B125" s="2" t="s">
        <v>283</v>
      </c>
      <c r="D125" s="2" t="s">
        <v>274</v>
      </c>
      <c r="E125" s="3" t="s">
        <v>275</v>
      </c>
      <c r="F125" s="4">
        <f>(13592.53-266.52)+266.52-44.42</f>
        <v>13548.11</v>
      </c>
      <c r="G125" s="4" t="s">
        <v>48</v>
      </c>
      <c r="H125" s="22" t="s">
        <v>276</v>
      </c>
      <c r="I125" s="22">
        <f>13326.01</f>
        <v>13326.01</v>
      </c>
      <c r="J125" s="22"/>
      <c r="K125" s="22">
        <f t="shared" si="1"/>
        <v>13326.01</v>
      </c>
      <c r="L125" s="17"/>
      <c r="M125" s="23" t="s">
        <v>41</v>
      </c>
      <c r="N125" s="1" t="s">
        <v>284</v>
      </c>
      <c r="O125" s="7" t="s">
        <v>285</v>
      </c>
      <c r="P125" s="7" t="s">
        <v>81</v>
      </c>
      <c r="R125" s="7" t="s">
        <v>286</v>
      </c>
    </row>
    <row r="126" spans="1:20" x14ac:dyDescent="0.25">
      <c r="A126" s="10">
        <v>46031</v>
      </c>
      <c r="B126" s="2" t="s">
        <v>283</v>
      </c>
      <c r="D126" s="2" t="s">
        <v>274</v>
      </c>
      <c r="E126" s="3" t="s">
        <v>275</v>
      </c>
      <c r="G126" s="4" t="s">
        <v>48</v>
      </c>
      <c r="H126" s="22" t="s">
        <v>281</v>
      </c>
      <c r="I126" s="22">
        <v>266.52</v>
      </c>
      <c r="J126" s="22"/>
      <c r="K126" s="22">
        <f t="shared" si="1"/>
        <v>266.52</v>
      </c>
      <c r="L126" s="17"/>
    </row>
    <row r="127" spans="1:20" x14ac:dyDescent="0.25">
      <c r="A127" s="10">
        <v>46031</v>
      </c>
      <c r="B127" s="2" t="s">
        <v>283</v>
      </c>
      <c r="D127" s="2" t="s">
        <v>274</v>
      </c>
      <c r="E127" s="3" t="s">
        <v>275</v>
      </c>
      <c r="G127" s="4" t="s">
        <v>48</v>
      </c>
      <c r="H127" s="22" t="s">
        <v>282</v>
      </c>
      <c r="I127" s="22"/>
      <c r="J127" s="22">
        <v>44.42</v>
      </c>
      <c r="K127" s="22">
        <f t="shared" si="1"/>
        <v>44.42</v>
      </c>
      <c r="L127" s="17"/>
    </row>
    <row r="128" spans="1:20" x14ac:dyDescent="0.25">
      <c r="A128" s="10">
        <v>46031</v>
      </c>
      <c r="B128" s="2" t="s">
        <v>283</v>
      </c>
      <c r="D128" s="2" t="s">
        <v>274</v>
      </c>
      <c r="E128" s="3" t="s">
        <v>275</v>
      </c>
      <c r="G128" s="4" t="s">
        <v>48</v>
      </c>
      <c r="H128" s="22" t="s">
        <v>49</v>
      </c>
      <c r="I128" s="22"/>
      <c r="J128" s="22">
        <f>I125+I126-J127</f>
        <v>13548.11</v>
      </c>
      <c r="K128" s="22">
        <f t="shared" si="1"/>
        <v>13548.11</v>
      </c>
      <c r="L128" s="17"/>
    </row>
    <row r="129" spans="1:20" ht="24" x14ac:dyDescent="0.25">
      <c r="A129" s="10">
        <v>46034</v>
      </c>
      <c r="B129" s="2" t="s">
        <v>287</v>
      </c>
      <c r="C129" s="2" t="s">
        <v>74</v>
      </c>
      <c r="D129" s="2" t="s">
        <v>288</v>
      </c>
      <c r="E129" s="3" t="s">
        <v>76</v>
      </c>
      <c r="F129" s="4">
        <v>10300</v>
      </c>
      <c r="G129" s="4" t="s">
        <v>77</v>
      </c>
      <c r="H129" s="22" t="s">
        <v>78</v>
      </c>
      <c r="I129" s="22">
        <v>10300</v>
      </c>
      <c r="J129" s="22"/>
      <c r="K129" s="22">
        <f t="shared" si="1"/>
        <v>10300</v>
      </c>
      <c r="L129" s="17">
        <v>10300</v>
      </c>
      <c r="M129" s="23" t="s">
        <v>41</v>
      </c>
      <c r="N129" s="1" t="s">
        <v>289</v>
      </c>
      <c r="O129" s="28" t="s">
        <v>80</v>
      </c>
      <c r="P129" s="28"/>
      <c r="Q129" s="7" t="s">
        <v>81</v>
      </c>
      <c r="R129" s="7" t="s">
        <v>70</v>
      </c>
      <c r="S129" s="3" t="s">
        <v>83</v>
      </c>
      <c r="T129" s="3" t="s">
        <v>290</v>
      </c>
    </row>
    <row r="130" spans="1:20" x14ac:dyDescent="0.25">
      <c r="A130" s="10">
        <v>46034</v>
      </c>
      <c r="B130" s="2" t="s">
        <v>287</v>
      </c>
      <c r="C130" s="2" t="s">
        <v>74</v>
      </c>
      <c r="D130" s="2" t="s">
        <v>288</v>
      </c>
      <c r="E130" s="3" t="s">
        <v>76</v>
      </c>
      <c r="G130" s="4" t="s">
        <v>48</v>
      </c>
      <c r="H130" s="22" t="s">
        <v>81</v>
      </c>
      <c r="I130" s="22"/>
      <c r="J130" s="22">
        <f>I129</f>
        <v>10300</v>
      </c>
      <c r="K130" s="22">
        <f t="shared" si="1"/>
        <v>10300</v>
      </c>
      <c r="L130" s="17"/>
      <c r="M130" s="26"/>
    </row>
    <row r="131" spans="1:20" ht="24" x14ac:dyDescent="0.25">
      <c r="A131" s="10">
        <v>46034</v>
      </c>
      <c r="B131" s="2" t="s">
        <v>291</v>
      </c>
      <c r="C131" s="2" t="s">
        <v>95</v>
      </c>
      <c r="D131" s="2" t="s">
        <v>292</v>
      </c>
      <c r="E131" s="3" t="s">
        <v>293</v>
      </c>
      <c r="F131" s="4">
        <v>12000</v>
      </c>
      <c r="G131" s="4" t="s">
        <v>128</v>
      </c>
      <c r="H131" s="22" t="s">
        <v>78</v>
      </c>
      <c r="I131" s="22">
        <v>12000</v>
      </c>
      <c r="J131" s="22"/>
      <c r="K131" s="22">
        <f t="shared" si="1"/>
        <v>12000</v>
      </c>
      <c r="L131" s="17">
        <v>12000</v>
      </c>
      <c r="M131" s="23" t="s">
        <v>41</v>
      </c>
      <c r="N131" s="1" t="s">
        <v>294</v>
      </c>
      <c r="O131" s="28" t="s">
        <v>80</v>
      </c>
      <c r="P131" s="28"/>
      <c r="Q131" s="7" t="s">
        <v>81</v>
      </c>
      <c r="R131" s="7" t="s">
        <v>70</v>
      </c>
      <c r="S131" s="3" t="s">
        <v>83</v>
      </c>
      <c r="T131" s="3" t="s">
        <v>248</v>
      </c>
    </row>
    <row r="132" spans="1:20" x14ac:dyDescent="0.25">
      <c r="A132" s="10">
        <v>46034</v>
      </c>
      <c r="B132" s="2" t="s">
        <v>291</v>
      </c>
      <c r="C132" s="2" t="s">
        <v>95</v>
      </c>
      <c r="D132" s="2" t="s">
        <v>292</v>
      </c>
      <c r="E132" s="3" t="s">
        <v>293</v>
      </c>
      <c r="G132" s="4" t="s">
        <v>48</v>
      </c>
      <c r="H132" s="22" t="s">
        <v>81</v>
      </c>
      <c r="I132" s="22"/>
      <c r="J132" s="22">
        <f>I131</f>
        <v>12000</v>
      </c>
      <c r="K132" s="22">
        <f t="shared" si="1"/>
        <v>12000</v>
      </c>
      <c r="L132" s="17"/>
      <c r="M132" s="26"/>
    </row>
    <row r="133" spans="1:20" x14ac:dyDescent="0.25">
      <c r="A133" s="10">
        <v>46034</v>
      </c>
      <c r="B133" s="2" t="s">
        <v>295</v>
      </c>
      <c r="C133" s="2" t="s">
        <v>95</v>
      </c>
      <c r="D133" s="2" t="s">
        <v>296</v>
      </c>
      <c r="E133" s="3" t="s">
        <v>76</v>
      </c>
      <c r="F133" s="4">
        <v>7650</v>
      </c>
      <c r="G133" s="4" t="s">
        <v>128</v>
      </c>
      <c r="H133" s="22" t="s">
        <v>78</v>
      </c>
      <c r="I133" s="22">
        <v>7650</v>
      </c>
      <c r="J133" s="22"/>
      <c r="K133" s="22">
        <f t="shared" si="1"/>
        <v>7650</v>
      </c>
      <c r="L133" s="17">
        <v>7650</v>
      </c>
      <c r="M133" s="23" t="s">
        <v>41</v>
      </c>
      <c r="N133" s="1" t="s">
        <v>297</v>
      </c>
      <c r="O133" s="28" t="s">
        <v>80</v>
      </c>
      <c r="P133" s="28"/>
      <c r="Q133" s="7" t="s">
        <v>81</v>
      </c>
      <c r="R133" s="7" t="s">
        <v>70</v>
      </c>
      <c r="S133" s="3" t="s">
        <v>83</v>
      </c>
      <c r="T133" s="3" t="s">
        <v>248</v>
      </c>
    </row>
    <row r="134" spans="1:20" x14ac:dyDescent="0.25">
      <c r="A134" s="10">
        <v>46034</v>
      </c>
      <c r="B134" s="2" t="s">
        <v>295</v>
      </c>
      <c r="C134" s="2" t="s">
        <v>95</v>
      </c>
      <c r="D134" s="2" t="s">
        <v>296</v>
      </c>
      <c r="E134" s="3" t="s">
        <v>76</v>
      </c>
      <c r="G134" s="4" t="s">
        <v>48</v>
      </c>
      <c r="H134" s="22" t="s">
        <v>81</v>
      </c>
      <c r="I134" s="22"/>
      <c r="J134" s="22">
        <f>I133</f>
        <v>7650</v>
      </c>
      <c r="K134" s="22">
        <f t="shared" si="1"/>
        <v>7650</v>
      </c>
      <c r="L134" s="17"/>
      <c r="M134" s="26"/>
    </row>
    <row r="135" spans="1:20" ht="24" x14ac:dyDescent="0.25">
      <c r="A135" s="10">
        <v>46034</v>
      </c>
      <c r="B135" s="2" t="s">
        <v>298</v>
      </c>
      <c r="C135" s="2" t="s">
        <v>95</v>
      </c>
      <c r="D135" s="2" t="s">
        <v>299</v>
      </c>
      <c r="E135" s="3" t="s">
        <v>76</v>
      </c>
      <c r="F135" s="4">
        <v>60300</v>
      </c>
      <c r="G135" s="4" t="s">
        <v>77</v>
      </c>
      <c r="H135" s="22" t="s">
        <v>78</v>
      </c>
      <c r="I135" s="22">
        <v>60300</v>
      </c>
      <c r="J135" s="22"/>
      <c r="K135" s="22">
        <f t="shared" si="1"/>
        <v>60300</v>
      </c>
      <c r="L135" s="17">
        <v>60300</v>
      </c>
      <c r="M135" s="23" t="s">
        <v>41</v>
      </c>
      <c r="N135" s="1" t="s">
        <v>300</v>
      </c>
      <c r="O135" s="28" t="s">
        <v>80</v>
      </c>
      <c r="P135" s="28"/>
      <c r="R135" s="7" t="s">
        <v>89</v>
      </c>
    </row>
    <row r="136" spans="1:20" x14ac:dyDescent="0.25">
      <c r="A136" s="10">
        <v>46034</v>
      </c>
      <c r="B136" s="2" t="s">
        <v>298</v>
      </c>
      <c r="C136" s="2" t="s">
        <v>95</v>
      </c>
      <c r="D136" s="2" t="s">
        <v>299</v>
      </c>
      <c r="E136" s="3" t="s">
        <v>76</v>
      </c>
      <c r="G136" s="4" t="s">
        <v>48</v>
      </c>
      <c r="H136" s="22" t="s">
        <v>81</v>
      </c>
      <c r="I136" s="22"/>
      <c r="J136" s="22">
        <f>I135</f>
        <v>60300</v>
      </c>
      <c r="K136" s="22">
        <f t="shared" si="1"/>
        <v>60300</v>
      </c>
      <c r="L136" s="17"/>
      <c r="M136" s="26"/>
    </row>
    <row r="137" spans="1:20" ht="24" x14ac:dyDescent="0.25">
      <c r="A137" s="10">
        <v>46034</v>
      </c>
      <c r="B137" s="2" t="s">
        <v>301</v>
      </c>
      <c r="C137" s="2" t="s">
        <v>95</v>
      </c>
      <c r="D137" s="2" t="s">
        <v>302</v>
      </c>
      <c r="E137" s="3" t="s">
        <v>76</v>
      </c>
      <c r="F137" s="4">
        <v>2500</v>
      </c>
      <c r="G137" s="4" t="s">
        <v>211</v>
      </c>
      <c r="H137" s="22" t="s">
        <v>78</v>
      </c>
      <c r="I137" s="22">
        <v>2500</v>
      </c>
      <c r="J137" s="22"/>
      <c r="K137" s="22">
        <f t="shared" si="1"/>
        <v>2500</v>
      </c>
      <c r="L137" s="17">
        <v>2500</v>
      </c>
      <c r="M137" s="23" t="s">
        <v>41</v>
      </c>
      <c r="N137" s="1" t="s">
        <v>303</v>
      </c>
      <c r="O137" s="28" t="s">
        <v>80</v>
      </c>
      <c r="P137" s="28"/>
      <c r="Q137" s="7" t="s">
        <v>81</v>
      </c>
      <c r="R137" s="7" t="s">
        <v>70</v>
      </c>
      <c r="S137" s="3" t="s">
        <v>83</v>
      </c>
      <c r="T137" s="3" t="s">
        <v>84</v>
      </c>
    </row>
    <row r="138" spans="1:20" x14ac:dyDescent="0.25">
      <c r="A138" s="10">
        <v>46034</v>
      </c>
      <c r="B138" s="2" t="s">
        <v>301</v>
      </c>
      <c r="C138" s="2" t="s">
        <v>95</v>
      </c>
      <c r="D138" s="2" t="s">
        <v>302</v>
      </c>
      <c r="E138" s="3" t="s">
        <v>76</v>
      </c>
      <c r="G138" s="4" t="s">
        <v>48</v>
      </c>
      <c r="H138" s="22" t="s">
        <v>81</v>
      </c>
      <c r="I138" s="22"/>
      <c r="J138" s="22">
        <f>I137</f>
        <v>2500</v>
      </c>
      <c r="K138" s="22">
        <f t="shared" si="1"/>
        <v>2500</v>
      </c>
      <c r="L138" s="17"/>
      <c r="M138" s="26"/>
    </row>
    <row r="139" spans="1:20" ht="24" x14ac:dyDescent="0.25">
      <c r="A139" s="10">
        <v>46034</v>
      </c>
      <c r="B139" s="2" t="s">
        <v>304</v>
      </c>
      <c r="C139" s="2" t="s">
        <v>305</v>
      </c>
      <c r="D139" s="2" t="s">
        <v>306</v>
      </c>
      <c r="E139" s="3" t="s">
        <v>307</v>
      </c>
      <c r="F139" s="4">
        <f>(3546/1.12)+(3546/1.12*0.12)-(3546/1.12*0.01)</f>
        <v>3514.3392857142858</v>
      </c>
      <c r="G139" s="4" t="s">
        <v>128</v>
      </c>
      <c r="H139" s="22" t="s">
        <v>40</v>
      </c>
      <c r="I139" s="22">
        <f>3546/1.12</f>
        <v>3166.0714285714284</v>
      </c>
      <c r="J139" s="22"/>
      <c r="K139" s="22">
        <f t="shared" si="1"/>
        <v>3166.0714285714284</v>
      </c>
      <c r="L139" s="17">
        <v>3514.34</v>
      </c>
      <c r="M139" s="23" t="s">
        <v>41</v>
      </c>
      <c r="N139" s="1" t="s">
        <v>308</v>
      </c>
      <c r="O139" s="7" t="s">
        <v>116</v>
      </c>
      <c r="Q139" s="7" t="s">
        <v>81</v>
      </c>
      <c r="R139" s="7" t="s">
        <v>70</v>
      </c>
      <c r="S139" s="3" t="s">
        <v>83</v>
      </c>
      <c r="T139" s="3" t="s">
        <v>248</v>
      </c>
    </row>
    <row r="140" spans="1:20" x14ac:dyDescent="0.25">
      <c r="A140" s="10">
        <v>46034</v>
      </c>
      <c r="B140" s="2" t="s">
        <v>304</v>
      </c>
      <c r="C140" s="2" t="s">
        <v>305</v>
      </c>
      <c r="D140" s="2" t="s">
        <v>306</v>
      </c>
      <c r="E140" s="3" t="s">
        <v>307</v>
      </c>
      <c r="G140" s="4" t="s">
        <v>128</v>
      </c>
      <c r="H140" s="22" t="s">
        <v>104</v>
      </c>
      <c r="I140" s="22">
        <f>I139*0.12</f>
        <v>379.92857142857139</v>
      </c>
      <c r="J140" s="22"/>
      <c r="K140" s="22">
        <f t="shared" si="1"/>
        <v>379.92857142857139</v>
      </c>
      <c r="L140" s="17"/>
      <c r="M140" s="26"/>
    </row>
    <row r="141" spans="1:20" x14ac:dyDescent="0.25">
      <c r="A141" s="10">
        <v>46034</v>
      </c>
      <c r="B141" s="2" t="s">
        <v>304</v>
      </c>
      <c r="C141" s="2" t="s">
        <v>305</v>
      </c>
      <c r="D141" s="2" t="s">
        <v>306</v>
      </c>
      <c r="E141" s="3" t="s">
        <v>307</v>
      </c>
      <c r="G141" s="4" t="s">
        <v>128</v>
      </c>
      <c r="H141" s="22" t="s">
        <v>105</v>
      </c>
      <c r="I141" s="22"/>
      <c r="J141" s="22">
        <f>I139*0.01</f>
        <v>31.660714285714285</v>
      </c>
      <c r="K141" s="22">
        <f t="shared" si="1"/>
        <v>31.660714285714285</v>
      </c>
      <c r="L141" s="17"/>
      <c r="M141" s="26"/>
    </row>
    <row r="142" spans="1:20" x14ac:dyDescent="0.25">
      <c r="A142" s="10">
        <v>46034</v>
      </c>
      <c r="B142" s="2" t="s">
        <v>304</v>
      </c>
      <c r="C142" s="2" t="s">
        <v>305</v>
      </c>
      <c r="D142" s="2" t="s">
        <v>306</v>
      </c>
      <c r="E142" s="3" t="s">
        <v>307</v>
      </c>
      <c r="G142" s="4" t="s">
        <v>48</v>
      </c>
      <c r="H142" s="22" t="s">
        <v>49</v>
      </c>
      <c r="I142" s="22"/>
      <c r="J142" s="22">
        <f>I139+I140-J141</f>
        <v>3514.3392857142858</v>
      </c>
      <c r="K142" s="22">
        <f t="shared" si="1"/>
        <v>3514.3392857142858</v>
      </c>
      <c r="L142" s="17"/>
      <c r="M142" s="26"/>
    </row>
    <row r="143" spans="1:20" ht="24" x14ac:dyDescent="0.25">
      <c r="A143" s="10">
        <v>46034</v>
      </c>
      <c r="B143" s="2" t="s">
        <v>309</v>
      </c>
      <c r="C143" s="2" t="s">
        <v>310</v>
      </c>
      <c r="E143" s="3" t="s">
        <v>27</v>
      </c>
      <c r="F143" s="4">
        <v>4009008.12</v>
      </c>
      <c r="G143" s="4" t="s">
        <v>48</v>
      </c>
      <c r="H143" s="22" t="s">
        <v>311</v>
      </c>
      <c r="I143" s="22">
        <v>4009008.12</v>
      </c>
      <c r="J143" s="22"/>
      <c r="K143" s="22">
        <f t="shared" si="1"/>
        <v>4009008.12</v>
      </c>
      <c r="L143" s="17">
        <v>4009008.12</v>
      </c>
      <c r="M143" s="23" t="s">
        <v>41</v>
      </c>
      <c r="N143" s="1" t="s">
        <v>312</v>
      </c>
      <c r="O143" s="7" t="s">
        <v>313</v>
      </c>
      <c r="Q143" s="25" t="s">
        <v>314</v>
      </c>
      <c r="R143" s="7" t="s">
        <v>70</v>
      </c>
      <c r="S143" s="3" t="s">
        <v>315</v>
      </c>
      <c r="T143" s="3" t="s">
        <v>316</v>
      </c>
    </row>
    <row r="144" spans="1:20" x14ac:dyDescent="0.25">
      <c r="A144" s="10">
        <v>46034</v>
      </c>
      <c r="B144" s="2" t="s">
        <v>309</v>
      </c>
      <c r="C144" s="2" t="s">
        <v>310</v>
      </c>
      <c r="E144" s="3" t="s">
        <v>27</v>
      </c>
      <c r="G144" s="4" t="s">
        <v>48</v>
      </c>
      <c r="H144" s="22" t="s">
        <v>317</v>
      </c>
      <c r="I144" s="22"/>
      <c r="J144" s="22">
        <f>I143</f>
        <v>4009008.12</v>
      </c>
      <c r="K144" s="22">
        <f t="shared" si="1"/>
        <v>4009008.12</v>
      </c>
      <c r="L144" s="17"/>
      <c r="M144" s="26"/>
      <c r="Q144" s="25"/>
    </row>
    <row r="145" spans="1:23" ht="24" x14ac:dyDescent="0.25">
      <c r="A145" s="10">
        <v>46034</v>
      </c>
      <c r="B145" s="2" t="s">
        <v>318</v>
      </c>
      <c r="C145" s="2" t="s">
        <v>319</v>
      </c>
      <c r="E145" s="3" t="s">
        <v>27</v>
      </c>
      <c r="F145" s="4">
        <v>1700000</v>
      </c>
      <c r="G145" s="4" t="s">
        <v>48</v>
      </c>
      <c r="H145" s="22" t="s">
        <v>320</v>
      </c>
      <c r="I145" s="22">
        <v>1700000</v>
      </c>
      <c r="J145" s="22"/>
      <c r="K145" s="22">
        <f t="shared" si="1"/>
        <v>1700000</v>
      </c>
      <c r="L145" s="17">
        <v>1700000</v>
      </c>
      <c r="M145" s="23" t="s">
        <v>41</v>
      </c>
      <c r="N145" s="1" t="s">
        <v>321</v>
      </c>
      <c r="O145" s="7" t="s">
        <v>313</v>
      </c>
      <c r="Q145" s="25" t="s">
        <v>322</v>
      </c>
      <c r="R145" s="7" t="s">
        <v>323</v>
      </c>
      <c r="S145" s="3" t="s">
        <v>145</v>
      </c>
      <c r="T145" s="3" t="s">
        <v>324</v>
      </c>
    </row>
    <row r="146" spans="1:23" x14ac:dyDescent="0.25">
      <c r="A146" s="10">
        <v>46034</v>
      </c>
      <c r="B146" s="2" t="s">
        <v>318</v>
      </c>
      <c r="C146" s="2" t="s">
        <v>310</v>
      </c>
      <c r="E146" s="3" t="s">
        <v>27</v>
      </c>
      <c r="G146" s="4" t="s">
        <v>48</v>
      </c>
      <c r="H146" s="22" t="s">
        <v>29</v>
      </c>
      <c r="I146" s="22"/>
      <c r="J146" s="22">
        <f>I145</f>
        <v>1700000</v>
      </c>
      <c r="K146" s="22">
        <f t="shared" si="1"/>
        <v>1700000</v>
      </c>
      <c r="L146" s="17"/>
      <c r="M146" s="26"/>
      <c r="Q146" s="25"/>
    </row>
    <row r="147" spans="1:23" x14ac:dyDescent="0.25">
      <c r="A147" s="10">
        <v>46034</v>
      </c>
      <c r="B147" s="2" t="s">
        <v>325</v>
      </c>
      <c r="C147" s="2" t="s">
        <v>310</v>
      </c>
      <c r="E147" s="3" t="s">
        <v>27</v>
      </c>
      <c r="F147" s="4">
        <v>3450000</v>
      </c>
      <c r="G147" s="4" t="s">
        <v>326</v>
      </c>
      <c r="H147" s="22" t="s">
        <v>327</v>
      </c>
      <c r="I147" s="22">
        <v>3450000</v>
      </c>
      <c r="J147" s="22"/>
      <c r="K147" s="22">
        <f t="shared" si="1"/>
        <v>3450000</v>
      </c>
      <c r="L147" s="17">
        <v>3450000</v>
      </c>
      <c r="M147" s="23" t="s">
        <v>41</v>
      </c>
      <c r="N147" s="1" t="s">
        <v>328</v>
      </c>
      <c r="O147" s="7" t="s">
        <v>313</v>
      </c>
      <c r="Q147" s="25" t="s">
        <v>329</v>
      </c>
      <c r="R147" s="7" t="s">
        <v>323</v>
      </c>
      <c r="S147" s="3" t="s">
        <v>145</v>
      </c>
      <c r="T147" s="3" t="s">
        <v>324</v>
      </c>
    </row>
    <row r="148" spans="1:23" x14ac:dyDescent="0.25">
      <c r="A148" s="10">
        <v>46034</v>
      </c>
      <c r="B148" s="2" t="s">
        <v>325</v>
      </c>
      <c r="C148" s="2" t="s">
        <v>310</v>
      </c>
      <c r="E148" s="3" t="s">
        <v>27</v>
      </c>
      <c r="G148" s="4" t="s">
        <v>48</v>
      </c>
      <c r="H148" s="22" t="s">
        <v>29</v>
      </c>
      <c r="I148" s="22"/>
      <c r="J148" s="22">
        <f>I147</f>
        <v>3450000</v>
      </c>
      <c r="K148" s="22">
        <f t="shared" si="1"/>
        <v>3450000</v>
      </c>
      <c r="L148" s="17"/>
      <c r="M148" s="26"/>
      <c r="Q148" s="25"/>
    </row>
    <row r="149" spans="1:23" ht="24" x14ac:dyDescent="0.25">
      <c r="A149" s="10">
        <v>46034</v>
      </c>
      <c r="B149" s="2" t="s">
        <v>330</v>
      </c>
      <c r="C149" s="2" t="s">
        <v>310</v>
      </c>
      <c r="E149" s="3" t="s">
        <v>27</v>
      </c>
      <c r="F149" s="4">
        <v>1650000</v>
      </c>
      <c r="G149" s="4" t="s">
        <v>48</v>
      </c>
      <c r="H149" s="22" t="s">
        <v>331</v>
      </c>
      <c r="I149" s="22">
        <v>1650000</v>
      </c>
      <c r="J149" s="22"/>
      <c r="K149" s="22">
        <f t="shared" si="1"/>
        <v>1650000</v>
      </c>
      <c r="L149" s="17">
        <v>1650000</v>
      </c>
      <c r="M149" s="23" t="s">
        <v>41</v>
      </c>
      <c r="N149" s="1" t="s">
        <v>332</v>
      </c>
      <c r="O149" s="7" t="s">
        <v>313</v>
      </c>
      <c r="Q149" s="25" t="s">
        <v>333</v>
      </c>
      <c r="R149" s="7" t="s">
        <v>323</v>
      </c>
      <c r="S149" s="3" t="s">
        <v>145</v>
      </c>
      <c r="T149" s="3" t="s">
        <v>324</v>
      </c>
    </row>
    <row r="150" spans="1:23" x14ac:dyDescent="0.25">
      <c r="A150" s="10">
        <v>46034</v>
      </c>
      <c r="B150" s="2" t="s">
        <v>330</v>
      </c>
      <c r="C150" s="2" t="s">
        <v>310</v>
      </c>
      <c r="E150" s="3" t="s">
        <v>27</v>
      </c>
      <c r="G150" s="4" t="s">
        <v>48</v>
      </c>
      <c r="H150" s="22" t="s">
        <v>334</v>
      </c>
      <c r="I150" s="22"/>
      <c r="J150" s="22">
        <f>I149</f>
        <v>1650000</v>
      </c>
      <c r="K150" s="22">
        <f t="shared" si="1"/>
        <v>1650000</v>
      </c>
      <c r="L150" s="17"/>
      <c r="M150" s="23"/>
      <c r="Q150" s="25"/>
    </row>
    <row r="151" spans="1:23" ht="24" x14ac:dyDescent="0.25">
      <c r="A151" s="10">
        <v>46034</v>
      </c>
      <c r="B151" s="2" t="s">
        <v>335</v>
      </c>
      <c r="C151" s="2" t="s">
        <v>310</v>
      </c>
      <c r="E151" s="3" t="s">
        <v>27</v>
      </c>
      <c r="F151" s="4">
        <v>872500</v>
      </c>
      <c r="G151" s="4" t="s">
        <v>48</v>
      </c>
      <c r="H151" s="22" t="s">
        <v>336</v>
      </c>
      <c r="I151" s="22">
        <v>872500</v>
      </c>
      <c r="J151" s="22"/>
      <c r="K151" s="22">
        <f t="shared" si="1"/>
        <v>872500</v>
      </c>
      <c r="L151" s="17">
        <v>872500</v>
      </c>
      <c r="M151" s="23" t="s">
        <v>41</v>
      </c>
      <c r="N151" s="1" t="s">
        <v>337</v>
      </c>
      <c r="O151" s="7" t="s">
        <v>313</v>
      </c>
      <c r="Q151" s="25" t="s">
        <v>338</v>
      </c>
      <c r="R151" s="7" t="s">
        <v>323</v>
      </c>
      <c r="S151" s="3" t="s">
        <v>145</v>
      </c>
      <c r="T151" s="3" t="s">
        <v>324</v>
      </c>
      <c r="W151" s="9" t="s">
        <v>339</v>
      </c>
    </row>
    <row r="152" spans="1:23" x14ac:dyDescent="0.25">
      <c r="A152" s="10">
        <v>46034</v>
      </c>
      <c r="B152" s="2" t="s">
        <v>335</v>
      </c>
      <c r="C152" s="2" t="s">
        <v>310</v>
      </c>
      <c r="E152" s="3" t="s">
        <v>27</v>
      </c>
      <c r="G152" s="4" t="s">
        <v>48</v>
      </c>
      <c r="H152" s="22" t="s">
        <v>29</v>
      </c>
      <c r="I152" s="22"/>
      <c r="J152" s="22">
        <f>I151</f>
        <v>872500</v>
      </c>
      <c r="K152" s="22">
        <f t="shared" si="1"/>
        <v>872500</v>
      </c>
      <c r="L152" s="17"/>
      <c r="M152" s="23"/>
      <c r="Q152" s="25"/>
    </row>
    <row r="153" spans="1:23" ht="24" x14ac:dyDescent="0.25">
      <c r="A153" s="10">
        <v>46034</v>
      </c>
      <c r="B153" s="2" t="s">
        <v>340</v>
      </c>
      <c r="C153" s="2" t="s">
        <v>310</v>
      </c>
      <c r="E153" s="3" t="s">
        <v>27</v>
      </c>
      <c r="F153" s="4">
        <v>3141826.16</v>
      </c>
      <c r="G153" s="4" t="s">
        <v>48</v>
      </c>
      <c r="H153" s="22" t="s">
        <v>311</v>
      </c>
      <c r="I153" s="22">
        <v>3141826.16</v>
      </c>
      <c r="J153" s="22"/>
      <c r="K153" s="22">
        <f t="shared" si="1"/>
        <v>3141826.16</v>
      </c>
      <c r="L153" s="17">
        <v>3141826.16</v>
      </c>
      <c r="M153" s="23" t="s">
        <v>41</v>
      </c>
      <c r="N153" s="1" t="s">
        <v>341</v>
      </c>
      <c r="O153" s="7" t="s">
        <v>313</v>
      </c>
      <c r="Q153" s="25" t="s">
        <v>342</v>
      </c>
      <c r="R153" s="7" t="s">
        <v>70</v>
      </c>
      <c r="S153" s="3" t="s">
        <v>343</v>
      </c>
      <c r="T153" s="3" t="s">
        <v>316</v>
      </c>
    </row>
    <row r="154" spans="1:23" x14ac:dyDescent="0.25">
      <c r="A154" s="10">
        <v>46034</v>
      </c>
      <c r="B154" s="2" t="s">
        <v>340</v>
      </c>
      <c r="C154" s="2" t="s">
        <v>310</v>
      </c>
      <c r="E154" s="3" t="s">
        <v>27</v>
      </c>
      <c r="G154" s="4" t="s">
        <v>48</v>
      </c>
      <c r="H154" s="22" t="s">
        <v>344</v>
      </c>
      <c r="I154" s="22"/>
      <c r="J154" s="22">
        <f>I153</f>
        <v>3141826.16</v>
      </c>
      <c r="K154" s="22">
        <f t="shared" si="1"/>
        <v>3141826.16</v>
      </c>
      <c r="L154" s="17"/>
      <c r="M154" s="23"/>
      <c r="Q154" s="25"/>
    </row>
    <row r="155" spans="1:23" x14ac:dyDescent="0.25">
      <c r="A155" s="10">
        <v>46034</v>
      </c>
      <c r="B155" s="2" t="s">
        <v>345</v>
      </c>
      <c r="C155" s="2" t="s">
        <v>346</v>
      </c>
      <c r="E155" s="3" t="s">
        <v>27</v>
      </c>
      <c r="F155" s="4">
        <v>1650000</v>
      </c>
      <c r="G155" s="4" t="s">
        <v>48</v>
      </c>
      <c r="H155" s="22" t="s">
        <v>81</v>
      </c>
      <c r="I155" s="22">
        <v>1650000</v>
      </c>
      <c r="J155" s="22"/>
      <c r="K155" s="22">
        <f t="shared" si="1"/>
        <v>1650000</v>
      </c>
      <c r="L155" s="17">
        <v>1650000</v>
      </c>
      <c r="M155" s="23" t="s">
        <v>41</v>
      </c>
      <c r="N155" s="1" t="s">
        <v>347</v>
      </c>
      <c r="O155" s="7" t="s">
        <v>348</v>
      </c>
      <c r="Q155" s="25" t="s">
        <v>349</v>
      </c>
      <c r="R155" s="7" t="s">
        <v>323</v>
      </c>
      <c r="S155" s="3" t="s">
        <v>145</v>
      </c>
      <c r="T155" s="3" t="s">
        <v>324</v>
      </c>
    </row>
    <row r="156" spans="1:23" x14ac:dyDescent="0.25">
      <c r="A156" s="10">
        <v>46034</v>
      </c>
      <c r="B156" s="2" t="s">
        <v>345</v>
      </c>
      <c r="C156" s="2" t="s">
        <v>141</v>
      </c>
      <c r="E156" s="3" t="s">
        <v>27</v>
      </c>
      <c r="G156" s="4" t="s">
        <v>48</v>
      </c>
      <c r="H156" s="22" t="s">
        <v>29</v>
      </c>
      <c r="I156" s="22"/>
      <c r="J156" s="22">
        <f>I155</f>
        <v>1650000</v>
      </c>
      <c r="K156" s="22">
        <f t="shared" si="1"/>
        <v>1650000</v>
      </c>
      <c r="L156" s="17"/>
      <c r="M156" s="23"/>
    </row>
    <row r="157" spans="1:23" x14ac:dyDescent="0.25">
      <c r="A157" s="10">
        <v>46034</v>
      </c>
      <c r="B157" s="2" t="s">
        <v>350</v>
      </c>
      <c r="E157" s="3" t="s">
        <v>351</v>
      </c>
      <c r="F157" s="4">
        <v>1650000</v>
      </c>
      <c r="G157" s="4" t="s">
        <v>167</v>
      </c>
      <c r="H157" s="22" t="s">
        <v>352</v>
      </c>
      <c r="I157" s="22">
        <v>1650000</v>
      </c>
      <c r="J157" s="22"/>
      <c r="K157" s="22">
        <f t="shared" si="1"/>
        <v>1650000</v>
      </c>
      <c r="L157" s="17">
        <v>1650000</v>
      </c>
      <c r="M157" s="23" t="s">
        <v>41</v>
      </c>
      <c r="N157" s="1" t="s">
        <v>353</v>
      </c>
      <c r="O157" s="7" t="s">
        <v>354</v>
      </c>
      <c r="P157" s="7" t="s">
        <v>32</v>
      </c>
      <c r="Q157" s="25" t="s">
        <v>355</v>
      </c>
      <c r="R157" s="7" t="s">
        <v>70</v>
      </c>
      <c r="S157" s="3" t="s">
        <v>71</v>
      </c>
      <c r="T157" s="3" t="s">
        <v>356</v>
      </c>
    </row>
    <row r="158" spans="1:23" x14ac:dyDescent="0.25">
      <c r="A158" s="10">
        <v>46034</v>
      </c>
      <c r="B158" s="2" t="s">
        <v>350</v>
      </c>
      <c r="E158" s="3" t="s">
        <v>351</v>
      </c>
      <c r="G158" s="4" t="s">
        <v>48</v>
      </c>
      <c r="H158" s="22" t="s">
        <v>331</v>
      </c>
      <c r="I158" s="22"/>
      <c r="J158" s="22">
        <f>I157</f>
        <v>1650000</v>
      </c>
      <c r="K158" s="22">
        <f t="shared" si="1"/>
        <v>1650000</v>
      </c>
      <c r="L158" s="17"/>
      <c r="M158" s="26"/>
    </row>
    <row r="159" spans="1:23" x14ac:dyDescent="0.25">
      <c r="A159" s="10">
        <v>46034</v>
      </c>
      <c r="B159" s="2" t="s">
        <v>357</v>
      </c>
      <c r="E159" s="3" t="s">
        <v>27</v>
      </c>
      <c r="F159" s="4">
        <v>500000</v>
      </c>
      <c r="G159" s="4" t="s">
        <v>48</v>
      </c>
      <c r="H159" s="22" t="s">
        <v>320</v>
      </c>
      <c r="I159" s="22">
        <v>500000</v>
      </c>
      <c r="J159" s="22"/>
      <c r="K159" s="22">
        <f t="shared" si="1"/>
        <v>500000</v>
      </c>
      <c r="L159" s="17">
        <v>500000</v>
      </c>
      <c r="M159" s="23" t="s">
        <v>41</v>
      </c>
      <c r="N159" s="1" t="s">
        <v>358</v>
      </c>
      <c r="O159" s="7" t="s">
        <v>116</v>
      </c>
      <c r="Q159" s="7" t="s">
        <v>81</v>
      </c>
      <c r="R159" s="7" t="s">
        <v>70</v>
      </c>
      <c r="S159" s="3" t="s">
        <v>83</v>
      </c>
      <c r="T159" s="3" t="s">
        <v>72</v>
      </c>
    </row>
    <row r="160" spans="1:23" x14ac:dyDescent="0.25">
      <c r="A160" s="10">
        <v>46034</v>
      </c>
      <c r="B160" s="2" t="s">
        <v>357</v>
      </c>
      <c r="E160" s="3" t="s">
        <v>27</v>
      </c>
      <c r="G160" s="4" t="s">
        <v>48</v>
      </c>
      <c r="H160" s="22" t="s">
        <v>81</v>
      </c>
      <c r="I160" s="22"/>
      <c r="J160" s="22">
        <f>I159</f>
        <v>500000</v>
      </c>
      <c r="K160" s="22">
        <f t="shared" si="1"/>
        <v>500000</v>
      </c>
      <c r="L160" s="17"/>
      <c r="M160" s="23"/>
    </row>
    <row r="161" spans="1:20" ht="24" x14ac:dyDescent="0.25">
      <c r="A161" s="10">
        <v>46035</v>
      </c>
      <c r="B161" s="2" t="s">
        <v>359</v>
      </c>
      <c r="E161" s="3" t="s">
        <v>27</v>
      </c>
      <c r="F161" s="4">
        <f>995000+133000</f>
        <v>1128000</v>
      </c>
      <c r="G161" s="4" t="s">
        <v>48</v>
      </c>
      <c r="H161" s="22" t="s">
        <v>360</v>
      </c>
      <c r="I161" s="22">
        <v>1128000</v>
      </c>
      <c r="J161" s="22"/>
      <c r="K161" s="22">
        <f t="shared" si="1"/>
        <v>1128000</v>
      </c>
      <c r="L161" s="17">
        <v>1128000</v>
      </c>
      <c r="M161" s="23" t="s">
        <v>41</v>
      </c>
      <c r="N161" s="1" t="s">
        <v>361</v>
      </c>
      <c r="O161" s="7" t="s">
        <v>116</v>
      </c>
      <c r="Q161" s="7" t="s">
        <v>81</v>
      </c>
      <c r="R161" s="7" t="s">
        <v>44</v>
      </c>
      <c r="S161" s="3" t="s">
        <v>83</v>
      </c>
      <c r="T161" s="3" t="s">
        <v>72</v>
      </c>
    </row>
    <row r="162" spans="1:20" x14ac:dyDescent="0.25">
      <c r="A162" s="10">
        <v>46035</v>
      </c>
      <c r="B162" s="2" t="s">
        <v>359</v>
      </c>
      <c r="E162" s="3" t="s">
        <v>27</v>
      </c>
      <c r="G162" s="4" t="s">
        <v>48</v>
      </c>
      <c r="H162" s="22" t="s">
        <v>81</v>
      </c>
      <c r="I162" s="22"/>
      <c r="J162" s="22">
        <f>I161</f>
        <v>1128000</v>
      </c>
      <c r="K162" s="22">
        <f t="shared" si="1"/>
        <v>1128000</v>
      </c>
      <c r="L162" s="17"/>
      <c r="M162" s="23"/>
    </row>
    <row r="163" spans="1:20" x14ac:dyDescent="0.25">
      <c r="A163" s="10">
        <v>46035</v>
      </c>
      <c r="B163" s="2" t="s">
        <v>362</v>
      </c>
      <c r="E163" s="3" t="s">
        <v>27</v>
      </c>
      <c r="F163" s="4">
        <v>230000</v>
      </c>
      <c r="G163" s="4" t="s">
        <v>48</v>
      </c>
      <c r="H163" s="22" t="s">
        <v>363</v>
      </c>
      <c r="I163" s="22">
        <f>230000</f>
        <v>230000</v>
      </c>
      <c r="J163" s="22"/>
      <c r="K163" s="22">
        <f t="shared" si="1"/>
        <v>230000</v>
      </c>
      <c r="L163" s="17"/>
      <c r="M163" s="23" t="s">
        <v>41</v>
      </c>
      <c r="N163" s="1" t="s">
        <v>364</v>
      </c>
    </row>
    <row r="164" spans="1:20" x14ac:dyDescent="0.25">
      <c r="A164" s="10">
        <v>46035</v>
      </c>
      <c r="B164" s="2" t="s">
        <v>362</v>
      </c>
      <c r="E164" s="3" t="s">
        <v>27</v>
      </c>
      <c r="G164" s="4" t="s">
        <v>48</v>
      </c>
      <c r="H164" s="22" t="s">
        <v>320</v>
      </c>
      <c r="I164" s="22"/>
      <c r="J164" s="22">
        <f>I163</f>
        <v>230000</v>
      </c>
      <c r="K164" s="22">
        <f t="shared" si="1"/>
        <v>230000</v>
      </c>
      <c r="L164" s="17"/>
      <c r="M164" s="26"/>
    </row>
    <row r="165" spans="1:20" ht="24" x14ac:dyDescent="0.25">
      <c r="A165" s="10">
        <v>46035</v>
      </c>
      <c r="B165" s="2" t="s">
        <v>365</v>
      </c>
      <c r="E165" s="3" t="s">
        <v>27</v>
      </c>
      <c r="F165" s="4">
        <v>71870.990000000005</v>
      </c>
      <c r="G165" s="4" t="s">
        <v>48</v>
      </c>
      <c r="H165" s="22" t="s">
        <v>366</v>
      </c>
      <c r="I165" s="22">
        <v>71870.990000000005</v>
      </c>
      <c r="J165" s="22"/>
      <c r="K165" s="22">
        <f t="shared" si="1"/>
        <v>71870.990000000005</v>
      </c>
      <c r="L165" s="17"/>
      <c r="M165" s="23" t="s">
        <v>41</v>
      </c>
      <c r="N165" s="1" t="s">
        <v>367</v>
      </c>
    </row>
    <row r="166" spans="1:20" x14ac:dyDescent="0.25">
      <c r="A166" s="10">
        <v>46035</v>
      </c>
      <c r="B166" s="2" t="s">
        <v>365</v>
      </c>
      <c r="E166" s="3" t="s">
        <v>27</v>
      </c>
      <c r="G166" s="4" t="s">
        <v>48</v>
      </c>
      <c r="H166" s="22" t="s">
        <v>81</v>
      </c>
      <c r="I166" s="22"/>
      <c r="J166" s="22">
        <f>I165</f>
        <v>71870.990000000005</v>
      </c>
      <c r="K166" s="22">
        <f t="shared" si="1"/>
        <v>71870.990000000005</v>
      </c>
      <c r="L166" s="17"/>
      <c r="M166" s="26"/>
    </row>
    <row r="167" spans="1:20" ht="24" x14ac:dyDescent="0.25">
      <c r="A167" s="10">
        <v>46035</v>
      </c>
      <c r="B167" s="2" t="s">
        <v>368</v>
      </c>
      <c r="E167" s="3" t="s">
        <v>27</v>
      </c>
      <c r="F167" s="4">
        <v>92574.96</v>
      </c>
      <c r="G167" s="4" t="s">
        <v>48</v>
      </c>
      <c r="H167" s="22" t="s">
        <v>366</v>
      </c>
      <c r="I167" s="22">
        <v>92574.96</v>
      </c>
      <c r="J167" s="22"/>
      <c r="K167" s="22">
        <f t="shared" ref="K167:K230" si="2">ABS(I167-J167)</f>
        <v>92574.96</v>
      </c>
      <c r="L167" s="17"/>
      <c r="M167" s="23" t="s">
        <v>41</v>
      </c>
      <c r="N167" s="1" t="s">
        <v>369</v>
      </c>
    </row>
    <row r="168" spans="1:20" x14ac:dyDescent="0.25">
      <c r="A168" s="10">
        <v>46035</v>
      </c>
      <c r="B168" s="2" t="s">
        <v>368</v>
      </c>
      <c r="E168" s="3" t="s">
        <v>27</v>
      </c>
      <c r="G168" s="4" t="s">
        <v>48</v>
      </c>
      <c r="H168" s="22" t="s">
        <v>81</v>
      </c>
      <c r="I168" s="22"/>
      <c r="J168" s="22">
        <f>I167</f>
        <v>92574.96</v>
      </c>
      <c r="K168" s="22">
        <f t="shared" si="2"/>
        <v>92574.96</v>
      </c>
      <c r="L168" s="17"/>
      <c r="M168" s="26"/>
    </row>
    <row r="169" spans="1:20" x14ac:dyDescent="0.25">
      <c r="A169" s="10">
        <v>46035</v>
      </c>
      <c r="B169" s="2" t="s">
        <v>370</v>
      </c>
      <c r="E169" s="3" t="s">
        <v>371</v>
      </c>
      <c r="F169" s="4">
        <v>48000</v>
      </c>
      <c r="G169" s="4" t="s">
        <v>98</v>
      </c>
      <c r="H169" s="22" t="s">
        <v>372</v>
      </c>
      <c r="I169" s="22">
        <v>48000</v>
      </c>
      <c r="J169" s="22"/>
      <c r="K169" s="22">
        <f t="shared" si="2"/>
        <v>48000</v>
      </c>
      <c r="L169" s="17"/>
      <c r="M169" s="23" t="s">
        <v>41</v>
      </c>
      <c r="N169" s="1" t="s">
        <v>373</v>
      </c>
      <c r="Q169" s="25" t="s">
        <v>374</v>
      </c>
      <c r="R169" s="7" t="s">
        <v>89</v>
      </c>
      <c r="S169" s="3" t="s">
        <v>71</v>
      </c>
    </row>
    <row r="170" spans="1:20" x14ac:dyDescent="0.25">
      <c r="A170" s="10">
        <v>46035</v>
      </c>
      <c r="B170" s="2" t="s">
        <v>370</v>
      </c>
      <c r="E170" s="3" t="s">
        <v>371</v>
      </c>
      <c r="G170" s="4" t="s">
        <v>48</v>
      </c>
      <c r="H170" s="22" t="s">
        <v>320</v>
      </c>
      <c r="I170" s="22"/>
      <c r="J170" s="22">
        <f>I169</f>
        <v>48000</v>
      </c>
      <c r="K170" s="22">
        <f t="shared" si="2"/>
        <v>48000</v>
      </c>
      <c r="L170" s="17"/>
      <c r="M170" s="26"/>
    </row>
    <row r="171" spans="1:20" x14ac:dyDescent="0.25">
      <c r="A171" s="10">
        <v>46035</v>
      </c>
      <c r="B171" s="2" t="s">
        <v>375</v>
      </c>
      <c r="C171" s="2" t="s">
        <v>376</v>
      </c>
      <c r="E171" s="3" t="s">
        <v>377</v>
      </c>
      <c r="F171" s="4">
        <v>25000</v>
      </c>
      <c r="G171" s="4" t="s">
        <v>378</v>
      </c>
      <c r="H171" s="22" t="s">
        <v>379</v>
      </c>
      <c r="I171" s="22">
        <v>25000</v>
      </c>
      <c r="J171" s="22"/>
      <c r="K171" s="22">
        <f t="shared" si="2"/>
        <v>25000</v>
      </c>
      <c r="L171" s="17"/>
      <c r="M171" s="23" t="s">
        <v>41</v>
      </c>
      <c r="N171" s="1" t="s">
        <v>380</v>
      </c>
      <c r="Q171" s="25" t="s">
        <v>381</v>
      </c>
      <c r="R171" s="7" t="s">
        <v>89</v>
      </c>
    </row>
    <row r="172" spans="1:20" x14ac:dyDescent="0.25">
      <c r="A172" s="10">
        <v>46035</v>
      </c>
      <c r="B172" s="2" t="s">
        <v>375</v>
      </c>
      <c r="C172" s="2" t="s">
        <v>376</v>
      </c>
      <c r="E172" s="3" t="s">
        <v>377</v>
      </c>
      <c r="G172" s="4" t="s">
        <v>48</v>
      </c>
      <c r="H172" s="22" t="s">
        <v>320</v>
      </c>
      <c r="I172" s="22"/>
      <c r="J172" s="22">
        <f>I171</f>
        <v>25000</v>
      </c>
      <c r="K172" s="22">
        <f t="shared" si="2"/>
        <v>25000</v>
      </c>
      <c r="L172" s="17"/>
      <c r="M172" s="26"/>
    </row>
    <row r="173" spans="1:20" x14ac:dyDescent="0.25">
      <c r="A173" s="10">
        <v>46035</v>
      </c>
      <c r="B173" s="2" t="s">
        <v>382</v>
      </c>
      <c r="C173" s="2" t="s">
        <v>376</v>
      </c>
      <c r="E173" s="3" t="s">
        <v>377</v>
      </c>
      <c r="F173" s="4">
        <v>25000</v>
      </c>
      <c r="G173" s="4" t="s">
        <v>383</v>
      </c>
      <c r="H173" s="22" t="s">
        <v>379</v>
      </c>
      <c r="I173" s="22">
        <v>25000</v>
      </c>
      <c r="J173" s="22"/>
      <c r="K173" s="22">
        <f t="shared" si="2"/>
        <v>25000</v>
      </c>
      <c r="L173" s="17"/>
      <c r="M173" s="23" t="s">
        <v>41</v>
      </c>
      <c r="N173" s="1" t="s">
        <v>380</v>
      </c>
      <c r="Q173" s="25" t="s">
        <v>384</v>
      </c>
      <c r="R173" s="7" t="s">
        <v>89</v>
      </c>
    </row>
    <row r="174" spans="1:20" x14ac:dyDescent="0.25">
      <c r="A174" s="10">
        <v>46035</v>
      </c>
      <c r="B174" s="2" t="s">
        <v>382</v>
      </c>
      <c r="C174" s="2" t="s">
        <v>376</v>
      </c>
      <c r="E174" s="3" t="s">
        <v>377</v>
      </c>
      <c r="G174" s="4" t="s">
        <v>48</v>
      </c>
      <c r="H174" s="22" t="s">
        <v>320</v>
      </c>
      <c r="I174" s="22"/>
      <c r="J174" s="22">
        <f>I173</f>
        <v>25000</v>
      </c>
      <c r="K174" s="22">
        <f t="shared" si="2"/>
        <v>25000</v>
      </c>
      <c r="L174" s="17"/>
      <c r="M174" s="26"/>
    </row>
    <row r="175" spans="1:20" ht="24" x14ac:dyDescent="0.25">
      <c r="A175" s="10">
        <v>46035</v>
      </c>
      <c r="B175" s="2" t="s">
        <v>385</v>
      </c>
      <c r="C175" s="2" t="s">
        <v>376</v>
      </c>
      <c r="D175" s="2" t="s">
        <v>386</v>
      </c>
      <c r="E175" s="3" t="s">
        <v>387</v>
      </c>
      <c r="F175" s="4">
        <f>5600*6</f>
        <v>33600</v>
      </c>
      <c r="G175" s="4" t="s">
        <v>48</v>
      </c>
      <c r="H175" s="22" t="s">
        <v>379</v>
      </c>
      <c r="I175" s="22">
        <f>5600*6</f>
        <v>33600</v>
      </c>
      <c r="J175" s="22"/>
      <c r="K175" s="22">
        <f t="shared" si="2"/>
        <v>33600</v>
      </c>
      <c r="L175" s="17"/>
      <c r="M175" s="23" t="s">
        <v>41</v>
      </c>
      <c r="N175" s="1" t="s">
        <v>388</v>
      </c>
      <c r="Q175" s="25" t="s">
        <v>389</v>
      </c>
      <c r="R175" s="7" t="s">
        <v>89</v>
      </c>
    </row>
    <row r="176" spans="1:20" x14ac:dyDescent="0.25">
      <c r="A176" s="10">
        <v>46035</v>
      </c>
      <c r="B176" s="2" t="s">
        <v>385</v>
      </c>
      <c r="C176" s="2" t="s">
        <v>376</v>
      </c>
      <c r="D176" s="2" t="s">
        <v>386</v>
      </c>
      <c r="E176" s="3" t="s">
        <v>387</v>
      </c>
      <c r="G176" s="4" t="s">
        <v>48</v>
      </c>
      <c r="H176" s="22" t="s">
        <v>320</v>
      </c>
      <c r="I176" s="22"/>
      <c r="J176" s="22">
        <f>I175</f>
        <v>33600</v>
      </c>
      <c r="K176" s="22">
        <f t="shared" si="2"/>
        <v>33600</v>
      </c>
      <c r="L176" s="17"/>
      <c r="M176" s="26"/>
    </row>
    <row r="177" spans="1:20" ht="24" x14ac:dyDescent="0.25">
      <c r="A177" s="10">
        <v>46035</v>
      </c>
      <c r="B177" s="2" t="s">
        <v>390</v>
      </c>
      <c r="C177" s="2" t="s">
        <v>376</v>
      </c>
      <c r="D177" s="2" t="s">
        <v>391</v>
      </c>
      <c r="E177" s="3" t="s">
        <v>387</v>
      </c>
      <c r="F177" s="4">
        <f>5600*3</f>
        <v>16800</v>
      </c>
      <c r="G177" s="4" t="s">
        <v>392</v>
      </c>
      <c r="H177" s="22" t="s">
        <v>379</v>
      </c>
      <c r="I177" s="22">
        <f>5600*3</f>
        <v>16800</v>
      </c>
      <c r="J177" s="22"/>
      <c r="K177" s="22">
        <f t="shared" si="2"/>
        <v>16800</v>
      </c>
      <c r="L177" s="17"/>
      <c r="M177" s="23" t="s">
        <v>41</v>
      </c>
      <c r="N177" s="1" t="s">
        <v>393</v>
      </c>
      <c r="Q177" s="25" t="s">
        <v>394</v>
      </c>
      <c r="R177" s="7" t="s">
        <v>89</v>
      </c>
    </row>
    <row r="178" spans="1:20" x14ac:dyDescent="0.25">
      <c r="A178" s="10">
        <v>46035</v>
      </c>
      <c r="B178" s="2" t="s">
        <v>390</v>
      </c>
      <c r="C178" s="2" t="s">
        <v>376</v>
      </c>
      <c r="D178" s="2" t="s">
        <v>391</v>
      </c>
      <c r="E178" s="3" t="s">
        <v>387</v>
      </c>
      <c r="G178" s="4" t="s">
        <v>48</v>
      </c>
      <c r="H178" s="22" t="s">
        <v>320</v>
      </c>
      <c r="I178" s="22"/>
      <c r="J178" s="22">
        <f>I177</f>
        <v>16800</v>
      </c>
      <c r="K178" s="22">
        <f t="shared" si="2"/>
        <v>16800</v>
      </c>
      <c r="L178" s="17"/>
      <c r="M178" s="26"/>
    </row>
    <row r="179" spans="1:20" ht="24" x14ac:dyDescent="0.25">
      <c r="A179" s="10">
        <v>46035</v>
      </c>
      <c r="B179" s="2" t="s">
        <v>395</v>
      </c>
      <c r="C179" s="2" t="s">
        <v>396</v>
      </c>
      <c r="D179" s="2" t="s">
        <v>397</v>
      </c>
      <c r="E179" s="3" t="s">
        <v>398</v>
      </c>
      <c r="F179" s="4">
        <v>101700</v>
      </c>
      <c r="G179" s="4" t="s">
        <v>167</v>
      </c>
      <c r="H179" s="22" t="s">
        <v>168</v>
      </c>
      <c r="I179" s="22">
        <v>101700</v>
      </c>
      <c r="J179" s="22"/>
      <c r="K179" s="22">
        <f t="shared" si="2"/>
        <v>101700</v>
      </c>
      <c r="L179" s="17">
        <v>101700</v>
      </c>
      <c r="M179" s="23" t="s">
        <v>41</v>
      </c>
      <c r="N179" s="1" t="s">
        <v>399</v>
      </c>
      <c r="P179" s="7" t="s">
        <v>32</v>
      </c>
      <c r="Q179" s="25" t="s">
        <v>400</v>
      </c>
      <c r="R179" s="7" t="s">
        <v>89</v>
      </c>
    </row>
    <row r="180" spans="1:20" x14ac:dyDescent="0.25">
      <c r="A180" s="10">
        <v>46035</v>
      </c>
      <c r="B180" s="2" t="s">
        <v>395</v>
      </c>
      <c r="E180" s="3" t="s">
        <v>398</v>
      </c>
      <c r="G180" s="4" t="s">
        <v>48</v>
      </c>
      <c r="H180" s="22" t="s">
        <v>320</v>
      </c>
      <c r="I180" s="22"/>
      <c r="J180" s="22">
        <f>I179</f>
        <v>101700</v>
      </c>
      <c r="K180" s="22">
        <f t="shared" si="2"/>
        <v>101700</v>
      </c>
      <c r="L180" s="17"/>
      <c r="M180" s="26"/>
    </row>
    <row r="181" spans="1:20" ht="24" x14ac:dyDescent="0.25">
      <c r="A181" s="10">
        <v>46035</v>
      </c>
      <c r="B181" s="2" t="s">
        <v>401</v>
      </c>
      <c r="E181" s="3" t="s">
        <v>398</v>
      </c>
      <c r="F181" s="4">
        <v>50000</v>
      </c>
      <c r="G181" s="4" t="s">
        <v>262</v>
      </c>
      <c r="H181" s="22" t="s">
        <v>168</v>
      </c>
      <c r="I181" s="22">
        <v>50000</v>
      </c>
      <c r="J181" s="22"/>
      <c r="K181" s="22">
        <f t="shared" si="2"/>
        <v>50000</v>
      </c>
      <c r="L181" s="17">
        <v>50000</v>
      </c>
      <c r="M181" s="23" t="s">
        <v>41</v>
      </c>
      <c r="N181" s="1" t="s">
        <v>402</v>
      </c>
      <c r="P181" s="7" t="s">
        <v>32</v>
      </c>
      <c r="Q181" s="25" t="s">
        <v>403</v>
      </c>
      <c r="R181" s="7" t="s">
        <v>89</v>
      </c>
    </row>
    <row r="182" spans="1:20" x14ac:dyDescent="0.25">
      <c r="A182" s="10">
        <v>46035</v>
      </c>
      <c r="B182" s="2" t="s">
        <v>401</v>
      </c>
      <c r="E182" s="3" t="s">
        <v>398</v>
      </c>
      <c r="G182" s="4" t="s">
        <v>48</v>
      </c>
      <c r="H182" s="22" t="s">
        <v>320</v>
      </c>
      <c r="I182" s="22"/>
      <c r="J182" s="22">
        <f>I181</f>
        <v>50000</v>
      </c>
      <c r="K182" s="22">
        <f t="shared" si="2"/>
        <v>50000</v>
      </c>
      <c r="L182" s="17"/>
      <c r="M182" s="26"/>
    </row>
    <row r="183" spans="1:20" ht="24" x14ac:dyDescent="0.25">
      <c r="A183" s="10">
        <v>46035</v>
      </c>
      <c r="B183" s="2" t="s">
        <v>404</v>
      </c>
      <c r="E183" s="3" t="s">
        <v>405</v>
      </c>
      <c r="F183" s="4">
        <v>20000</v>
      </c>
      <c r="G183" s="4" t="s">
        <v>48</v>
      </c>
      <c r="H183" s="22" t="s">
        <v>406</v>
      </c>
      <c r="I183" s="22">
        <v>20000</v>
      </c>
      <c r="J183" s="22"/>
      <c r="K183" s="22">
        <f t="shared" si="2"/>
        <v>20000</v>
      </c>
      <c r="L183" s="17"/>
      <c r="M183" s="23" t="s">
        <v>41</v>
      </c>
      <c r="N183" s="1" t="s">
        <v>407</v>
      </c>
      <c r="Q183" s="25" t="s">
        <v>408</v>
      </c>
      <c r="R183" s="7" t="s">
        <v>89</v>
      </c>
      <c r="T183" s="3" t="s">
        <v>409</v>
      </c>
    </row>
    <row r="184" spans="1:20" x14ac:dyDescent="0.25">
      <c r="A184" s="10">
        <v>46035</v>
      </c>
      <c r="B184" s="2" t="s">
        <v>404</v>
      </c>
      <c r="E184" s="3" t="s">
        <v>405</v>
      </c>
      <c r="G184" s="4" t="s">
        <v>48</v>
      </c>
      <c r="H184" s="22" t="s">
        <v>320</v>
      </c>
      <c r="I184" s="22"/>
      <c r="J184" s="22">
        <f>I183</f>
        <v>20000</v>
      </c>
      <c r="K184" s="22">
        <f t="shared" si="2"/>
        <v>20000</v>
      </c>
      <c r="L184" s="17"/>
      <c r="M184" s="26"/>
      <c r="Q184" s="25"/>
    </row>
    <row r="185" spans="1:20" ht="24" x14ac:dyDescent="0.25">
      <c r="A185" s="10">
        <v>46035</v>
      </c>
      <c r="B185" s="2" t="s">
        <v>410</v>
      </c>
      <c r="E185" s="3" t="s">
        <v>27</v>
      </c>
      <c r="F185" s="4">
        <v>60990</v>
      </c>
      <c r="G185" s="4" t="s">
        <v>48</v>
      </c>
      <c r="H185" s="22" t="s">
        <v>411</v>
      </c>
      <c r="I185" s="22">
        <v>60990</v>
      </c>
      <c r="J185" s="22"/>
      <c r="K185" s="22">
        <f t="shared" si="2"/>
        <v>60990</v>
      </c>
      <c r="L185" s="17"/>
      <c r="M185" s="23" t="s">
        <v>41</v>
      </c>
      <c r="N185" s="1" t="s">
        <v>412</v>
      </c>
      <c r="Q185" s="25" t="s">
        <v>413</v>
      </c>
      <c r="R185" s="7" t="s">
        <v>89</v>
      </c>
    </row>
    <row r="186" spans="1:20" x14ac:dyDescent="0.25">
      <c r="A186" s="10">
        <v>46035</v>
      </c>
      <c r="B186" s="2" t="s">
        <v>410</v>
      </c>
      <c r="E186" s="3" t="s">
        <v>27</v>
      </c>
      <c r="G186" s="4" t="s">
        <v>48</v>
      </c>
      <c r="H186" s="22" t="s">
        <v>320</v>
      </c>
      <c r="I186" s="22"/>
      <c r="J186" s="22">
        <f>I185</f>
        <v>60990</v>
      </c>
      <c r="K186" s="22">
        <f t="shared" si="2"/>
        <v>60990</v>
      </c>
      <c r="L186" s="17"/>
      <c r="M186" s="26"/>
    </row>
    <row r="187" spans="1:20" ht="24" x14ac:dyDescent="0.25">
      <c r="A187" s="10">
        <v>46035</v>
      </c>
      <c r="B187" s="2" t="s">
        <v>414</v>
      </c>
      <c r="E187" s="3" t="s">
        <v>371</v>
      </c>
      <c r="F187" s="4">
        <f>62819.7*2</f>
        <v>125639.4</v>
      </c>
      <c r="G187" s="3" t="s">
        <v>98</v>
      </c>
      <c r="H187" s="22" t="s">
        <v>372</v>
      </c>
      <c r="I187" s="22">
        <f>62819.7*2</f>
        <v>125639.4</v>
      </c>
      <c r="J187" s="22"/>
      <c r="K187" s="22">
        <f t="shared" si="2"/>
        <v>125639.4</v>
      </c>
      <c r="L187" s="32"/>
      <c r="M187" s="23" t="s">
        <v>41</v>
      </c>
      <c r="N187" s="1" t="s">
        <v>415</v>
      </c>
      <c r="Q187" s="25" t="s">
        <v>416</v>
      </c>
      <c r="R187" s="7" t="s">
        <v>89</v>
      </c>
    </row>
    <row r="188" spans="1:20" x14ac:dyDescent="0.25">
      <c r="A188" s="10">
        <v>46035</v>
      </c>
      <c r="B188" s="2" t="s">
        <v>414</v>
      </c>
      <c r="E188" s="3" t="s">
        <v>371</v>
      </c>
      <c r="G188" s="4" t="s">
        <v>48</v>
      </c>
      <c r="H188" s="22" t="s">
        <v>320</v>
      </c>
      <c r="I188" s="22"/>
      <c r="J188" s="22">
        <f>I187</f>
        <v>125639.4</v>
      </c>
      <c r="K188" s="22">
        <f t="shared" si="2"/>
        <v>125639.4</v>
      </c>
      <c r="L188" s="32"/>
      <c r="M188" s="26"/>
      <c r="Q188" s="25"/>
    </row>
    <row r="189" spans="1:20" x14ac:dyDescent="0.25">
      <c r="A189" s="10">
        <v>46035</v>
      </c>
      <c r="B189" s="2" t="s">
        <v>417</v>
      </c>
      <c r="C189" s="2" t="s">
        <v>418</v>
      </c>
      <c r="D189" s="2" t="s">
        <v>419</v>
      </c>
      <c r="E189" s="3" t="s">
        <v>420</v>
      </c>
      <c r="F189" s="4">
        <v>26363</v>
      </c>
      <c r="G189" s="4" t="s">
        <v>48</v>
      </c>
      <c r="H189" s="22" t="s">
        <v>421</v>
      </c>
      <c r="I189" s="22">
        <v>26363</v>
      </c>
      <c r="J189" s="22"/>
      <c r="K189" s="22">
        <f t="shared" si="2"/>
        <v>26363</v>
      </c>
      <c r="L189" s="17"/>
      <c r="M189" s="23" t="s">
        <v>41</v>
      </c>
      <c r="N189" s="1" t="s">
        <v>422</v>
      </c>
    </row>
    <row r="190" spans="1:20" x14ac:dyDescent="0.25">
      <c r="A190" s="10">
        <v>46035</v>
      </c>
      <c r="B190" s="2" t="s">
        <v>417</v>
      </c>
      <c r="C190" s="2" t="s">
        <v>418</v>
      </c>
      <c r="D190" s="2" t="s">
        <v>419</v>
      </c>
      <c r="E190" s="3" t="s">
        <v>420</v>
      </c>
      <c r="G190" s="4" t="s">
        <v>48</v>
      </c>
      <c r="H190" s="22" t="s">
        <v>81</v>
      </c>
      <c r="I190" s="22"/>
      <c r="J190" s="22">
        <f>I189</f>
        <v>26363</v>
      </c>
      <c r="K190" s="22">
        <f t="shared" si="2"/>
        <v>26363</v>
      </c>
      <c r="L190" s="17"/>
    </row>
    <row r="191" spans="1:20" ht="24" x14ac:dyDescent="0.25">
      <c r="A191" s="10">
        <v>46035</v>
      </c>
      <c r="B191" s="2" t="s">
        <v>423</v>
      </c>
      <c r="C191" s="2" t="s">
        <v>424</v>
      </c>
      <c r="E191" s="3" t="s">
        <v>27</v>
      </c>
      <c r="F191" s="4">
        <v>1160000</v>
      </c>
      <c r="G191" s="4" t="s">
        <v>48</v>
      </c>
      <c r="H191" s="22" t="s">
        <v>320</v>
      </c>
      <c r="I191" s="22">
        <v>1160000</v>
      </c>
      <c r="J191" s="22"/>
      <c r="K191" s="22">
        <f t="shared" si="2"/>
        <v>1160000</v>
      </c>
      <c r="L191" s="17">
        <v>1160000</v>
      </c>
      <c r="M191" s="23" t="s">
        <v>41</v>
      </c>
      <c r="N191" s="1" t="s">
        <v>425</v>
      </c>
      <c r="O191" s="7" t="s">
        <v>354</v>
      </c>
      <c r="Q191" s="25" t="s">
        <v>426</v>
      </c>
      <c r="R191" s="7" t="s">
        <v>70</v>
      </c>
      <c r="S191" s="3" t="s">
        <v>145</v>
      </c>
    </row>
    <row r="192" spans="1:20" x14ac:dyDescent="0.25">
      <c r="A192" s="10">
        <v>46035</v>
      </c>
      <c r="B192" s="2" t="s">
        <v>423</v>
      </c>
      <c r="C192" s="2" t="s">
        <v>310</v>
      </c>
      <c r="E192" s="3" t="s">
        <v>27</v>
      </c>
      <c r="G192" s="4" t="s">
        <v>48</v>
      </c>
      <c r="H192" s="22" t="s">
        <v>29</v>
      </c>
      <c r="I192" s="22"/>
      <c r="J192" s="22">
        <f>I191</f>
        <v>1160000</v>
      </c>
      <c r="K192" s="22">
        <f t="shared" si="2"/>
        <v>1160000</v>
      </c>
      <c r="L192" s="17"/>
      <c r="Q192" s="25"/>
    </row>
    <row r="193" spans="1:23" x14ac:dyDescent="0.25">
      <c r="A193" s="10">
        <v>46035</v>
      </c>
      <c r="B193" s="2" t="s">
        <v>427</v>
      </c>
      <c r="C193" s="2" t="s">
        <v>428</v>
      </c>
      <c r="E193" s="3" t="s">
        <v>27</v>
      </c>
      <c r="F193" s="4">
        <v>1760000</v>
      </c>
      <c r="G193" s="4" t="s">
        <v>48</v>
      </c>
      <c r="H193" s="22" t="s">
        <v>320</v>
      </c>
      <c r="I193" s="22">
        <v>1760000</v>
      </c>
      <c r="J193" s="34"/>
      <c r="K193" s="22">
        <f t="shared" si="2"/>
        <v>1760000</v>
      </c>
      <c r="L193" s="17">
        <v>1760000</v>
      </c>
      <c r="M193" s="23" t="s">
        <v>41</v>
      </c>
      <c r="N193" s="1" t="s">
        <v>429</v>
      </c>
      <c r="O193" s="7" t="s">
        <v>354</v>
      </c>
      <c r="Q193" s="25" t="s">
        <v>430</v>
      </c>
      <c r="R193" s="7" t="s">
        <v>70</v>
      </c>
      <c r="S193" s="3" t="s">
        <v>145</v>
      </c>
    </row>
    <row r="194" spans="1:23" x14ac:dyDescent="0.25">
      <c r="A194" s="10">
        <v>46035</v>
      </c>
      <c r="B194" s="2" t="s">
        <v>427</v>
      </c>
      <c r="C194" s="2" t="s">
        <v>310</v>
      </c>
      <c r="E194" s="3" t="s">
        <v>27</v>
      </c>
      <c r="G194" s="4" t="s">
        <v>48</v>
      </c>
      <c r="H194" s="22" t="s">
        <v>29</v>
      </c>
      <c r="I194" s="34"/>
      <c r="J194" s="35">
        <f>I193</f>
        <v>1760000</v>
      </c>
      <c r="K194" s="22">
        <f t="shared" si="2"/>
        <v>1760000</v>
      </c>
      <c r="L194" s="32"/>
      <c r="Q194" s="25"/>
    </row>
    <row r="195" spans="1:23" x14ac:dyDescent="0.25">
      <c r="A195" s="10">
        <v>46036</v>
      </c>
      <c r="B195" s="2" t="s">
        <v>431</v>
      </c>
      <c r="C195" s="2" t="s">
        <v>141</v>
      </c>
      <c r="E195" s="3" t="s">
        <v>27</v>
      </c>
      <c r="F195" s="4">
        <v>293843.71999999997</v>
      </c>
      <c r="G195" s="4" t="s">
        <v>48</v>
      </c>
      <c r="H195" s="22" t="s">
        <v>81</v>
      </c>
      <c r="I195" s="22">
        <v>293843.71999999997</v>
      </c>
      <c r="J195" s="22"/>
      <c r="K195" s="22">
        <f t="shared" si="2"/>
        <v>293843.71999999997</v>
      </c>
      <c r="L195" s="17">
        <v>293843.71999999997</v>
      </c>
      <c r="M195" s="23" t="s">
        <v>41</v>
      </c>
      <c r="N195" s="1" t="s">
        <v>432</v>
      </c>
      <c r="O195" s="7" t="s">
        <v>143</v>
      </c>
      <c r="Q195" s="25" t="s">
        <v>433</v>
      </c>
      <c r="R195" s="7" t="s">
        <v>89</v>
      </c>
      <c r="S195" s="3" t="s">
        <v>71</v>
      </c>
    </row>
    <row r="196" spans="1:23" x14ac:dyDescent="0.25">
      <c r="A196" s="10">
        <v>46036</v>
      </c>
      <c r="B196" s="2" t="s">
        <v>431</v>
      </c>
      <c r="C196" s="2" t="s">
        <v>141</v>
      </c>
      <c r="E196" s="3" t="s">
        <v>27</v>
      </c>
      <c r="G196" s="4" t="s">
        <v>48</v>
      </c>
      <c r="H196" s="22" t="s">
        <v>320</v>
      </c>
      <c r="I196" s="22"/>
      <c r="J196" s="22">
        <f>I195</f>
        <v>293843.71999999997</v>
      </c>
      <c r="K196" s="22">
        <f t="shared" si="2"/>
        <v>293843.71999999997</v>
      </c>
      <c r="L196" s="17"/>
      <c r="Q196" s="25"/>
    </row>
    <row r="197" spans="1:23" ht="24" x14ac:dyDescent="0.25">
      <c r="A197" s="10">
        <v>46036</v>
      </c>
      <c r="B197" s="2" t="s">
        <v>434</v>
      </c>
      <c r="C197" s="2" t="s">
        <v>435</v>
      </c>
      <c r="E197" s="3" t="s">
        <v>27</v>
      </c>
      <c r="F197" s="4">
        <v>3000000</v>
      </c>
      <c r="G197" s="4" t="s">
        <v>48</v>
      </c>
      <c r="H197" s="22" t="s">
        <v>320</v>
      </c>
      <c r="I197" s="22">
        <v>3000000</v>
      </c>
      <c r="J197" s="22"/>
      <c r="K197" s="22">
        <f t="shared" si="2"/>
        <v>3000000</v>
      </c>
      <c r="L197" s="17">
        <v>3000000</v>
      </c>
      <c r="M197" s="23" t="s">
        <v>41</v>
      </c>
      <c r="N197" s="1" t="s">
        <v>436</v>
      </c>
      <c r="Q197" s="25" t="s">
        <v>437</v>
      </c>
      <c r="R197" s="7" t="s">
        <v>89</v>
      </c>
      <c r="S197" s="3" t="s">
        <v>145</v>
      </c>
    </row>
    <row r="198" spans="1:23" x14ac:dyDescent="0.25">
      <c r="A198" s="10">
        <v>46036</v>
      </c>
      <c r="B198" s="2" t="s">
        <v>434</v>
      </c>
      <c r="C198" s="2" t="s">
        <v>310</v>
      </c>
      <c r="E198" s="3" t="s">
        <v>27</v>
      </c>
      <c r="G198" s="4" t="s">
        <v>48</v>
      </c>
      <c r="H198" s="22" t="s">
        <v>29</v>
      </c>
      <c r="I198" s="22"/>
      <c r="J198" s="22">
        <f>I197</f>
        <v>3000000</v>
      </c>
      <c r="K198" s="22">
        <f t="shared" si="2"/>
        <v>3000000</v>
      </c>
      <c r="L198" s="17"/>
      <c r="Q198" s="25"/>
    </row>
    <row r="199" spans="1:23" ht="24" x14ac:dyDescent="0.25">
      <c r="A199" s="10">
        <v>46036</v>
      </c>
      <c r="B199" s="2" t="s">
        <v>438</v>
      </c>
      <c r="C199" s="2" t="s">
        <v>439</v>
      </c>
      <c r="E199" s="3" t="s">
        <v>27</v>
      </c>
      <c r="F199" s="4">
        <v>1400000</v>
      </c>
      <c r="G199" s="4" t="s">
        <v>326</v>
      </c>
      <c r="H199" s="34" t="s">
        <v>81</v>
      </c>
      <c r="I199" s="22">
        <v>1400000</v>
      </c>
      <c r="J199" s="34"/>
      <c r="K199" s="22">
        <f t="shared" si="2"/>
        <v>1400000</v>
      </c>
      <c r="L199" s="17">
        <v>1400000</v>
      </c>
      <c r="M199" s="23" t="s">
        <v>41</v>
      </c>
      <c r="N199" s="1" t="s">
        <v>440</v>
      </c>
      <c r="O199" s="7" t="s">
        <v>143</v>
      </c>
      <c r="Q199" s="25" t="s">
        <v>441</v>
      </c>
      <c r="R199" s="7" t="s">
        <v>89</v>
      </c>
      <c r="S199" s="3" t="s">
        <v>442</v>
      </c>
    </row>
    <row r="200" spans="1:23" x14ac:dyDescent="0.25">
      <c r="A200" s="10">
        <v>46036</v>
      </c>
      <c r="B200" s="2" t="s">
        <v>438</v>
      </c>
      <c r="C200" s="2" t="s">
        <v>141</v>
      </c>
      <c r="E200" s="3" t="s">
        <v>27</v>
      </c>
      <c r="G200" s="4" t="s">
        <v>326</v>
      </c>
      <c r="H200" s="34" t="s">
        <v>327</v>
      </c>
      <c r="I200" s="34"/>
      <c r="J200" s="35">
        <f>I199</f>
        <v>1400000</v>
      </c>
      <c r="K200" s="22">
        <f t="shared" si="2"/>
        <v>1400000</v>
      </c>
      <c r="L200" s="32"/>
      <c r="Q200" s="25"/>
    </row>
    <row r="201" spans="1:23" ht="24" x14ac:dyDescent="0.25">
      <c r="A201" s="10">
        <v>46036</v>
      </c>
      <c r="B201" s="2" t="s">
        <v>443</v>
      </c>
      <c r="C201" s="2" t="s">
        <v>444</v>
      </c>
      <c r="D201" s="2" t="s">
        <v>445</v>
      </c>
      <c r="E201" s="3" t="s">
        <v>446</v>
      </c>
      <c r="F201" s="4">
        <v>7200</v>
      </c>
      <c r="G201" s="4" t="s">
        <v>447</v>
      </c>
      <c r="H201" s="22" t="s">
        <v>40</v>
      </c>
      <c r="I201" s="22">
        <v>7200</v>
      </c>
      <c r="J201" s="22"/>
      <c r="K201" s="22">
        <f t="shared" si="2"/>
        <v>7200</v>
      </c>
      <c r="L201" s="17">
        <v>7200</v>
      </c>
      <c r="M201" s="23" t="s">
        <v>41</v>
      </c>
      <c r="N201" s="1" t="s">
        <v>448</v>
      </c>
      <c r="O201" s="7" t="s">
        <v>449</v>
      </c>
      <c r="Q201" s="7" t="s">
        <v>81</v>
      </c>
      <c r="R201" s="7" t="s">
        <v>89</v>
      </c>
      <c r="S201" s="3" t="s">
        <v>83</v>
      </c>
      <c r="T201" s="3" t="s">
        <v>450</v>
      </c>
      <c r="U201" s="8" t="s">
        <v>451</v>
      </c>
      <c r="W201" s="9" t="s">
        <v>452</v>
      </c>
    </row>
    <row r="202" spans="1:23" x14ac:dyDescent="0.25">
      <c r="A202" s="10">
        <v>46036</v>
      </c>
      <c r="B202" s="2" t="s">
        <v>443</v>
      </c>
      <c r="C202" s="2" t="s">
        <v>444</v>
      </c>
      <c r="D202" s="2" t="s">
        <v>445</v>
      </c>
      <c r="E202" s="3" t="s">
        <v>446</v>
      </c>
      <c r="G202" s="4" t="s">
        <v>48</v>
      </c>
      <c r="H202" s="22" t="s">
        <v>81</v>
      </c>
      <c r="I202" s="22"/>
      <c r="J202" s="22">
        <f>I201</f>
        <v>7200</v>
      </c>
      <c r="K202" s="22">
        <f t="shared" si="2"/>
        <v>7200</v>
      </c>
      <c r="L202" s="17"/>
      <c r="M202" s="23"/>
    </row>
    <row r="203" spans="1:23" ht="24" x14ac:dyDescent="0.25">
      <c r="A203" s="10">
        <v>46036</v>
      </c>
      <c r="B203" s="2" t="s">
        <v>453</v>
      </c>
      <c r="C203" s="2" t="s">
        <v>454</v>
      </c>
      <c r="D203" s="2" t="s">
        <v>445</v>
      </c>
      <c r="E203" s="3" t="s">
        <v>455</v>
      </c>
      <c r="F203" s="4">
        <v>2633</v>
      </c>
      <c r="G203" s="4" t="s">
        <v>447</v>
      </c>
      <c r="H203" s="22" t="s">
        <v>40</v>
      </c>
      <c r="I203" s="22">
        <v>2633</v>
      </c>
      <c r="J203" s="22"/>
      <c r="K203" s="22">
        <f t="shared" si="2"/>
        <v>2633</v>
      </c>
      <c r="L203" s="17">
        <f>10000-7200</f>
        <v>2800</v>
      </c>
      <c r="M203" s="23" t="s">
        <v>41</v>
      </c>
      <c r="N203" s="1" t="s">
        <v>456</v>
      </c>
      <c r="O203" s="7" t="s">
        <v>449</v>
      </c>
      <c r="Q203" s="7" t="s">
        <v>81</v>
      </c>
      <c r="R203" s="7" t="s">
        <v>89</v>
      </c>
      <c r="S203" s="3" t="s">
        <v>83</v>
      </c>
      <c r="T203" s="3" t="s">
        <v>450</v>
      </c>
      <c r="U203" s="8" t="s">
        <v>451</v>
      </c>
      <c r="W203" s="9" t="s">
        <v>452</v>
      </c>
    </row>
    <row r="204" spans="1:23" x14ac:dyDescent="0.25">
      <c r="A204" s="10">
        <v>46036</v>
      </c>
      <c r="B204" s="2" t="s">
        <v>453</v>
      </c>
      <c r="C204" s="2" t="s">
        <v>454</v>
      </c>
      <c r="D204" s="2" t="s">
        <v>445</v>
      </c>
      <c r="E204" s="3" t="s">
        <v>455</v>
      </c>
      <c r="G204" s="4" t="s">
        <v>48</v>
      </c>
      <c r="H204" s="22" t="s">
        <v>81</v>
      </c>
      <c r="I204" s="22"/>
      <c r="J204" s="22">
        <f>I203</f>
        <v>2633</v>
      </c>
      <c r="K204" s="22">
        <f t="shared" si="2"/>
        <v>2633</v>
      </c>
      <c r="L204" s="17"/>
      <c r="M204" s="23"/>
    </row>
    <row r="205" spans="1:23" ht="24" x14ac:dyDescent="0.25">
      <c r="A205" s="10">
        <v>46036</v>
      </c>
      <c r="B205" s="2" t="s">
        <v>457</v>
      </c>
      <c r="C205" s="2" t="s">
        <v>95</v>
      </c>
      <c r="D205" s="2" t="s">
        <v>458</v>
      </c>
      <c r="E205" s="3" t="s">
        <v>261</v>
      </c>
      <c r="F205" s="4">
        <v>960</v>
      </c>
      <c r="G205" s="3" t="s">
        <v>128</v>
      </c>
      <c r="H205" s="34" t="s">
        <v>78</v>
      </c>
      <c r="I205" s="22">
        <v>960</v>
      </c>
      <c r="J205" s="34"/>
      <c r="K205" s="22">
        <f t="shared" si="2"/>
        <v>960</v>
      </c>
      <c r="L205" s="17">
        <v>1000</v>
      </c>
      <c r="M205" s="23" t="s">
        <v>41</v>
      </c>
      <c r="N205" s="1" t="s">
        <v>459</v>
      </c>
      <c r="O205" s="28" t="s">
        <v>80</v>
      </c>
      <c r="P205" s="28"/>
      <c r="Q205" s="7" t="s">
        <v>81</v>
      </c>
      <c r="R205" s="7" t="s">
        <v>89</v>
      </c>
      <c r="S205" s="3" t="s">
        <v>83</v>
      </c>
      <c r="T205" s="3" t="s">
        <v>450</v>
      </c>
      <c r="U205" s="8" t="s">
        <v>460</v>
      </c>
      <c r="W205" s="9" t="s">
        <v>461</v>
      </c>
    </row>
    <row r="206" spans="1:23" x14ac:dyDescent="0.25">
      <c r="A206" s="10">
        <v>46036</v>
      </c>
      <c r="B206" s="2" t="s">
        <v>457</v>
      </c>
      <c r="C206" s="2" t="s">
        <v>95</v>
      </c>
      <c r="D206" s="2" t="s">
        <v>458</v>
      </c>
      <c r="E206" s="3" t="s">
        <v>261</v>
      </c>
      <c r="F206" s="3"/>
      <c r="G206" s="4" t="s">
        <v>48</v>
      </c>
      <c r="H206" s="22" t="s">
        <v>81</v>
      </c>
      <c r="I206" s="34"/>
      <c r="J206" s="35">
        <f>I205</f>
        <v>960</v>
      </c>
      <c r="K206" s="22">
        <f t="shared" si="2"/>
        <v>960</v>
      </c>
      <c r="L206" s="32"/>
      <c r="M206" s="23"/>
      <c r="O206" s="28"/>
      <c r="P206" s="28"/>
    </row>
    <row r="207" spans="1:23" x14ac:dyDescent="0.25">
      <c r="A207" s="10">
        <v>46037</v>
      </c>
      <c r="B207" s="2" t="s">
        <v>462</v>
      </c>
      <c r="C207" s="2" t="s">
        <v>463</v>
      </c>
      <c r="D207" s="2" t="s">
        <v>243</v>
      </c>
      <c r="E207" s="3" t="s">
        <v>244</v>
      </c>
      <c r="F207" s="4">
        <v>3121.88</v>
      </c>
      <c r="G207" s="3" t="s">
        <v>128</v>
      </c>
      <c r="H207" s="22"/>
      <c r="I207" s="22"/>
      <c r="J207" s="22"/>
      <c r="K207" s="22">
        <f t="shared" si="2"/>
        <v>0</v>
      </c>
      <c r="L207" s="17">
        <v>3122</v>
      </c>
      <c r="M207" s="23" t="s">
        <v>41</v>
      </c>
      <c r="N207" s="1" t="s">
        <v>464</v>
      </c>
    </row>
    <row r="208" spans="1:23" x14ac:dyDescent="0.25">
      <c r="A208" s="10">
        <v>46037</v>
      </c>
      <c r="B208" s="2" t="s">
        <v>465</v>
      </c>
      <c r="C208" s="2" t="s">
        <v>396</v>
      </c>
      <c r="D208" s="2" t="s">
        <v>466</v>
      </c>
      <c r="E208" s="3" t="s">
        <v>467</v>
      </c>
      <c r="F208" s="4">
        <v>14046.57</v>
      </c>
      <c r="G208" s="4" t="s">
        <v>167</v>
      </c>
      <c r="H208" s="22"/>
      <c r="I208" s="22"/>
      <c r="J208" s="22"/>
      <c r="K208" s="22">
        <f t="shared" si="2"/>
        <v>0</v>
      </c>
      <c r="L208" s="17">
        <v>14046.57</v>
      </c>
      <c r="M208" s="23" t="s">
        <v>41</v>
      </c>
      <c r="N208" s="1" t="s">
        <v>468</v>
      </c>
    </row>
    <row r="209" spans="1:20" ht="24" x14ac:dyDescent="0.25">
      <c r="A209" s="10">
        <v>46037</v>
      </c>
      <c r="B209" s="2" t="s">
        <v>469</v>
      </c>
      <c r="C209" s="2" t="s">
        <v>470</v>
      </c>
      <c r="D209" s="2" t="s">
        <v>471</v>
      </c>
      <c r="E209" s="3" t="s">
        <v>472</v>
      </c>
      <c r="F209" s="4">
        <v>13762.74</v>
      </c>
      <c r="G209" s="4" t="s">
        <v>48</v>
      </c>
      <c r="H209" s="22"/>
      <c r="I209" s="22"/>
      <c r="J209" s="22"/>
      <c r="K209" s="22">
        <f t="shared" si="2"/>
        <v>0</v>
      </c>
      <c r="L209" s="17">
        <v>13762.74</v>
      </c>
      <c r="M209" s="23" t="s">
        <v>41</v>
      </c>
      <c r="N209" s="1" t="s">
        <v>473</v>
      </c>
    </row>
    <row r="210" spans="1:20" ht="24" x14ac:dyDescent="0.25">
      <c r="A210" s="10">
        <v>46037</v>
      </c>
      <c r="B210" s="2" t="s">
        <v>474</v>
      </c>
      <c r="C210" s="2" t="s">
        <v>86</v>
      </c>
      <c r="D210" s="2" t="s">
        <v>475</v>
      </c>
      <c r="E210" s="3" t="s">
        <v>476</v>
      </c>
      <c r="F210" s="4">
        <f>9178.9+1101.47</f>
        <v>10280.369999999999</v>
      </c>
      <c r="G210" s="4" t="s">
        <v>77</v>
      </c>
      <c r="H210" s="22"/>
      <c r="I210" s="22"/>
      <c r="J210" s="22"/>
      <c r="K210" s="22">
        <f t="shared" si="2"/>
        <v>0</v>
      </c>
      <c r="L210" s="17">
        <v>10280.370000000001</v>
      </c>
      <c r="M210" s="23" t="s">
        <v>41</v>
      </c>
      <c r="N210" s="1" t="s">
        <v>477</v>
      </c>
      <c r="O210" s="7" t="s">
        <v>478</v>
      </c>
      <c r="Q210" s="25" t="s">
        <v>479</v>
      </c>
      <c r="R210" s="7" t="s">
        <v>480</v>
      </c>
      <c r="S210" s="3" t="s">
        <v>71</v>
      </c>
      <c r="T210" s="3" t="s">
        <v>481</v>
      </c>
    </row>
    <row r="211" spans="1:20" x14ac:dyDescent="0.25">
      <c r="A211" s="10">
        <v>46037</v>
      </c>
      <c r="B211" s="2" t="s">
        <v>482</v>
      </c>
      <c r="D211" s="31" t="s">
        <v>483</v>
      </c>
      <c r="E211" s="3" t="s">
        <v>484</v>
      </c>
      <c r="F211" s="4">
        <v>5000</v>
      </c>
      <c r="G211" s="4" t="s">
        <v>48</v>
      </c>
      <c r="H211" s="22"/>
      <c r="I211" s="22"/>
      <c r="J211" s="22"/>
      <c r="K211" s="22">
        <f t="shared" si="2"/>
        <v>0</v>
      </c>
      <c r="L211" s="17"/>
      <c r="M211" s="23" t="s">
        <v>41</v>
      </c>
      <c r="N211" s="1" t="s">
        <v>485</v>
      </c>
    </row>
    <row r="212" spans="1:20" x14ac:dyDescent="0.25">
      <c r="A212" s="10">
        <v>46037</v>
      </c>
      <c r="B212" s="2" t="s">
        <v>486</v>
      </c>
      <c r="C212" s="2" t="s">
        <v>259</v>
      </c>
      <c r="D212" s="2" t="s">
        <v>487</v>
      </c>
      <c r="E212" s="3" t="s">
        <v>261</v>
      </c>
      <c r="F212" s="4">
        <v>164806.9</v>
      </c>
      <c r="G212" s="4" t="s">
        <v>488</v>
      </c>
      <c r="H212" s="22"/>
      <c r="I212" s="22"/>
      <c r="J212" s="22"/>
      <c r="K212" s="22">
        <f t="shared" si="2"/>
        <v>0</v>
      </c>
      <c r="L212" s="17"/>
      <c r="M212" s="23" t="s">
        <v>41</v>
      </c>
      <c r="N212" s="1" t="s">
        <v>489</v>
      </c>
    </row>
    <row r="213" spans="1:20" x14ac:dyDescent="0.25">
      <c r="A213" s="10">
        <v>46037</v>
      </c>
      <c r="B213" s="2" t="s">
        <v>490</v>
      </c>
      <c r="C213" s="2" t="s">
        <v>259</v>
      </c>
      <c r="D213" s="2" t="s">
        <v>491</v>
      </c>
      <c r="E213" s="3" t="s">
        <v>371</v>
      </c>
      <c r="F213" s="4">
        <v>54954.879999999997</v>
      </c>
      <c r="G213" s="4" t="s">
        <v>98</v>
      </c>
      <c r="H213" s="22"/>
      <c r="I213" s="22"/>
      <c r="J213" s="22"/>
      <c r="K213" s="22">
        <f t="shared" si="2"/>
        <v>0</v>
      </c>
      <c r="L213" s="17"/>
      <c r="M213" s="23" t="s">
        <v>41</v>
      </c>
      <c r="N213" s="1" t="s">
        <v>492</v>
      </c>
    </row>
    <row r="214" spans="1:20" ht="24" x14ac:dyDescent="0.25">
      <c r="A214" s="10">
        <v>46037</v>
      </c>
      <c r="B214" s="2" t="s">
        <v>493</v>
      </c>
      <c r="C214" s="2" t="s">
        <v>310</v>
      </c>
      <c r="E214" s="3" t="s">
        <v>27</v>
      </c>
      <c r="F214" s="4">
        <v>237994.76</v>
      </c>
      <c r="G214" s="4" t="s">
        <v>48</v>
      </c>
      <c r="H214" s="22"/>
      <c r="I214" s="22"/>
      <c r="J214" s="22"/>
      <c r="K214" s="22">
        <f t="shared" si="2"/>
        <v>0</v>
      </c>
      <c r="L214" s="17"/>
      <c r="M214" s="23" t="s">
        <v>41</v>
      </c>
      <c r="N214" s="1" t="s">
        <v>494</v>
      </c>
    </row>
    <row r="215" spans="1:20" ht="24" x14ac:dyDescent="0.25">
      <c r="A215" s="10">
        <v>46037</v>
      </c>
      <c r="B215" s="2" t="s">
        <v>495</v>
      </c>
      <c r="C215" s="2" t="s">
        <v>310</v>
      </c>
      <c r="E215" s="3" t="s">
        <v>27</v>
      </c>
      <c r="F215" s="4">
        <v>173895.39</v>
      </c>
      <c r="G215" s="4" t="s">
        <v>326</v>
      </c>
      <c r="H215" s="22"/>
      <c r="I215" s="22"/>
      <c r="J215" s="22"/>
      <c r="K215" s="22">
        <f t="shared" si="2"/>
        <v>0</v>
      </c>
      <c r="L215" s="17"/>
      <c r="M215" s="23" t="s">
        <v>41</v>
      </c>
      <c r="N215" s="1" t="s">
        <v>496</v>
      </c>
    </row>
    <row r="216" spans="1:20" ht="24" x14ac:dyDescent="0.25">
      <c r="A216" s="10">
        <v>46037</v>
      </c>
      <c r="B216" s="2" t="s">
        <v>497</v>
      </c>
      <c r="C216" s="2" t="s">
        <v>259</v>
      </c>
      <c r="D216" s="2" t="s">
        <v>491</v>
      </c>
      <c r="E216" s="3" t="s">
        <v>498</v>
      </c>
      <c r="F216" s="4">
        <v>178419.76</v>
      </c>
      <c r="G216" s="4" t="s">
        <v>48</v>
      </c>
      <c r="H216" s="22"/>
      <c r="I216" s="22"/>
      <c r="J216" s="22"/>
      <c r="K216" s="22">
        <f t="shared" si="2"/>
        <v>0</v>
      </c>
      <c r="L216" s="17"/>
      <c r="M216" s="23" t="s">
        <v>41</v>
      </c>
      <c r="N216" s="1" t="s">
        <v>499</v>
      </c>
    </row>
    <row r="217" spans="1:20" x14ac:dyDescent="0.25">
      <c r="A217" s="10">
        <v>46037</v>
      </c>
      <c r="B217" s="2" t="s">
        <v>500</v>
      </c>
      <c r="C217" s="2" t="s">
        <v>259</v>
      </c>
      <c r="D217" s="2" t="s">
        <v>491</v>
      </c>
      <c r="E217" s="3" t="s">
        <v>498</v>
      </c>
      <c r="F217" s="4">
        <v>134175.39000000001</v>
      </c>
      <c r="G217" s="4" t="s">
        <v>326</v>
      </c>
      <c r="H217" s="22"/>
      <c r="I217" s="22"/>
      <c r="J217" s="22"/>
      <c r="K217" s="22">
        <f t="shared" si="2"/>
        <v>0</v>
      </c>
      <c r="L217" s="17"/>
      <c r="M217" s="23" t="s">
        <v>41</v>
      </c>
      <c r="N217" s="1" t="s">
        <v>501</v>
      </c>
    </row>
    <row r="218" spans="1:20" x14ac:dyDescent="0.25">
      <c r="A218" s="10">
        <v>46037</v>
      </c>
      <c r="B218" s="2" t="s">
        <v>502</v>
      </c>
      <c r="C218" s="2" t="s">
        <v>259</v>
      </c>
      <c r="D218" s="2" t="s">
        <v>503</v>
      </c>
      <c r="E218" s="3" t="s">
        <v>261</v>
      </c>
      <c r="F218" s="4">
        <v>149696.94</v>
      </c>
      <c r="G218" s="4" t="s">
        <v>326</v>
      </c>
      <c r="H218" s="22"/>
      <c r="I218" s="22"/>
      <c r="J218" s="22"/>
      <c r="K218" s="22">
        <f t="shared" si="2"/>
        <v>0</v>
      </c>
      <c r="L218" s="17"/>
      <c r="M218" s="23" t="s">
        <v>41</v>
      </c>
      <c r="N218" s="1" t="s">
        <v>504</v>
      </c>
    </row>
    <row r="219" spans="1:20" x14ac:dyDescent="0.25">
      <c r="A219" s="10">
        <v>46037</v>
      </c>
      <c r="B219" s="2" t="s">
        <v>505</v>
      </c>
      <c r="C219" s="2" t="s">
        <v>506</v>
      </c>
      <c r="D219" s="2" t="s">
        <v>507</v>
      </c>
      <c r="E219" s="3" t="s">
        <v>398</v>
      </c>
      <c r="F219" s="4">
        <v>50000</v>
      </c>
      <c r="G219" s="4" t="s">
        <v>262</v>
      </c>
      <c r="H219" s="22"/>
      <c r="I219" s="22"/>
      <c r="J219" s="22"/>
      <c r="K219" s="22">
        <f t="shared" si="2"/>
        <v>0</v>
      </c>
      <c r="L219" s="17">
        <v>50000</v>
      </c>
      <c r="M219" s="23" t="s">
        <v>41</v>
      </c>
      <c r="N219" s="1" t="s">
        <v>508</v>
      </c>
    </row>
    <row r="220" spans="1:20" ht="24" x14ac:dyDescent="0.25">
      <c r="A220" s="10">
        <v>46037</v>
      </c>
      <c r="B220" s="2" t="s">
        <v>509</v>
      </c>
      <c r="C220" s="2" t="s">
        <v>141</v>
      </c>
      <c r="E220" s="3" t="s">
        <v>27</v>
      </c>
      <c r="F220" s="4">
        <v>85990</v>
      </c>
      <c r="G220" s="4" t="s">
        <v>48</v>
      </c>
      <c r="H220" s="22"/>
      <c r="I220" s="22"/>
      <c r="J220" s="22"/>
      <c r="K220" s="22">
        <f t="shared" si="2"/>
        <v>0</v>
      </c>
      <c r="L220" s="17">
        <v>85990</v>
      </c>
      <c r="M220" s="23" t="s">
        <v>41</v>
      </c>
      <c r="N220" s="1" t="s">
        <v>510</v>
      </c>
      <c r="O220" s="7" t="s">
        <v>143</v>
      </c>
      <c r="Q220" s="25" t="s">
        <v>511</v>
      </c>
      <c r="R220" s="7" t="s">
        <v>480</v>
      </c>
      <c r="S220" s="3" t="s">
        <v>71</v>
      </c>
    </row>
    <row r="221" spans="1:20" ht="24" x14ac:dyDescent="0.25">
      <c r="A221" s="10">
        <v>46037</v>
      </c>
      <c r="B221" s="2" t="s">
        <v>512</v>
      </c>
      <c r="C221" s="2" t="s">
        <v>141</v>
      </c>
      <c r="E221" s="3" t="s">
        <v>27</v>
      </c>
      <c r="F221" s="4">
        <v>966117.08</v>
      </c>
      <c r="G221" s="4" t="s">
        <v>48</v>
      </c>
      <c r="H221" s="22"/>
      <c r="I221" s="22"/>
      <c r="J221" s="22"/>
      <c r="K221" s="22">
        <f t="shared" si="2"/>
        <v>0</v>
      </c>
      <c r="L221" s="17">
        <v>966117.08</v>
      </c>
      <c r="M221" s="23" t="s">
        <v>41</v>
      </c>
      <c r="N221" s="1" t="s">
        <v>513</v>
      </c>
    </row>
    <row r="222" spans="1:20" ht="24" x14ac:dyDescent="0.25">
      <c r="A222" s="10">
        <v>46037</v>
      </c>
      <c r="B222" s="2" t="s">
        <v>514</v>
      </c>
      <c r="E222" s="3" t="s">
        <v>27</v>
      </c>
      <c r="F222" s="4">
        <v>1356000</v>
      </c>
      <c r="G222" s="4" t="s">
        <v>326</v>
      </c>
      <c r="H222" s="22"/>
      <c r="I222" s="22"/>
      <c r="J222" s="22"/>
      <c r="K222" s="22">
        <f t="shared" si="2"/>
        <v>0</v>
      </c>
      <c r="L222" s="17"/>
      <c r="M222" s="23" t="s">
        <v>41</v>
      </c>
      <c r="N222" s="1" t="s">
        <v>515</v>
      </c>
    </row>
    <row r="223" spans="1:20" x14ac:dyDescent="0.25">
      <c r="A223" s="10">
        <v>46037</v>
      </c>
      <c r="B223" s="2" t="s">
        <v>516</v>
      </c>
      <c r="E223" s="3" t="s">
        <v>27</v>
      </c>
      <c r="F223" s="4">
        <v>43800</v>
      </c>
      <c r="G223" s="4" t="s">
        <v>326</v>
      </c>
      <c r="H223" s="22"/>
      <c r="I223" s="22"/>
      <c r="J223" s="22"/>
      <c r="K223" s="22">
        <f t="shared" si="2"/>
        <v>0</v>
      </c>
      <c r="L223" s="17"/>
      <c r="M223" s="23" t="s">
        <v>41</v>
      </c>
      <c r="N223" s="1" t="s">
        <v>517</v>
      </c>
    </row>
    <row r="224" spans="1:20" x14ac:dyDescent="0.25">
      <c r="A224" s="10">
        <v>46037</v>
      </c>
      <c r="B224" s="2" t="s">
        <v>518</v>
      </c>
      <c r="E224" s="3" t="s">
        <v>261</v>
      </c>
      <c r="F224" s="4">
        <v>2000</v>
      </c>
      <c r="G224" s="4" t="s">
        <v>48</v>
      </c>
      <c r="H224" s="22"/>
      <c r="I224" s="22"/>
      <c r="J224" s="22"/>
      <c r="K224" s="22">
        <f t="shared" si="2"/>
        <v>0</v>
      </c>
      <c r="L224" s="17"/>
      <c r="M224" s="23" t="s">
        <v>41</v>
      </c>
      <c r="N224" s="1" t="s">
        <v>519</v>
      </c>
    </row>
    <row r="225" spans="1:23" x14ac:dyDescent="0.25">
      <c r="A225" s="10">
        <v>46037</v>
      </c>
      <c r="B225" s="2" t="s">
        <v>520</v>
      </c>
      <c r="E225" s="3" t="s">
        <v>398</v>
      </c>
      <c r="F225" s="4">
        <v>2500</v>
      </c>
      <c r="G225" s="3" t="s">
        <v>167</v>
      </c>
      <c r="H225" s="34"/>
      <c r="I225" s="34"/>
      <c r="J225" s="34"/>
      <c r="K225" s="22">
        <f t="shared" si="2"/>
        <v>0</v>
      </c>
      <c r="L225" s="17">
        <v>2500</v>
      </c>
      <c r="M225" s="23" t="s">
        <v>41</v>
      </c>
      <c r="N225" s="1" t="s">
        <v>521</v>
      </c>
      <c r="T225" s="3" t="s">
        <v>522</v>
      </c>
    </row>
    <row r="226" spans="1:23" x14ac:dyDescent="0.25">
      <c r="A226" s="10">
        <v>46037</v>
      </c>
      <c r="B226" s="2" t="s">
        <v>523</v>
      </c>
      <c r="C226" s="2" t="s">
        <v>38</v>
      </c>
      <c r="E226" s="3" t="s">
        <v>524</v>
      </c>
      <c r="F226" s="4">
        <f>780955.37+2266.7</f>
        <v>783222.07</v>
      </c>
      <c r="G226" s="4" t="s">
        <v>326</v>
      </c>
      <c r="H226" s="22"/>
      <c r="I226" s="22"/>
      <c r="J226" s="22"/>
      <c r="K226" s="22">
        <f t="shared" si="2"/>
        <v>0</v>
      </c>
      <c r="L226" s="17"/>
      <c r="M226" s="23" t="s">
        <v>41</v>
      </c>
      <c r="N226" s="1" t="s">
        <v>525</v>
      </c>
    </row>
    <row r="227" spans="1:23" x14ac:dyDescent="0.25">
      <c r="A227" s="10">
        <v>46037</v>
      </c>
      <c r="B227" s="2" t="s">
        <v>526</v>
      </c>
      <c r="E227" s="3" t="s">
        <v>527</v>
      </c>
      <c r="F227" s="4">
        <f>560395.28+2266.7</f>
        <v>562661.98</v>
      </c>
      <c r="G227" s="4" t="s">
        <v>326</v>
      </c>
      <c r="H227" s="22"/>
      <c r="I227" s="22"/>
      <c r="J227" s="22"/>
      <c r="K227" s="22">
        <f t="shared" si="2"/>
        <v>0</v>
      </c>
      <c r="L227" s="17"/>
      <c r="M227" s="23" t="s">
        <v>41</v>
      </c>
      <c r="N227" s="1" t="s">
        <v>525</v>
      </c>
    </row>
    <row r="228" spans="1:23" ht="36" x14ac:dyDescent="0.25">
      <c r="A228" s="10">
        <v>46037</v>
      </c>
      <c r="B228" s="2" t="s">
        <v>528</v>
      </c>
      <c r="C228" s="2" t="s">
        <v>95</v>
      </c>
      <c r="D228" s="2" t="s">
        <v>529</v>
      </c>
      <c r="E228" s="3" t="s">
        <v>222</v>
      </c>
      <c r="F228" s="4">
        <v>12855</v>
      </c>
      <c r="G228" s="4" t="s">
        <v>530</v>
      </c>
      <c r="H228" s="22"/>
      <c r="I228" s="22"/>
      <c r="J228" s="22"/>
      <c r="K228" s="22">
        <f t="shared" si="2"/>
        <v>0</v>
      </c>
      <c r="L228" s="17"/>
      <c r="M228" s="23" t="s">
        <v>41</v>
      </c>
      <c r="N228" s="1" t="s">
        <v>531</v>
      </c>
      <c r="R228" s="7" t="s">
        <v>532</v>
      </c>
    </row>
    <row r="229" spans="1:23" ht="36" x14ac:dyDescent="0.25">
      <c r="A229" s="10">
        <v>46037</v>
      </c>
      <c r="B229" s="2" t="s">
        <v>533</v>
      </c>
      <c r="C229" s="2" t="s">
        <v>534</v>
      </c>
      <c r="D229" s="2" t="s">
        <v>535</v>
      </c>
      <c r="E229" s="3" t="s">
        <v>446</v>
      </c>
      <c r="F229" s="4">
        <v>14428.02</v>
      </c>
      <c r="G229" s="4" t="s">
        <v>128</v>
      </c>
      <c r="H229" s="22"/>
      <c r="I229" s="22"/>
      <c r="J229" s="22"/>
      <c r="K229" s="22">
        <f t="shared" si="2"/>
        <v>0</v>
      </c>
      <c r="L229" s="17">
        <v>14428.02</v>
      </c>
      <c r="M229" s="23" t="s">
        <v>41</v>
      </c>
      <c r="N229" s="1" t="s">
        <v>536</v>
      </c>
      <c r="O229" s="7" t="s">
        <v>537</v>
      </c>
      <c r="Q229" s="7" t="s">
        <v>81</v>
      </c>
      <c r="R229" s="7" t="s">
        <v>538</v>
      </c>
      <c r="S229" s="3" t="s">
        <v>83</v>
      </c>
      <c r="T229" s="3" t="s">
        <v>248</v>
      </c>
      <c r="W229" s="9" t="s">
        <v>539</v>
      </c>
    </row>
    <row r="230" spans="1:23" ht="24" x14ac:dyDescent="0.25">
      <c r="A230" s="10">
        <v>46037</v>
      </c>
      <c r="B230" s="2" t="s">
        <v>540</v>
      </c>
      <c r="C230" s="2" t="s">
        <v>541</v>
      </c>
      <c r="D230" s="2" t="s">
        <v>542</v>
      </c>
      <c r="E230" s="3" t="s">
        <v>543</v>
      </c>
      <c r="F230" s="4">
        <v>9365.6299999999992</v>
      </c>
      <c r="G230" s="4" t="s">
        <v>128</v>
      </c>
      <c r="H230" s="22"/>
      <c r="I230" s="22"/>
      <c r="J230" s="22"/>
      <c r="K230" s="22">
        <f t="shared" si="2"/>
        <v>0</v>
      </c>
      <c r="L230" s="17"/>
      <c r="M230" s="23" t="s">
        <v>41</v>
      </c>
      <c r="N230" s="1" t="s">
        <v>544</v>
      </c>
    </row>
    <row r="231" spans="1:23" ht="24" x14ac:dyDescent="0.25">
      <c r="A231" s="10">
        <v>46037</v>
      </c>
      <c r="B231" s="2" t="s">
        <v>545</v>
      </c>
      <c r="C231" s="2" t="s">
        <v>546</v>
      </c>
      <c r="D231" s="2" t="s">
        <v>547</v>
      </c>
      <c r="E231" s="3" t="s">
        <v>548</v>
      </c>
      <c r="F231" s="4">
        <v>184339.29</v>
      </c>
      <c r="G231" s="4" t="s">
        <v>128</v>
      </c>
      <c r="H231" s="22"/>
      <c r="I231" s="22"/>
      <c r="J231" s="22"/>
      <c r="K231" s="22">
        <f t="shared" ref="K231:K302" si="3">ABS(I231-J231)</f>
        <v>0</v>
      </c>
      <c r="L231" s="17"/>
      <c r="M231" s="23" t="s">
        <v>41</v>
      </c>
      <c r="N231" s="1" t="s">
        <v>549</v>
      </c>
    </row>
    <row r="232" spans="1:23" ht="24" x14ac:dyDescent="0.25">
      <c r="A232" s="10">
        <v>46037</v>
      </c>
      <c r="B232" s="2" t="s">
        <v>550</v>
      </c>
      <c r="C232" s="2" t="s">
        <v>551</v>
      </c>
      <c r="D232" s="2" t="s">
        <v>552</v>
      </c>
      <c r="E232" s="3" t="s">
        <v>553</v>
      </c>
      <c r="F232" s="4">
        <f>(5658/1.12)+(5658/1.12*0.12)-(5658/1.12*0.01)</f>
        <v>5607.4821428571422</v>
      </c>
      <c r="G232" s="4" t="s">
        <v>128</v>
      </c>
      <c r="H232" s="22"/>
      <c r="I232" s="22"/>
      <c r="J232" s="22"/>
      <c r="K232" s="22">
        <f t="shared" si="3"/>
        <v>0</v>
      </c>
      <c r="L232" s="17">
        <v>5607.48</v>
      </c>
      <c r="M232" s="23" t="s">
        <v>41</v>
      </c>
      <c r="N232" s="1" t="s">
        <v>554</v>
      </c>
      <c r="O232" s="7" t="s">
        <v>537</v>
      </c>
      <c r="Q232" s="7" t="s">
        <v>81</v>
      </c>
      <c r="R232" s="7" t="s">
        <v>538</v>
      </c>
      <c r="S232" s="3" t="s">
        <v>83</v>
      </c>
      <c r="T232" s="3" t="s">
        <v>248</v>
      </c>
      <c r="W232" s="9" t="s">
        <v>539</v>
      </c>
    </row>
    <row r="233" spans="1:23" ht="24" x14ac:dyDescent="0.25">
      <c r="A233" s="10">
        <v>46037</v>
      </c>
      <c r="B233" s="2" t="s">
        <v>555</v>
      </c>
      <c r="C233" s="2" t="s">
        <v>556</v>
      </c>
      <c r="D233" s="2" t="s">
        <v>557</v>
      </c>
      <c r="E233" s="3" t="s">
        <v>109</v>
      </c>
      <c r="F233" s="4">
        <v>3165</v>
      </c>
      <c r="G233" s="4" t="s">
        <v>128</v>
      </c>
      <c r="H233" s="22"/>
      <c r="I233" s="22"/>
      <c r="J233" s="22"/>
      <c r="K233" s="22">
        <f t="shared" si="3"/>
        <v>0</v>
      </c>
      <c r="L233" s="17">
        <v>3165</v>
      </c>
      <c r="M233" s="23" t="s">
        <v>41</v>
      </c>
      <c r="N233" s="1" t="s">
        <v>558</v>
      </c>
      <c r="O233" s="7" t="s">
        <v>537</v>
      </c>
      <c r="Q233" s="7" t="s">
        <v>81</v>
      </c>
      <c r="R233" s="7" t="s">
        <v>538</v>
      </c>
      <c r="S233" s="3" t="s">
        <v>83</v>
      </c>
      <c r="T233" s="3" t="s">
        <v>248</v>
      </c>
      <c r="W233" s="9" t="s">
        <v>539</v>
      </c>
    </row>
    <row r="234" spans="1:23" ht="36" x14ac:dyDescent="0.25">
      <c r="A234" s="10">
        <v>46037</v>
      </c>
      <c r="B234" s="2" t="s">
        <v>559</v>
      </c>
      <c r="C234" s="2" t="s">
        <v>560</v>
      </c>
      <c r="D234" s="2" t="s">
        <v>561</v>
      </c>
      <c r="E234" s="3" t="s">
        <v>562</v>
      </c>
      <c r="F234" s="36">
        <v>2839.42</v>
      </c>
      <c r="G234" s="4" t="s">
        <v>128</v>
      </c>
      <c r="H234" s="37"/>
      <c r="I234" s="37"/>
      <c r="J234" s="37"/>
      <c r="K234" s="22">
        <f t="shared" si="3"/>
        <v>0</v>
      </c>
      <c r="L234" s="38"/>
      <c r="M234" s="23" t="s">
        <v>41</v>
      </c>
      <c r="N234" s="1" t="s">
        <v>563</v>
      </c>
    </row>
    <row r="235" spans="1:23" ht="24" x14ac:dyDescent="0.25">
      <c r="A235" s="10">
        <v>46037</v>
      </c>
      <c r="B235" s="2" t="s">
        <v>564</v>
      </c>
      <c r="C235" s="2" t="s">
        <v>86</v>
      </c>
      <c r="D235" s="2" t="s">
        <v>565</v>
      </c>
      <c r="E235" s="3" t="s">
        <v>76</v>
      </c>
      <c r="F235" s="36">
        <v>1500</v>
      </c>
      <c r="G235" s="36" t="s">
        <v>77</v>
      </c>
      <c r="H235" s="37"/>
      <c r="I235" s="37"/>
      <c r="J235" s="37"/>
      <c r="K235" s="22">
        <f t="shared" si="3"/>
        <v>0</v>
      </c>
      <c r="L235" s="38">
        <v>1500</v>
      </c>
      <c r="M235" s="23" t="s">
        <v>41</v>
      </c>
      <c r="N235" s="1" t="s">
        <v>566</v>
      </c>
      <c r="O235" s="7" t="s">
        <v>567</v>
      </c>
      <c r="Q235" s="7" t="s">
        <v>81</v>
      </c>
      <c r="R235" s="7" t="s">
        <v>568</v>
      </c>
      <c r="S235" s="3" t="s">
        <v>83</v>
      </c>
      <c r="T235" s="3" t="s">
        <v>569</v>
      </c>
    </row>
    <row r="236" spans="1:23" x14ac:dyDescent="0.25">
      <c r="A236" s="10">
        <v>46037</v>
      </c>
      <c r="B236" s="2" t="s">
        <v>564</v>
      </c>
      <c r="C236" s="2" t="s">
        <v>86</v>
      </c>
      <c r="D236" s="2" t="s">
        <v>565</v>
      </c>
      <c r="E236" s="3" t="s">
        <v>76</v>
      </c>
      <c r="F236" s="36"/>
      <c r="G236" s="36" t="s">
        <v>48</v>
      </c>
      <c r="H236" s="37"/>
      <c r="I236" s="37"/>
      <c r="J236" s="37"/>
      <c r="K236" s="22">
        <f t="shared" si="3"/>
        <v>0</v>
      </c>
      <c r="L236" s="38"/>
    </row>
    <row r="237" spans="1:23" ht="24" x14ac:dyDescent="0.25">
      <c r="A237" s="10">
        <v>46037</v>
      </c>
      <c r="B237" s="2" t="s">
        <v>570</v>
      </c>
      <c r="C237" s="2" t="s">
        <v>74</v>
      </c>
      <c r="D237" s="2" t="s">
        <v>571</v>
      </c>
      <c r="E237" s="3" t="s">
        <v>76</v>
      </c>
      <c r="F237" s="33">
        <v>10300</v>
      </c>
      <c r="G237" s="36" t="s">
        <v>77</v>
      </c>
      <c r="H237" s="39"/>
      <c r="I237" s="39"/>
      <c r="J237" s="39"/>
      <c r="K237" s="22">
        <f t="shared" si="3"/>
        <v>0</v>
      </c>
      <c r="L237" s="17">
        <v>10300</v>
      </c>
      <c r="M237" s="23" t="s">
        <v>41</v>
      </c>
      <c r="N237" s="1" t="s">
        <v>572</v>
      </c>
    </row>
    <row r="238" spans="1:23" x14ac:dyDescent="0.25">
      <c r="A238" s="10">
        <v>46037</v>
      </c>
      <c r="B238" s="2" t="s">
        <v>573</v>
      </c>
      <c r="C238" s="2" t="s">
        <v>95</v>
      </c>
      <c r="D238" s="2" t="s">
        <v>574</v>
      </c>
      <c r="E238" s="3" t="s">
        <v>575</v>
      </c>
      <c r="F238" s="4">
        <v>53517.86</v>
      </c>
      <c r="G238" s="4" t="s">
        <v>167</v>
      </c>
      <c r="H238" s="22" t="s">
        <v>576</v>
      </c>
      <c r="I238" s="22">
        <f>54000/1.12</f>
        <v>48214.28571428571</v>
      </c>
      <c r="J238" s="22"/>
      <c r="K238" s="22">
        <f t="shared" si="3"/>
        <v>48214.28571428571</v>
      </c>
      <c r="L238" s="17">
        <v>53517.86</v>
      </c>
      <c r="M238" s="23" t="s">
        <v>41</v>
      </c>
      <c r="N238" s="1" t="s">
        <v>577</v>
      </c>
      <c r="Q238" s="7" t="s">
        <v>81</v>
      </c>
      <c r="R238" s="7" t="s">
        <v>532</v>
      </c>
    </row>
    <row r="239" spans="1:23" x14ac:dyDescent="0.25">
      <c r="A239" s="10">
        <v>46037</v>
      </c>
      <c r="B239" s="2" t="s">
        <v>573</v>
      </c>
      <c r="C239" s="2" t="s">
        <v>95</v>
      </c>
      <c r="D239" s="2" t="s">
        <v>574</v>
      </c>
      <c r="E239" s="3" t="s">
        <v>575</v>
      </c>
      <c r="G239" s="4" t="s">
        <v>167</v>
      </c>
      <c r="H239" s="22" t="s">
        <v>281</v>
      </c>
      <c r="I239" s="22">
        <f>I238*0.12</f>
        <v>5785.7142857142853</v>
      </c>
      <c r="J239" s="22"/>
      <c r="K239" s="22">
        <f t="shared" si="3"/>
        <v>5785.7142857142853</v>
      </c>
      <c r="L239" s="17"/>
    </row>
    <row r="240" spans="1:23" x14ac:dyDescent="0.25">
      <c r="A240" s="10">
        <v>46037</v>
      </c>
      <c r="B240" s="2" t="s">
        <v>573</v>
      </c>
      <c r="C240" s="2" t="s">
        <v>95</v>
      </c>
      <c r="D240" s="2" t="s">
        <v>574</v>
      </c>
      <c r="E240" s="3" t="s">
        <v>575</v>
      </c>
      <c r="G240" s="4" t="s">
        <v>167</v>
      </c>
      <c r="H240" s="22" t="s">
        <v>282</v>
      </c>
      <c r="I240" s="22"/>
      <c r="J240" s="22">
        <f>I238*0.01</f>
        <v>482.14285714285711</v>
      </c>
      <c r="K240" s="22">
        <f t="shared" si="3"/>
        <v>482.14285714285711</v>
      </c>
      <c r="L240" s="17"/>
    </row>
    <row r="241" spans="1:20" x14ac:dyDescent="0.25">
      <c r="A241" s="10">
        <v>46037</v>
      </c>
      <c r="B241" s="2" t="s">
        <v>573</v>
      </c>
      <c r="C241" s="2" t="s">
        <v>95</v>
      </c>
      <c r="D241" s="2" t="s">
        <v>574</v>
      </c>
      <c r="E241" s="3" t="s">
        <v>575</v>
      </c>
      <c r="G241" s="36" t="s">
        <v>48</v>
      </c>
      <c r="H241" s="22" t="s">
        <v>49</v>
      </c>
      <c r="I241" s="22"/>
      <c r="J241" s="22">
        <f>I238+I239-J240</f>
        <v>53517.857142857138</v>
      </c>
      <c r="K241" s="22">
        <f t="shared" si="3"/>
        <v>53517.857142857138</v>
      </c>
      <c r="L241" s="17"/>
    </row>
    <row r="242" spans="1:20" ht="24" x14ac:dyDescent="0.25">
      <c r="A242" s="10">
        <v>46037</v>
      </c>
      <c r="B242" s="2" t="s">
        <v>578</v>
      </c>
      <c r="C242" s="2" t="s">
        <v>86</v>
      </c>
      <c r="D242" s="2" t="s">
        <v>579</v>
      </c>
      <c r="E242" s="3" t="s">
        <v>580</v>
      </c>
      <c r="F242" s="4">
        <v>181050</v>
      </c>
      <c r="G242" s="36" t="s">
        <v>77</v>
      </c>
      <c r="H242" s="22"/>
      <c r="I242" s="22"/>
      <c r="J242" s="22"/>
      <c r="K242" s="22">
        <f t="shared" si="3"/>
        <v>0</v>
      </c>
      <c r="L242" s="17"/>
      <c r="M242" s="6" t="s">
        <v>581</v>
      </c>
      <c r="N242" s="1" t="s">
        <v>582</v>
      </c>
    </row>
    <row r="243" spans="1:20" ht="36" x14ac:dyDescent="0.25">
      <c r="A243" s="10">
        <v>46037</v>
      </c>
      <c r="B243" s="2" t="s">
        <v>583</v>
      </c>
      <c r="C243" s="2" t="s">
        <v>95</v>
      </c>
      <c r="D243" s="2" t="s">
        <v>584</v>
      </c>
      <c r="E243" s="3" t="s">
        <v>149</v>
      </c>
      <c r="F243" s="4">
        <v>50000</v>
      </c>
      <c r="G243" s="3" t="s">
        <v>48</v>
      </c>
      <c r="H243" s="34"/>
      <c r="I243" s="34"/>
      <c r="J243" s="34"/>
      <c r="K243" s="22">
        <f t="shared" si="3"/>
        <v>0</v>
      </c>
      <c r="L243" s="32"/>
      <c r="M243" s="23" t="s">
        <v>41</v>
      </c>
      <c r="N243" s="1" t="s">
        <v>585</v>
      </c>
    </row>
    <row r="244" spans="1:20" ht="24" x14ac:dyDescent="0.25">
      <c r="A244" s="10">
        <v>46037</v>
      </c>
      <c r="B244" s="2" t="s">
        <v>586</v>
      </c>
      <c r="C244" s="2" t="s">
        <v>147</v>
      </c>
      <c r="D244" s="2" t="s">
        <v>587</v>
      </c>
      <c r="E244" s="3" t="s">
        <v>149</v>
      </c>
      <c r="F244" s="4">
        <v>16910</v>
      </c>
      <c r="G244" s="3" t="s">
        <v>48</v>
      </c>
      <c r="H244" s="22"/>
      <c r="I244" s="22"/>
      <c r="J244" s="22"/>
      <c r="K244" s="22">
        <f t="shared" si="3"/>
        <v>0</v>
      </c>
      <c r="L244" s="17"/>
      <c r="M244" s="23" t="s">
        <v>41</v>
      </c>
      <c r="N244" s="1" t="s">
        <v>588</v>
      </c>
    </row>
    <row r="245" spans="1:20" x14ac:dyDescent="0.25">
      <c r="A245" s="10">
        <v>46037</v>
      </c>
      <c r="B245" s="2" t="s">
        <v>589</v>
      </c>
      <c r="E245" s="3" t="s">
        <v>590</v>
      </c>
      <c r="F245" s="4">
        <v>36819.75</v>
      </c>
      <c r="G245" s="3" t="s">
        <v>48</v>
      </c>
      <c r="H245" s="22"/>
      <c r="I245" s="22"/>
      <c r="J245" s="22"/>
      <c r="K245" s="22">
        <f t="shared" si="3"/>
        <v>0</v>
      </c>
      <c r="L245" s="17"/>
      <c r="M245" s="23" t="s">
        <v>41</v>
      </c>
      <c r="N245" s="1" t="s">
        <v>591</v>
      </c>
    </row>
    <row r="246" spans="1:20" x14ac:dyDescent="0.25">
      <c r="A246" s="10">
        <v>46037</v>
      </c>
      <c r="B246" s="2" t="s">
        <v>592</v>
      </c>
      <c r="E246" s="3" t="s">
        <v>590</v>
      </c>
      <c r="F246" s="4">
        <v>162663.4</v>
      </c>
      <c r="G246" s="3" t="s">
        <v>48</v>
      </c>
      <c r="H246" s="22"/>
      <c r="I246" s="22"/>
      <c r="J246" s="22"/>
      <c r="K246" s="22">
        <f t="shared" si="3"/>
        <v>0</v>
      </c>
      <c r="L246" s="17"/>
      <c r="M246" s="23" t="s">
        <v>41</v>
      </c>
      <c r="N246" s="1" t="s">
        <v>591</v>
      </c>
    </row>
    <row r="247" spans="1:20" ht="24" x14ac:dyDescent="0.25">
      <c r="A247" s="10">
        <v>46037</v>
      </c>
      <c r="B247" s="2" t="s">
        <v>593</v>
      </c>
      <c r="C247" s="2" t="s">
        <v>594</v>
      </c>
      <c r="D247" s="2" t="s">
        <v>595</v>
      </c>
      <c r="E247" s="3" t="s">
        <v>596</v>
      </c>
      <c r="F247" s="4">
        <v>1748516.4</v>
      </c>
      <c r="G247" s="4" t="s">
        <v>28</v>
      </c>
      <c r="H247" s="22"/>
      <c r="I247" s="22"/>
      <c r="J247" s="22"/>
      <c r="K247" s="22">
        <f t="shared" si="3"/>
        <v>0</v>
      </c>
      <c r="L247" s="17"/>
      <c r="M247" s="23" t="s">
        <v>41</v>
      </c>
      <c r="N247" s="1" t="s">
        <v>597</v>
      </c>
      <c r="O247" s="40" t="s">
        <v>598</v>
      </c>
      <c r="P247" s="40"/>
      <c r="Q247" s="25" t="s">
        <v>599</v>
      </c>
      <c r="R247" s="7" t="s">
        <v>538</v>
      </c>
      <c r="S247" s="3" t="s">
        <v>71</v>
      </c>
    </row>
    <row r="248" spans="1:20" x14ac:dyDescent="0.25">
      <c r="A248" s="10">
        <v>46038</v>
      </c>
      <c r="B248" s="2" t="s">
        <v>600</v>
      </c>
      <c r="C248" s="2" t="s">
        <v>601</v>
      </c>
      <c r="D248" s="2" t="s">
        <v>602</v>
      </c>
      <c r="E248" s="3" t="s">
        <v>603</v>
      </c>
      <c r="F248" s="4">
        <v>16100</v>
      </c>
      <c r="G248" s="3" t="s">
        <v>48</v>
      </c>
      <c r="H248" s="34" t="s">
        <v>604</v>
      </c>
      <c r="I248" s="22">
        <v>16100</v>
      </c>
      <c r="J248" s="22"/>
      <c r="K248" s="22">
        <f t="shared" si="3"/>
        <v>16100</v>
      </c>
      <c r="L248" s="17">
        <v>16100</v>
      </c>
      <c r="M248" s="23" t="s">
        <v>41</v>
      </c>
      <c r="N248" s="1" t="s">
        <v>605</v>
      </c>
      <c r="O248" s="7" t="s">
        <v>606</v>
      </c>
      <c r="P248" s="7" t="s">
        <v>81</v>
      </c>
      <c r="R248" s="7" t="s">
        <v>538</v>
      </c>
      <c r="S248" s="3" t="s">
        <v>83</v>
      </c>
      <c r="T248" s="3" t="s">
        <v>607</v>
      </c>
    </row>
    <row r="249" spans="1:20" x14ac:dyDescent="0.25">
      <c r="A249" s="10">
        <v>46038</v>
      </c>
      <c r="B249" s="2" t="s">
        <v>600</v>
      </c>
      <c r="C249" s="2" t="s">
        <v>601</v>
      </c>
      <c r="D249" s="2" t="s">
        <v>602</v>
      </c>
      <c r="E249" s="3" t="s">
        <v>603</v>
      </c>
      <c r="G249" s="3" t="s">
        <v>48</v>
      </c>
      <c r="H249" s="34" t="s">
        <v>81</v>
      </c>
      <c r="I249" s="22"/>
      <c r="J249" s="22">
        <v>16100</v>
      </c>
      <c r="K249" s="22">
        <f t="shared" si="3"/>
        <v>16100</v>
      </c>
      <c r="L249" s="17"/>
      <c r="M249" s="23"/>
    </row>
    <row r="250" spans="1:20" ht="24" x14ac:dyDescent="0.25">
      <c r="A250" s="10">
        <v>46038</v>
      </c>
      <c r="B250" s="2" t="s">
        <v>608</v>
      </c>
      <c r="C250" s="2" t="s">
        <v>609</v>
      </c>
      <c r="E250" s="3" t="s">
        <v>610</v>
      </c>
      <c r="F250" s="4">
        <v>20000</v>
      </c>
      <c r="G250" s="3" t="s">
        <v>48</v>
      </c>
      <c r="H250" s="22" t="s">
        <v>611</v>
      </c>
      <c r="I250" s="22">
        <v>20000</v>
      </c>
      <c r="J250" s="22"/>
      <c r="K250" s="22">
        <f t="shared" si="3"/>
        <v>20000</v>
      </c>
      <c r="L250" s="17">
        <v>20000</v>
      </c>
      <c r="M250" s="23" t="s">
        <v>41</v>
      </c>
      <c r="N250" s="1" t="s">
        <v>612</v>
      </c>
      <c r="O250" s="7" t="s">
        <v>609</v>
      </c>
      <c r="P250" s="7" t="s">
        <v>81</v>
      </c>
      <c r="R250" s="7" t="s">
        <v>538</v>
      </c>
      <c r="S250" s="3" t="s">
        <v>83</v>
      </c>
      <c r="T250" s="3" t="s">
        <v>607</v>
      </c>
    </row>
    <row r="251" spans="1:20" x14ac:dyDescent="0.25">
      <c r="A251" s="10">
        <v>46038</v>
      </c>
      <c r="B251" s="2" t="s">
        <v>608</v>
      </c>
      <c r="C251" s="2" t="s">
        <v>609</v>
      </c>
      <c r="E251" s="3" t="s">
        <v>610</v>
      </c>
      <c r="G251" s="3" t="s">
        <v>48</v>
      </c>
      <c r="H251" s="22" t="s">
        <v>81</v>
      </c>
      <c r="I251" s="22"/>
      <c r="J251" s="22">
        <f>I250</f>
        <v>20000</v>
      </c>
      <c r="K251" s="22">
        <f t="shared" si="3"/>
        <v>20000</v>
      </c>
      <c r="L251" s="17"/>
      <c r="M251" s="23"/>
    </row>
    <row r="252" spans="1:20" x14ac:dyDescent="0.25">
      <c r="A252" s="10">
        <v>46038</v>
      </c>
      <c r="B252" s="2" t="s">
        <v>613</v>
      </c>
      <c r="E252" s="3" t="s">
        <v>614</v>
      </c>
      <c r="F252" s="4">
        <v>7945.2</v>
      </c>
      <c r="G252" s="3" t="s">
        <v>48</v>
      </c>
      <c r="H252" s="22"/>
      <c r="I252" s="22"/>
      <c r="J252" s="22"/>
      <c r="K252" s="22">
        <f t="shared" si="3"/>
        <v>0</v>
      </c>
      <c r="L252" s="17">
        <v>7945.2</v>
      </c>
      <c r="M252" s="23" t="s">
        <v>41</v>
      </c>
      <c r="N252" s="1" t="s">
        <v>615</v>
      </c>
      <c r="O252" s="7" t="s">
        <v>616</v>
      </c>
      <c r="P252" s="7" t="s">
        <v>81</v>
      </c>
      <c r="R252" s="7" t="s">
        <v>538</v>
      </c>
      <c r="S252" s="3" t="s">
        <v>83</v>
      </c>
      <c r="T252" s="3" t="s">
        <v>607</v>
      </c>
    </row>
    <row r="253" spans="1:20" x14ac:dyDescent="0.25">
      <c r="A253" s="10">
        <v>46038</v>
      </c>
      <c r="B253" s="2" t="s">
        <v>617</v>
      </c>
      <c r="E253" s="3" t="s">
        <v>618</v>
      </c>
      <c r="F253" s="4">
        <v>2111.71</v>
      </c>
      <c r="G253" s="3"/>
      <c r="H253" s="34"/>
      <c r="I253" s="34"/>
      <c r="J253" s="34"/>
      <c r="K253" s="22">
        <f t="shared" si="3"/>
        <v>0</v>
      </c>
      <c r="L253" s="32"/>
      <c r="M253" s="23" t="s">
        <v>41</v>
      </c>
    </row>
    <row r="254" spans="1:20" x14ac:dyDescent="0.25">
      <c r="A254" s="10">
        <v>46038</v>
      </c>
      <c r="B254" s="2" t="s">
        <v>619</v>
      </c>
      <c r="E254" s="3" t="s">
        <v>618</v>
      </c>
      <c r="F254" s="4">
        <v>2221.9</v>
      </c>
      <c r="H254" s="22"/>
      <c r="I254" s="22"/>
      <c r="J254" s="22"/>
      <c r="K254" s="22">
        <f t="shared" si="3"/>
        <v>0</v>
      </c>
      <c r="L254" s="17"/>
      <c r="M254" s="23" t="s">
        <v>41</v>
      </c>
    </row>
    <row r="255" spans="1:20" ht="24" x14ac:dyDescent="0.25">
      <c r="A255" s="10">
        <v>46038</v>
      </c>
      <c r="B255" s="2" t="s">
        <v>620</v>
      </c>
      <c r="E255" s="3" t="s">
        <v>307</v>
      </c>
      <c r="F255" s="4">
        <v>1500000</v>
      </c>
      <c r="G255" s="4" t="s">
        <v>48</v>
      </c>
      <c r="H255" s="22"/>
      <c r="I255" s="22"/>
      <c r="J255" s="22"/>
      <c r="K255" s="22">
        <f t="shared" si="3"/>
        <v>0</v>
      </c>
      <c r="L255" s="17"/>
      <c r="M255" s="23" t="s">
        <v>41</v>
      </c>
      <c r="N255" s="1" t="s">
        <v>621</v>
      </c>
      <c r="O255" s="7" t="s">
        <v>598</v>
      </c>
      <c r="Q255" s="25" t="s">
        <v>622</v>
      </c>
      <c r="R255" s="7" t="s">
        <v>538</v>
      </c>
      <c r="S255" s="3" t="s">
        <v>71</v>
      </c>
      <c r="T255" s="3" t="s">
        <v>623</v>
      </c>
    </row>
    <row r="256" spans="1:20" ht="36" x14ac:dyDescent="0.25">
      <c r="A256" s="10">
        <v>46038</v>
      </c>
      <c r="B256" s="2" t="s">
        <v>624</v>
      </c>
      <c r="E256" s="3" t="s">
        <v>625</v>
      </c>
      <c r="F256" s="4">
        <v>499971.39</v>
      </c>
      <c r="G256" s="3" t="s">
        <v>626</v>
      </c>
      <c r="H256" s="34" t="s">
        <v>627</v>
      </c>
      <c r="I256" s="22">
        <v>98133.08</v>
      </c>
      <c r="J256" s="34"/>
      <c r="K256" s="22">
        <f t="shared" si="3"/>
        <v>98133.08</v>
      </c>
      <c r="L256" s="17">
        <v>499971.39</v>
      </c>
      <c r="M256" s="23" t="s">
        <v>41</v>
      </c>
      <c r="N256" s="1" t="s">
        <v>628</v>
      </c>
      <c r="O256" s="7" t="s">
        <v>629</v>
      </c>
      <c r="P256" s="7" t="s">
        <v>32</v>
      </c>
      <c r="Q256" s="25" t="s">
        <v>630</v>
      </c>
      <c r="R256" s="7" t="s">
        <v>538</v>
      </c>
      <c r="S256" s="3" t="s">
        <v>71</v>
      </c>
    </row>
    <row r="257" spans="1:20" x14ac:dyDescent="0.25">
      <c r="A257" s="10">
        <v>46038</v>
      </c>
      <c r="B257" s="2" t="s">
        <v>624</v>
      </c>
      <c r="E257" s="3" t="s">
        <v>625</v>
      </c>
      <c r="G257" s="3" t="s">
        <v>48</v>
      </c>
      <c r="H257" s="34" t="s">
        <v>627</v>
      </c>
      <c r="I257" s="22">
        <v>250000</v>
      </c>
      <c r="J257" s="34"/>
      <c r="K257" s="22">
        <f t="shared" si="3"/>
        <v>250000</v>
      </c>
      <c r="L257" s="17"/>
      <c r="M257" s="23"/>
      <c r="Q257" s="25"/>
    </row>
    <row r="258" spans="1:20" x14ac:dyDescent="0.25">
      <c r="A258" s="10">
        <v>46038</v>
      </c>
      <c r="B258" s="2" t="s">
        <v>624</v>
      </c>
      <c r="E258" s="3" t="s">
        <v>625</v>
      </c>
      <c r="G258" s="3" t="s">
        <v>631</v>
      </c>
      <c r="H258" s="34" t="s">
        <v>627</v>
      </c>
      <c r="I258" s="22">
        <v>73135.67</v>
      </c>
      <c r="J258" s="34"/>
      <c r="K258" s="22">
        <f t="shared" si="3"/>
        <v>73135.67</v>
      </c>
      <c r="L258" s="17"/>
      <c r="M258" s="23"/>
      <c r="Q258" s="25"/>
    </row>
    <row r="259" spans="1:20" x14ac:dyDescent="0.25">
      <c r="A259" s="10">
        <v>46038</v>
      </c>
      <c r="B259" s="2" t="s">
        <v>624</v>
      </c>
      <c r="E259" s="3" t="s">
        <v>625</v>
      </c>
      <c r="G259" s="3" t="s">
        <v>48</v>
      </c>
      <c r="H259" s="34" t="s">
        <v>632</v>
      </c>
      <c r="I259" s="22">
        <f>39351.32+39351.32</f>
        <v>78702.64</v>
      </c>
      <c r="J259" s="34"/>
      <c r="K259" s="22">
        <f t="shared" si="3"/>
        <v>78702.64</v>
      </c>
      <c r="L259" s="17"/>
      <c r="M259" s="23"/>
      <c r="Q259" s="25"/>
    </row>
    <row r="260" spans="1:20" x14ac:dyDescent="0.25">
      <c r="A260" s="10">
        <v>46038</v>
      </c>
      <c r="B260" s="2" t="s">
        <v>624</v>
      </c>
      <c r="E260" s="3" t="s">
        <v>625</v>
      </c>
      <c r="G260" s="3" t="s">
        <v>48</v>
      </c>
      <c r="H260" s="34" t="s">
        <v>331</v>
      </c>
      <c r="I260" s="34"/>
      <c r="J260" s="41">
        <f>I256+I257+I258+I259</f>
        <v>499971.39</v>
      </c>
      <c r="K260" s="22">
        <f t="shared" si="3"/>
        <v>499971.39</v>
      </c>
      <c r="L260" s="17"/>
      <c r="M260" s="23"/>
      <c r="Q260" s="25"/>
    </row>
    <row r="261" spans="1:20" x14ac:dyDescent="0.25">
      <c r="A261" s="10">
        <v>46038</v>
      </c>
      <c r="B261" s="2" t="s">
        <v>633</v>
      </c>
      <c r="E261" s="3" t="s">
        <v>27</v>
      </c>
      <c r="F261" s="4">
        <v>438898.16</v>
      </c>
      <c r="G261" s="4" t="s">
        <v>48</v>
      </c>
      <c r="H261" s="22"/>
      <c r="I261" s="22"/>
      <c r="J261" s="22"/>
      <c r="K261" s="22">
        <f t="shared" si="3"/>
        <v>0</v>
      </c>
      <c r="L261" s="17">
        <v>438898.16</v>
      </c>
      <c r="M261" s="23" t="s">
        <v>41</v>
      </c>
      <c r="N261" s="1" t="s">
        <v>634</v>
      </c>
      <c r="O261" s="7" t="s">
        <v>635</v>
      </c>
      <c r="Q261" s="25" t="s">
        <v>636</v>
      </c>
      <c r="R261" s="7" t="s">
        <v>538</v>
      </c>
      <c r="S261" s="3" t="s">
        <v>71</v>
      </c>
      <c r="T261" s="3" t="s">
        <v>623</v>
      </c>
    </row>
    <row r="262" spans="1:20" ht="24" x14ac:dyDescent="0.25">
      <c r="A262" s="10">
        <v>46038</v>
      </c>
      <c r="B262" s="2" t="s">
        <v>637</v>
      </c>
      <c r="C262" s="2" t="s">
        <v>638</v>
      </c>
      <c r="E262" s="3" t="s">
        <v>27</v>
      </c>
      <c r="F262" s="4">
        <v>1400000</v>
      </c>
      <c r="G262" s="4" t="s">
        <v>48</v>
      </c>
      <c r="H262" s="22"/>
      <c r="I262" s="22"/>
      <c r="J262" s="22"/>
      <c r="K262" s="22">
        <f t="shared" si="3"/>
        <v>0</v>
      </c>
      <c r="L262" s="17"/>
      <c r="M262" s="23" t="s">
        <v>41</v>
      </c>
      <c r="N262" s="1" t="s">
        <v>639</v>
      </c>
      <c r="O262" s="7" t="s">
        <v>143</v>
      </c>
      <c r="Q262" s="25" t="s">
        <v>640</v>
      </c>
      <c r="R262" s="7" t="s">
        <v>641</v>
      </c>
      <c r="S262" s="3" t="s">
        <v>642</v>
      </c>
      <c r="T262" s="3" t="s">
        <v>643</v>
      </c>
    </row>
    <row r="263" spans="1:20" x14ac:dyDescent="0.25">
      <c r="A263" s="10">
        <v>46041</v>
      </c>
      <c r="B263" s="2" t="s">
        <v>644</v>
      </c>
      <c r="E263" s="3" t="s">
        <v>27</v>
      </c>
      <c r="F263" s="4">
        <v>867845.03</v>
      </c>
      <c r="G263" s="4" t="s">
        <v>48</v>
      </c>
      <c r="H263" s="22"/>
      <c r="I263" s="22"/>
      <c r="J263" s="22"/>
      <c r="K263" s="22">
        <f t="shared" si="3"/>
        <v>0</v>
      </c>
      <c r="L263" s="17"/>
      <c r="M263" s="23" t="s">
        <v>41</v>
      </c>
      <c r="N263" s="1" t="s">
        <v>645</v>
      </c>
      <c r="O263" s="7" t="s">
        <v>646</v>
      </c>
      <c r="Q263" s="7" t="s">
        <v>81</v>
      </c>
      <c r="R263" s="7" t="s">
        <v>641</v>
      </c>
      <c r="S263" s="3" t="s">
        <v>83</v>
      </c>
      <c r="T263" s="3" t="s">
        <v>647</v>
      </c>
    </row>
    <row r="264" spans="1:20" x14ac:dyDescent="0.25">
      <c r="A264" s="10">
        <v>46041</v>
      </c>
      <c r="B264" s="2" t="s">
        <v>648</v>
      </c>
      <c r="E264" s="3" t="s">
        <v>27</v>
      </c>
      <c r="F264" s="4">
        <f>132154.97</f>
        <v>132154.97</v>
      </c>
      <c r="G264" s="4" t="s">
        <v>48</v>
      </c>
      <c r="H264" s="22"/>
      <c r="I264" s="22"/>
      <c r="J264" s="22"/>
      <c r="K264" s="22">
        <f t="shared" si="3"/>
        <v>0</v>
      </c>
      <c r="L264" s="17"/>
      <c r="M264" s="23" t="s">
        <v>41</v>
      </c>
      <c r="N264" s="1" t="s">
        <v>645</v>
      </c>
      <c r="O264" s="7" t="s">
        <v>646</v>
      </c>
      <c r="Q264" s="7" t="s">
        <v>81</v>
      </c>
      <c r="R264" s="7" t="s">
        <v>641</v>
      </c>
      <c r="S264" s="3" t="s">
        <v>83</v>
      </c>
      <c r="T264" s="3" t="s">
        <v>649</v>
      </c>
    </row>
    <row r="265" spans="1:20" x14ac:dyDescent="0.25">
      <c r="A265" s="10">
        <v>46041</v>
      </c>
      <c r="B265" s="2" t="s">
        <v>650</v>
      </c>
      <c r="E265" s="3" t="s">
        <v>27</v>
      </c>
      <c r="F265" s="4">
        <v>300000</v>
      </c>
      <c r="G265" s="4" t="s">
        <v>48</v>
      </c>
      <c r="H265" s="22"/>
      <c r="I265" s="22"/>
      <c r="J265" s="22"/>
      <c r="K265" s="22">
        <f t="shared" si="3"/>
        <v>0</v>
      </c>
      <c r="L265" s="17"/>
      <c r="M265" s="23" t="s">
        <v>41</v>
      </c>
      <c r="N265" s="1" t="s">
        <v>651</v>
      </c>
      <c r="O265" s="7" t="s">
        <v>646</v>
      </c>
      <c r="Q265" s="7" t="s">
        <v>81</v>
      </c>
      <c r="R265" s="7" t="s">
        <v>641</v>
      </c>
      <c r="S265" s="3" t="s">
        <v>83</v>
      </c>
      <c r="T265" s="3" t="s">
        <v>649</v>
      </c>
    </row>
    <row r="266" spans="1:20" ht="24" x14ac:dyDescent="0.25">
      <c r="A266" s="10">
        <v>46041</v>
      </c>
      <c r="B266" s="2" t="s">
        <v>652</v>
      </c>
      <c r="E266" s="3" t="s">
        <v>27</v>
      </c>
      <c r="F266" s="4">
        <f>132154.97+300000</f>
        <v>432154.97</v>
      </c>
      <c r="G266" s="4" t="s">
        <v>48</v>
      </c>
      <c r="H266" s="34"/>
      <c r="I266" s="34"/>
      <c r="J266" s="34"/>
      <c r="K266" s="22">
        <f t="shared" si="3"/>
        <v>0</v>
      </c>
      <c r="L266" s="32"/>
      <c r="M266" s="23" t="s">
        <v>41</v>
      </c>
      <c r="N266" s="1" t="s">
        <v>653</v>
      </c>
      <c r="O266" s="7" t="s">
        <v>143</v>
      </c>
      <c r="Q266" s="25" t="s">
        <v>654</v>
      </c>
      <c r="R266" s="7" t="s">
        <v>641</v>
      </c>
      <c r="S266" s="3" t="s">
        <v>71</v>
      </c>
      <c r="T266" s="3" t="s">
        <v>623</v>
      </c>
    </row>
    <row r="267" spans="1:20" ht="36" x14ac:dyDescent="0.25">
      <c r="A267" s="10">
        <v>46041</v>
      </c>
      <c r="B267" s="2" t="s">
        <v>655</v>
      </c>
      <c r="E267" s="3" t="s">
        <v>656</v>
      </c>
      <c r="F267" s="4">
        <v>1000000</v>
      </c>
      <c r="G267" s="4" t="s">
        <v>48</v>
      </c>
      <c r="H267" s="22"/>
      <c r="I267" s="22"/>
      <c r="J267" s="22"/>
      <c r="K267" s="22">
        <f t="shared" si="3"/>
        <v>0</v>
      </c>
      <c r="L267" s="17">
        <v>1000000</v>
      </c>
      <c r="M267" s="23" t="s">
        <v>41</v>
      </c>
      <c r="N267" s="1" t="s">
        <v>657</v>
      </c>
      <c r="O267" s="7" t="s">
        <v>598</v>
      </c>
      <c r="Q267" s="25" t="s">
        <v>658</v>
      </c>
      <c r="R267" s="7" t="s">
        <v>641</v>
      </c>
      <c r="S267" s="3" t="s">
        <v>315</v>
      </c>
      <c r="T267" s="3" t="s">
        <v>659</v>
      </c>
    </row>
    <row r="268" spans="1:20" x14ac:dyDescent="0.25">
      <c r="A268" s="10">
        <v>46041</v>
      </c>
      <c r="B268" s="2" t="s">
        <v>660</v>
      </c>
      <c r="E268" s="3" t="s">
        <v>661</v>
      </c>
      <c r="F268" s="4">
        <v>10000</v>
      </c>
      <c r="G268" s="4" t="s">
        <v>48</v>
      </c>
      <c r="H268" s="22"/>
      <c r="I268" s="22"/>
      <c r="J268" s="22"/>
      <c r="K268" s="22">
        <f t="shared" si="3"/>
        <v>0</v>
      </c>
      <c r="L268" s="17"/>
      <c r="M268" s="23" t="s">
        <v>41</v>
      </c>
      <c r="N268" s="1" t="s">
        <v>662</v>
      </c>
    </row>
    <row r="269" spans="1:20" x14ac:dyDescent="0.25">
      <c r="A269" s="10">
        <v>46041</v>
      </c>
      <c r="B269" s="2" t="s">
        <v>663</v>
      </c>
      <c r="C269" s="2" t="s">
        <v>74</v>
      </c>
      <c r="D269" s="2" t="s">
        <v>664</v>
      </c>
      <c r="E269" s="3" t="s">
        <v>76</v>
      </c>
      <c r="F269" s="4">
        <v>3060</v>
      </c>
      <c r="G269" s="4" t="s">
        <v>128</v>
      </c>
      <c r="H269" s="22"/>
      <c r="I269" s="22"/>
      <c r="J269" s="22"/>
      <c r="K269" s="22">
        <f t="shared" si="3"/>
        <v>0</v>
      </c>
      <c r="L269" s="17">
        <v>3060</v>
      </c>
      <c r="M269" s="23" t="s">
        <v>41</v>
      </c>
      <c r="N269" s="1" t="s">
        <v>665</v>
      </c>
      <c r="O269" s="28" t="s">
        <v>80</v>
      </c>
      <c r="P269" s="28"/>
      <c r="Q269" s="7" t="s">
        <v>81</v>
      </c>
      <c r="R269" s="7" t="s">
        <v>538</v>
      </c>
      <c r="S269" s="3" t="s">
        <v>83</v>
      </c>
      <c r="T269" s="3" t="s">
        <v>248</v>
      </c>
    </row>
    <row r="270" spans="1:20" x14ac:dyDescent="0.25">
      <c r="A270" s="10">
        <v>46041</v>
      </c>
      <c r="B270" s="2" t="s">
        <v>666</v>
      </c>
      <c r="E270" s="3" t="s">
        <v>27</v>
      </c>
      <c r="F270" s="4">
        <v>231954.97</v>
      </c>
      <c r="G270" s="4" t="s">
        <v>326</v>
      </c>
      <c r="H270" s="22"/>
      <c r="I270" s="22"/>
      <c r="J270" s="22"/>
      <c r="K270" s="22">
        <f t="shared" si="3"/>
        <v>0</v>
      </c>
      <c r="L270" s="17">
        <v>231954.97</v>
      </c>
      <c r="M270" s="23" t="s">
        <v>41</v>
      </c>
      <c r="N270" s="1" t="s">
        <v>667</v>
      </c>
      <c r="O270" s="7" t="s">
        <v>668</v>
      </c>
      <c r="Q270" s="7" t="s">
        <v>81</v>
      </c>
      <c r="R270" s="7" t="s">
        <v>641</v>
      </c>
      <c r="S270" s="3" t="s">
        <v>83</v>
      </c>
      <c r="T270" s="3" t="s">
        <v>647</v>
      </c>
    </row>
    <row r="271" spans="1:20" x14ac:dyDescent="0.25">
      <c r="A271" s="10">
        <v>46041</v>
      </c>
      <c r="B271" s="2" t="s">
        <v>669</v>
      </c>
      <c r="E271" s="3" t="s">
        <v>351</v>
      </c>
      <c r="F271" s="4">
        <v>300000</v>
      </c>
      <c r="G271" s="3" t="s">
        <v>167</v>
      </c>
      <c r="H271" s="34"/>
      <c r="I271" s="34"/>
      <c r="J271" s="34"/>
      <c r="K271" s="22">
        <f t="shared" si="3"/>
        <v>0</v>
      </c>
      <c r="L271" s="17">
        <v>300000</v>
      </c>
      <c r="M271" s="23" t="s">
        <v>41</v>
      </c>
      <c r="N271" s="1" t="s">
        <v>670</v>
      </c>
      <c r="O271" s="7" t="s">
        <v>81</v>
      </c>
      <c r="Q271" s="7" t="s">
        <v>81</v>
      </c>
      <c r="R271" s="7" t="s">
        <v>641</v>
      </c>
      <c r="S271" s="3" t="s">
        <v>83</v>
      </c>
      <c r="T271" s="3" t="s">
        <v>647</v>
      </c>
    </row>
    <row r="272" spans="1:20" ht="24" x14ac:dyDescent="0.25">
      <c r="A272" s="10">
        <v>46041</v>
      </c>
      <c r="B272" s="2" t="s">
        <v>671</v>
      </c>
      <c r="C272" s="2" t="s">
        <v>95</v>
      </c>
      <c r="D272" s="2" t="s">
        <v>672</v>
      </c>
      <c r="E272" s="3" t="s">
        <v>222</v>
      </c>
      <c r="F272" s="4">
        <v>44000</v>
      </c>
      <c r="G272" s="4" t="s">
        <v>268</v>
      </c>
      <c r="H272" s="22"/>
      <c r="I272" s="22"/>
      <c r="J272" s="22"/>
      <c r="K272" s="22">
        <f t="shared" si="3"/>
        <v>0</v>
      </c>
      <c r="L272" s="17"/>
      <c r="M272" s="6" t="s">
        <v>581</v>
      </c>
      <c r="N272" s="1" t="s">
        <v>673</v>
      </c>
    </row>
    <row r="273" spans="1:23" ht="24" x14ac:dyDescent="0.25">
      <c r="A273" s="10">
        <v>46041</v>
      </c>
      <c r="B273" s="2" t="s">
        <v>674</v>
      </c>
      <c r="C273" s="2" t="s">
        <v>95</v>
      </c>
      <c r="D273" s="2" t="s">
        <v>675</v>
      </c>
      <c r="E273" s="3" t="s">
        <v>222</v>
      </c>
      <c r="F273" s="4">
        <v>58445</v>
      </c>
      <c r="G273" s="4" t="s">
        <v>28</v>
      </c>
      <c r="H273" s="22"/>
      <c r="I273" s="22"/>
      <c r="J273" s="22"/>
      <c r="K273" s="22">
        <f t="shared" si="3"/>
        <v>0</v>
      </c>
      <c r="L273" s="17"/>
      <c r="M273" s="23" t="s">
        <v>41</v>
      </c>
      <c r="N273" s="1" t="s">
        <v>676</v>
      </c>
    </row>
    <row r="274" spans="1:23" ht="24" x14ac:dyDescent="0.25">
      <c r="A274" s="10">
        <v>46041</v>
      </c>
      <c r="B274" s="2" t="s">
        <v>677</v>
      </c>
      <c r="C274" s="2" t="s">
        <v>678</v>
      </c>
      <c r="D274" s="2" t="s">
        <v>679</v>
      </c>
      <c r="E274" s="3" t="s">
        <v>680</v>
      </c>
      <c r="F274" s="4">
        <f>75700-(75700*0.01)</f>
        <v>74943</v>
      </c>
      <c r="G274" s="4" t="s">
        <v>28</v>
      </c>
      <c r="H274" s="22"/>
      <c r="I274" s="22"/>
      <c r="J274" s="22"/>
      <c r="K274" s="22">
        <f t="shared" si="3"/>
        <v>0</v>
      </c>
      <c r="L274" s="17"/>
      <c r="M274" s="23" t="s">
        <v>41</v>
      </c>
      <c r="N274" s="1" t="s">
        <v>681</v>
      </c>
    </row>
    <row r="275" spans="1:23" x14ac:dyDescent="0.25">
      <c r="A275" s="10">
        <v>46041</v>
      </c>
      <c r="B275" s="2" t="s">
        <v>682</v>
      </c>
      <c r="D275" s="31" t="s">
        <v>483</v>
      </c>
      <c r="E275" s="3" t="s">
        <v>683</v>
      </c>
      <c r="F275" s="4">
        <f>5000+1200+800</f>
        <v>7000</v>
      </c>
      <c r="G275" s="4" t="s">
        <v>204</v>
      </c>
      <c r="H275" s="22"/>
      <c r="I275" s="22"/>
      <c r="J275" s="22"/>
      <c r="K275" s="22">
        <f t="shared" si="3"/>
        <v>0</v>
      </c>
      <c r="L275" s="17"/>
      <c r="M275" s="23" t="s">
        <v>41</v>
      </c>
      <c r="N275" s="8" t="s">
        <v>684</v>
      </c>
    </row>
    <row r="276" spans="1:23" x14ac:dyDescent="0.25">
      <c r="A276" s="10">
        <v>46041</v>
      </c>
      <c r="B276" s="2" t="s">
        <v>685</v>
      </c>
      <c r="C276" s="2" t="s">
        <v>396</v>
      </c>
      <c r="D276" s="2" t="s">
        <v>686</v>
      </c>
      <c r="E276" s="3" t="s">
        <v>233</v>
      </c>
      <c r="F276" s="4">
        <f>13247-6600</f>
        <v>6647</v>
      </c>
      <c r="G276" s="4" t="s">
        <v>211</v>
      </c>
      <c r="H276" s="22" t="s">
        <v>240</v>
      </c>
      <c r="I276" s="22">
        <v>6647</v>
      </c>
      <c r="J276" s="22"/>
      <c r="K276" s="22">
        <f t="shared" si="3"/>
        <v>6647</v>
      </c>
      <c r="L276" s="17"/>
      <c r="M276" s="6" t="s">
        <v>581</v>
      </c>
      <c r="N276" s="1" t="s">
        <v>687</v>
      </c>
    </row>
    <row r="277" spans="1:23" x14ac:dyDescent="0.25">
      <c r="A277" s="10">
        <v>46041</v>
      </c>
      <c r="B277" s="2" t="s">
        <v>685</v>
      </c>
      <c r="C277" s="2" t="s">
        <v>396</v>
      </c>
      <c r="D277" s="2" t="s">
        <v>686</v>
      </c>
      <c r="E277" s="3" t="s">
        <v>233</v>
      </c>
      <c r="G277" s="4" t="s">
        <v>48</v>
      </c>
      <c r="H277" s="22" t="s">
        <v>49</v>
      </c>
      <c r="I277" s="22"/>
      <c r="J277" s="22">
        <f>I276</f>
        <v>6647</v>
      </c>
      <c r="K277" s="22">
        <f t="shared" si="3"/>
        <v>6647</v>
      </c>
      <c r="L277" s="17"/>
    </row>
    <row r="278" spans="1:23" x14ac:dyDescent="0.25">
      <c r="A278" s="10">
        <v>46042</v>
      </c>
      <c r="B278" s="2" t="s">
        <v>688</v>
      </c>
      <c r="C278" s="2" t="s">
        <v>141</v>
      </c>
      <c r="E278" s="3" t="s">
        <v>27</v>
      </c>
      <c r="F278" s="4">
        <v>77210</v>
      </c>
      <c r="G278" s="4" t="s">
        <v>48</v>
      </c>
      <c r="H278" s="22"/>
      <c r="I278" s="22"/>
      <c r="J278" s="22"/>
      <c r="K278" s="22">
        <f t="shared" si="3"/>
        <v>0</v>
      </c>
      <c r="L278" s="17"/>
      <c r="M278" s="23" t="s">
        <v>41</v>
      </c>
      <c r="N278" s="1" t="s">
        <v>634</v>
      </c>
    </row>
    <row r="279" spans="1:23" ht="24" x14ac:dyDescent="0.25">
      <c r="A279" s="10">
        <v>46043</v>
      </c>
      <c r="B279" s="2" t="s">
        <v>689</v>
      </c>
      <c r="C279" s="2" t="s">
        <v>690</v>
      </c>
      <c r="D279" s="2" t="s">
        <v>691</v>
      </c>
      <c r="E279" s="3" t="s">
        <v>692</v>
      </c>
      <c r="F279" s="4">
        <v>965.83</v>
      </c>
      <c r="G279" s="4" t="s">
        <v>98</v>
      </c>
      <c r="H279" s="22"/>
      <c r="I279" s="22"/>
      <c r="J279" s="22"/>
      <c r="K279" s="22">
        <f t="shared" si="3"/>
        <v>0</v>
      </c>
      <c r="L279" s="17"/>
      <c r="M279" s="23" t="s">
        <v>41</v>
      </c>
      <c r="N279" s="1" t="s">
        <v>693</v>
      </c>
    </row>
    <row r="280" spans="1:23" ht="24" x14ac:dyDescent="0.25">
      <c r="A280" s="10">
        <v>46043</v>
      </c>
      <c r="B280" s="2" t="s">
        <v>694</v>
      </c>
      <c r="C280" s="2" t="s">
        <v>95</v>
      </c>
      <c r="D280" s="2" t="s">
        <v>695</v>
      </c>
      <c r="E280" s="3" t="s">
        <v>222</v>
      </c>
      <c r="F280" s="4">
        <v>1750</v>
      </c>
      <c r="G280" s="4" t="s">
        <v>128</v>
      </c>
      <c r="H280" s="22"/>
      <c r="I280" s="22"/>
      <c r="J280" s="22"/>
      <c r="K280" s="22">
        <f t="shared" si="3"/>
        <v>0</v>
      </c>
      <c r="L280" s="17"/>
      <c r="M280" s="23" t="s">
        <v>41</v>
      </c>
      <c r="N280" s="1" t="s">
        <v>696</v>
      </c>
    </row>
    <row r="281" spans="1:23" ht="24" x14ac:dyDescent="0.25">
      <c r="A281" s="10">
        <v>46043</v>
      </c>
      <c r="B281" s="2" t="s">
        <v>697</v>
      </c>
      <c r="C281" s="2" t="s">
        <v>95</v>
      </c>
      <c r="D281" s="2" t="s">
        <v>698</v>
      </c>
      <c r="E281" s="3" t="s">
        <v>293</v>
      </c>
      <c r="F281" s="4">
        <v>14500</v>
      </c>
      <c r="G281" s="4" t="s">
        <v>128</v>
      </c>
      <c r="H281" s="22"/>
      <c r="I281" s="22"/>
      <c r="J281" s="22"/>
      <c r="K281" s="22">
        <f t="shared" si="3"/>
        <v>0</v>
      </c>
      <c r="L281" s="17"/>
      <c r="M281" s="23" t="s">
        <v>41</v>
      </c>
      <c r="N281" s="1" t="s">
        <v>699</v>
      </c>
    </row>
    <row r="282" spans="1:23" ht="36" x14ac:dyDescent="0.25">
      <c r="A282" s="10">
        <v>46043</v>
      </c>
      <c r="B282" s="2" t="s">
        <v>700</v>
      </c>
      <c r="C282" s="2" t="s">
        <v>95</v>
      </c>
      <c r="D282" s="2" t="s">
        <v>701</v>
      </c>
      <c r="E282" s="3" t="s">
        <v>261</v>
      </c>
      <c r="F282" s="4">
        <v>4163</v>
      </c>
      <c r="G282" s="4" t="s">
        <v>48</v>
      </c>
      <c r="H282" s="22" t="s">
        <v>78</v>
      </c>
      <c r="I282" s="22">
        <v>4163</v>
      </c>
      <c r="J282" s="22"/>
      <c r="K282" s="22">
        <f t="shared" si="3"/>
        <v>4163</v>
      </c>
      <c r="L282" s="17">
        <v>4163</v>
      </c>
      <c r="M282" s="23" t="s">
        <v>41</v>
      </c>
      <c r="N282" s="1" t="s">
        <v>702</v>
      </c>
      <c r="O282" s="28" t="s">
        <v>80</v>
      </c>
      <c r="P282" s="28"/>
      <c r="Q282" s="7" t="s">
        <v>703</v>
      </c>
      <c r="R282" s="7" t="s">
        <v>704</v>
      </c>
      <c r="S282" s="3" t="s">
        <v>609</v>
      </c>
      <c r="T282" s="3" t="s">
        <v>569</v>
      </c>
      <c r="W282" s="9" t="s">
        <v>705</v>
      </c>
    </row>
    <row r="283" spans="1:23" x14ac:dyDescent="0.25">
      <c r="A283" s="10">
        <v>46043</v>
      </c>
      <c r="B283" s="2" t="s">
        <v>700</v>
      </c>
      <c r="C283" s="2" t="s">
        <v>95</v>
      </c>
      <c r="D283" s="2" t="s">
        <v>701</v>
      </c>
      <c r="E283" s="3" t="s">
        <v>261</v>
      </c>
      <c r="G283" s="4" t="s">
        <v>48</v>
      </c>
      <c r="H283" s="22" t="s">
        <v>706</v>
      </c>
      <c r="I283" s="22"/>
      <c r="J283" s="22">
        <v>4163</v>
      </c>
      <c r="K283" s="22">
        <f t="shared" si="3"/>
        <v>4163</v>
      </c>
      <c r="L283" s="17"/>
      <c r="M283" s="23"/>
      <c r="O283" s="28"/>
      <c r="P283" s="28"/>
    </row>
    <row r="284" spans="1:23" ht="24" x14ac:dyDescent="0.25">
      <c r="A284" s="10">
        <v>46043</v>
      </c>
      <c r="B284" s="2" t="s">
        <v>707</v>
      </c>
      <c r="C284" s="2" t="s">
        <v>708</v>
      </c>
      <c r="D284" s="2" t="s">
        <v>709</v>
      </c>
      <c r="E284" s="3" t="s">
        <v>710</v>
      </c>
      <c r="F284" s="4">
        <f>(44853/1.12)+(44853/1.12*0.12)-(44853/1.12*0.01)</f>
        <v>44452.526785714283</v>
      </c>
      <c r="G284" s="4" t="s">
        <v>128</v>
      </c>
      <c r="H284" s="22"/>
      <c r="I284" s="22"/>
      <c r="J284" s="22"/>
      <c r="K284" s="22">
        <f t="shared" si="3"/>
        <v>0</v>
      </c>
      <c r="L284" s="17"/>
      <c r="M284" s="23" t="s">
        <v>41</v>
      </c>
      <c r="N284" s="1" t="s">
        <v>711</v>
      </c>
      <c r="O284" s="24" t="s">
        <v>712</v>
      </c>
      <c r="P284" s="24"/>
      <c r="T284" s="3" t="s">
        <v>713</v>
      </c>
    </row>
    <row r="285" spans="1:23" ht="36" x14ac:dyDescent="0.25">
      <c r="A285" s="10">
        <v>46043</v>
      </c>
      <c r="B285" s="2" t="s">
        <v>714</v>
      </c>
      <c r="C285" s="2" t="s">
        <v>715</v>
      </c>
      <c r="D285" s="2" t="s">
        <v>716</v>
      </c>
      <c r="E285" s="3" t="s">
        <v>717</v>
      </c>
      <c r="F285" s="4">
        <f>(2054.3/1.12)+(2054.3/1.12*0.12)-(2054.3/1.12*0.01)</f>
        <v>2035.9580357142859</v>
      </c>
      <c r="G285" s="4" t="s">
        <v>128</v>
      </c>
      <c r="H285" s="34"/>
      <c r="I285" s="34"/>
      <c r="J285" s="34"/>
      <c r="K285" s="22">
        <f t="shared" si="3"/>
        <v>0</v>
      </c>
      <c r="L285" s="32"/>
      <c r="M285" s="23" t="s">
        <v>41</v>
      </c>
      <c r="N285" s="1" t="s">
        <v>718</v>
      </c>
    </row>
    <row r="286" spans="1:23" ht="24" x14ac:dyDescent="0.25">
      <c r="A286" s="10">
        <v>46043</v>
      </c>
      <c r="B286" s="2" t="s">
        <v>719</v>
      </c>
      <c r="C286" s="2" t="s">
        <v>720</v>
      </c>
      <c r="D286" s="2" t="s">
        <v>716</v>
      </c>
      <c r="E286" s="3" t="s">
        <v>455</v>
      </c>
      <c r="F286" s="4">
        <f>(2874/1.12)+(2874/1.12*0.12)-(2874/1.12*0.01)</f>
        <v>2848.3392857142858</v>
      </c>
      <c r="G286" s="4" t="s">
        <v>128</v>
      </c>
      <c r="H286" s="22"/>
      <c r="I286" s="22"/>
      <c r="J286" s="22"/>
      <c r="K286" s="22">
        <f t="shared" si="3"/>
        <v>0</v>
      </c>
      <c r="L286" s="17">
        <f>2651.12</f>
        <v>2651.12</v>
      </c>
      <c r="M286" s="23" t="s">
        <v>41</v>
      </c>
      <c r="N286" s="1" t="s">
        <v>721</v>
      </c>
      <c r="O286" s="40">
        <f>F286-L286</f>
        <v>197.21928571428589</v>
      </c>
      <c r="P286" s="40"/>
    </row>
    <row r="287" spans="1:23" ht="24" x14ac:dyDescent="0.25">
      <c r="A287" s="10">
        <v>46043</v>
      </c>
      <c r="B287" s="2" t="s">
        <v>722</v>
      </c>
      <c r="C287" s="2" t="s">
        <v>723</v>
      </c>
      <c r="E287" s="3" t="s">
        <v>27</v>
      </c>
      <c r="F287" s="4">
        <v>1425000</v>
      </c>
      <c r="G287" s="4" t="s">
        <v>48</v>
      </c>
      <c r="H287" s="22" t="s">
        <v>81</v>
      </c>
      <c r="I287" s="22">
        <v>1425000</v>
      </c>
      <c r="J287" s="22"/>
      <c r="K287" s="22">
        <f t="shared" si="3"/>
        <v>1425000</v>
      </c>
      <c r="L287" s="17">
        <v>1425000</v>
      </c>
      <c r="M287" s="23" t="s">
        <v>41</v>
      </c>
      <c r="N287" s="1" t="s">
        <v>724</v>
      </c>
      <c r="O287" s="7" t="s">
        <v>143</v>
      </c>
      <c r="Q287" s="25" t="s">
        <v>725</v>
      </c>
      <c r="R287" s="7" t="s">
        <v>704</v>
      </c>
      <c r="S287" s="3" t="s">
        <v>145</v>
      </c>
      <c r="T287" s="3" t="s">
        <v>324</v>
      </c>
    </row>
    <row r="288" spans="1:23" x14ac:dyDescent="0.25">
      <c r="A288" s="10">
        <v>46043</v>
      </c>
      <c r="B288" s="2" t="s">
        <v>722</v>
      </c>
      <c r="C288" s="2" t="s">
        <v>723</v>
      </c>
      <c r="E288" s="3" t="s">
        <v>27</v>
      </c>
      <c r="F288" s="4">
        <v>1425000</v>
      </c>
      <c r="G288" s="4" t="s">
        <v>48</v>
      </c>
      <c r="H288" s="22" t="s">
        <v>29</v>
      </c>
      <c r="I288" s="22"/>
      <c r="J288" s="22">
        <f>I287</f>
        <v>1425000</v>
      </c>
      <c r="K288" s="22">
        <f t="shared" si="3"/>
        <v>1425000</v>
      </c>
      <c r="L288" s="17"/>
      <c r="M288" s="23"/>
      <c r="Q288" s="25"/>
    </row>
    <row r="289" spans="1:20" ht="24" x14ac:dyDescent="0.25">
      <c r="A289" s="10">
        <v>46043</v>
      </c>
      <c r="B289" s="2" t="s">
        <v>726</v>
      </c>
      <c r="C289" s="2" t="s">
        <v>727</v>
      </c>
      <c r="E289" s="3" t="s">
        <v>27</v>
      </c>
      <c r="F289" s="4">
        <v>5600000</v>
      </c>
      <c r="G289" s="4" t="s">
        <v>48</v>
      </c>
      <c r="H289" s="22" t="s">
        <v>360</v>
      </c>
      <c r="I289" s="22">
        <v>5600000</v>
      </c>
      <c r="J289" s="34"/>
      <c r="K289" s="22">
        <f t="shared" si="3"/>
        <v>5600000</v>
      </c>
      <c r="L289" s="17">
        <v>5600000</v>
      </c>
      <c r="M289" s="23" t="s">
        <v>41</v>
      </c>
      <c r="N289" s="1" t="s">
        <v>728</v>
      </c>
      <c r="O289" s="7" t="s">
        <v>313</v>
      </c>
      <c r="Q289" s="25" t="s">
        <v>729</v>
      </c>
      <c r="R289" s="7" t="s">
        <v>704</v>
      </c>
      <c r="S289" s="3" t="s">
        <v>145</v>
      </c>
      <c r="T289" s="3" t="s">
        <v>324</v>
      </c>
    </row>
    <row r="290" spans="1:20" x14ac:dyDescent="0.25">
      <c r="A290" s="10">
        <v>46043</v>
      </c>
      <c r="B290" s="2" t="s">
        <v>726</v>
      </c>
      <c r="C290" s="2" t="s">
        <v>727</v>
      </c>
      <c r="E290" s="3" t="s">
        <v>27</v>
      </c>
      <c r="G290" s="4" t="s">
        <v>48</v>
      </c>
      <c r="H290" s="22" t="s">
        <v>29</v>
      </c>
      <c r="I290" s="34"/>
      <c r="J290" s="35">
        <f>I289</f>
        <v>5600000</v>
      </c>
      <c r="K290" s="22">
        <f t="shared" si="3"/>
        <v>5600000</v>
      </c>
      <c r="L290" s="17"/>
      <c r="M290" s="23"/>
      <c r="Q290" s="25"/>
    </row>
    <row r="291" spans="1:20" x14ac:dyDescent="0.25">
      <c r="A291" s="10">
        <v>46043</v>
      </c>
      <c r="B291" s="2" t="s">
        <v>730</v>
      </c>
      <c r="C291" s="2" t="s">
        <v>310</v>
      </c>
      <c r="E291" s="3" t="s">
        <v>27</v>
      </c>
      <c r="F291" s="4">
        <v>300000</v>
      </c>
      <c r="G291" s="4" t="s">
        <v>326</v>
      </c>
      <c r="H291" s="22" t="s">
        <v>731</v>
      </c>
      <c r="I291" s="22">
        <v>300000</v>
      </c>
      <c r="J291" s="22"/>
      <c r="K291" s="22">
        <f t="shared" si="3"/>
        <v>300000</v>
      </c>
      <c r="L291" s="17">
        <v>300000</v>
      </c>
      <c r="M291" s="23" t="s">
        <v>41</v>
      </c>
      <c r="N291" s="1" t="s">
        <v>732</v>
      </c>
      <c r="O291" s="7" t="s">
        <v>116</v>
      </c>
      <c r="Q291" s="7" t="s">
        <v>81</v>
      </c>
      <c r="R291" s="7" t="s">
        <v>704</v>
      </c>
      <c r="S291" s="3" t="s">
        <v>83</v>
      </c>
      <c r="T291" s="3" t="s">
        <v>733</v>
      </c>
    </row>
    <row r="292" spans="1:20" x14ac:dyDescent="0.25">
      <c r="A292" s="10">
        <v>46043</v>
      </c>
      <c r="B292" s="2" t="s">
        <v>730</v>
      </c>
      <c r="C292" s="2" t="s">
        <v>310</v>
      </c>
      <c r="E292" s="3" t="s">
        <v>27</v>
      </c>
      <c r="G292" s="4" t="s">
        <v>48</v>
      </c>
      <c r="H292" s="22" t="s">
        <v>81</v>
      </c>
      <c r="I292" s="22"/>
      <c r="J292" s="22">
        <f>I291</f>
        <v>300000</v>
      </c>
      <c r="K292" s="22">
        <f t="shared" si="3"/>
        <v>300000</v>
      </c>
      <c r="L292" s="17"/>
    </row>
    <row r="293" spans="1:20" x14ac:dyDescent="0.25">
      <c r="A293" s="10">
        <v>46043</v>
      </c>
      <c r="B293" s="2" t="s">
        <v>734</v>
      </c>
      <c r="E293" s="3" t="s">
        <v>467</v>
      </c>
      <c r="F293" s="4">
        <v>625000</v>
      </c>
      <c r="G293" s="4" t="s">
        <v>48</v>
      </c>
      <c r="H293" s="22" t="s">
        <v>735</v>
      </c>
      <c r="I293" s="22">
        <v>625000</v>
      </c>
      <c r="J293" s="22"/>
      <c r="K293" s="22">
        <f t="shared" si="3"/>
        <v>625000</v>
      </c>
      <c r="L293" s="17">
        <v>625000</v>
      </c>
      <c r="M293" s="23" t="s">
        <v>41</v>
      </c>
      <c r="N293" s="1" t="s">
        <v>736</v>
      </c>
      <c r="O293" s="7" t="s">
        <v>737</v>
      </c>
      <c r="Q293" s="7" t="s">
        <v>81</v>
      </c>
      <c r="R293" s="7" t="s">
        <v>704</v>
      </c>
      <c r="S293" s="3" t="s">
        <v>83</v>
      </c>
      <c r="T293" s="3" t="s">
        <v>733</v>
      </c>
    </row>
    <row r="294" spans="1:20" x14ac:dyDescent="0.25">
      <c r="A294" s="10">
        <v>46043</v>
      </c>
      <c r="B294" s="2" t="s">
        <v>734</v>
      </c>
      <c r="E294" s="3" t="s">
        <v>467</v>
      </c>
      <c r="G294" s="4" t="s">
        <v>48</v>
      </c>
      <c r="H294" s="22" t="s">
        <v>81</v>
      </c>
      <c r="I294" s="22"/>
      <c r="J294" s="22">
        <f>I293</f>
        <v>625000</v>
      </c>
      <c r="K294" s="22">
        <f t="shared" si="3"/>
        <v>625000</v>
      </c>
      <c r="L294" s="17"/>
      <c r="M294" s="23"/>
    </row>
    <row r="295" spans="1:20" ht="36" x14ac:dyDescent="0.25">
      <c r="A295" s="10">
        <v>46043</v>
      </c>
      <c r="B295" s="2" t="s">
        <v>738</v>
      </c>
      <c r="C295" s="2" t="s">
        <v>25</v>
      </c>
      <c r="D295" s="2" t="s">
        <v>203</v>
      </c>
      <c r="E295" s="3" t="s">
        <v>27</v>
      </c>
      <c r="F295" s="4">
        <v>2578436.2200000002</v>
      </c>
      <c r="G295" s="4" t="s">
        <v>739</v>
      </c>
      <c r="H295" s="22" t="s">
        <v>344</v>
      </c>
      <c r="I295" s="22">
        <f>2578436.22</f>
        <v>2578436.2200000002</v>
      </c>
      <c r="J295" s="22"/>
      <c r="K295" s="22">
        <f t="shared" si="3"/>
        <v>2578436.2200000002</v>
      </c>
      <c r="L295" s="17">
        <v>2578436.2200000002</v>
      </c>
      <c r="M295" s="23" t="s">
        <v>41</v>
      </c>
      <c r="N295" s="1" t="s">
        <v>740</v>
      </c>
      <c r="O295" s="24" t="s">
        <v>741</v>
      </c>
      <c r="P295" s="24" t="s">
        <v>216</v>
      </c>
      <c r="Q295" s="24" t="s">
        <v>741</v>
      </c>
      <c r="R295" s="7" t="s">
        <v>538</v>
      </c>
      <c r="S295" s="3" t="s">
        <v>35</v>
      </c>
    </row>
    <row r="296" spans="1:20" x14ac:dyDescent="0.25">
      <c r="A296" s="10">
        <v>46043</v>
      </c>
      <c r="B296" s="2" t="s">
        <v>738</v>
      </c>
      <c r="C296" s="2" t="s">
        <v>25</v>
      </c>
      <c r="D296" s="2" t="s">
        <v>203</v>
      </c>
      <c r="E296" s="3" t="s">
        <v>27</v>
      </c>
      <c r="G296" s="4" t="s">
        <v>739</v>
      </c>
      <c r="H296" s="22" t="s">
        <v>742</v>
      </c>
      <c r="I296" s="22"/>
      <c r="J296" s="22">
        <f>I295</f>
        <v>2578436.2200000002</v>
      </c>
      <c r="K296" s="22">
        <f t="shared" si="3"/>
        <v>2578436.2200000002</v>
      </c>
      <c r="L296" s="17"/>
      <c r="M296" s="23"/>
      <c r="O296" s="24"/>
      <c r="P296" s="24"/>
      <c r="Q296" s="24"/>
    </row>
    <row r="297" spans="1:20" ht="24" x14ac:dyDescent="0.25">
      <c r="A297" s="10">
        <v>46043</v>
      </c>
      <c r="B297" s="2" t="s">
        <v>743</v>
      </c>
      <c r="C297" s="2" t="s">
        <v>310</v>
      </c>
      <c r="E297" s="3" t="s">
        <v>27</v>
      </c>
      <c r="F297" s="4">
        <v>2578436.2200000002</v>
      </c>
      <c r="G297" s="4" t="s">
        <v>48</v>
      </c>
      <c r="H297" s="22" t="s">
        <v>29</v>
      </c>
      <c r="I297" s="22">
        <v>2578436.2200000002</v>
      </c>
      <c r="J297" s="22"/>
      <c r="K297" s="22">
        <f t="shared" si="3"/>
        <v>2578436.2200000002</v>
      </c>
      <c r="L297" s="17">
        <v>2578436.2200000002</v>
      </c>
      <c r="M297" s="23" t="s">
        <v>41</v>
      </c>
      <c r="N297" s="1" t="s">
        <v>744</v>
      </c>
      <c r="O297" s="7" t="s">
        <v>745</v>
      </c>
      <c r="Q297" s="25" t="s">
        <v>746</v>
      </c>
      <c r="R297" s="7" t="s">
        <v>747</v>
      </c>
      <c r="S297" s="3" t="s">
        <v>343</v>
      </c>
      <c r="T297" s="3" t="s">
        <v>748</v>
      </c>
    </row>
    <row r="298" spans="1:20" x14ac:dyDescent="0.25">
      <c r="A298" s="10">
        <v>46043</v>
      </c>
      <c r="B298" s="2" t="s">
        <v>743</v>
      </c>
      <c r="C298" s="2" t="s">
        <v>310</v>
      </c>
      <c r="E298" s="3" t="s">
        <v>27</v>
      </c>
      <c r="G298" s="4" t="s">
        <v>48</v>
      </c>
      <c r="H298" s="22" t="s">
        <v>344</v>
      </c>
      <c r="I298" s="22"/>
      <c r="J298" s="22">
        <f>I297</f>
        <v>2578436.2200000002</v>
      </c>
      <c r="K298" s="22">
        <f t="shared" si="3"/>
        <v>2578436.2200000002</v>
      </c>
      <c r="L298" s="17"/>
      <c r="M298" s="23"/>
      <c r="Q298" s="25"/>
    </row>
    <row r="299" spans="1:20" x14ac:dyDescent="0.25">
      <c r="A299" s="10">
        <v>46044</v>
      </c>
      <c r="B299" s="2" t="s">
        <v>749</v>
      </c>
      <c r="E299" s="3" t="s">
        <v>750</v>
      </c>
      <c r="F299" s="3" t="s">
        <v>751</v>
      </c>
      <c r="G299" s="3"/>
      <c r="H299" s="34"/>
      <c r="I299" s="34"/>
      <c r="J299" s="34"/>
      <c r="K299" s="22">
        <f t="shared" si="3"/>
        <v>0</v>
      </c>
      <c r="L299" s="32"/>
    </row>
    <row r="300" spans="1:20" x14ac:dyDescent="0.25">
      <c r="A300" s="10">
        <v>46044</v>
      </c>
      <c r="B300" s="2" t="s">
        <v>752</v>
      </c>
      <c r="E300" s="3" t="s">
        <v>753</v>
      </c>
      <c r="F300" s="4">
        <v>24680</v>
      </c>
      <c r="H300" s="22"/>
      <c r="I300" s="22"/>
      <c r="J300" s="22"/>
      <c r="K300" s="22">
        <f t="shared" si="3"/>
        <v>0</v>
      </c>
      <c r="L300" s="17"/>
    </row>
    <row r="301" spans="1:20" x14ac:dyDescent="0.25">
      <c r="A301" s="10">
        <v>46044</v>
      </c>
      <c r="B301" s="2" t="s">
        <v>754</v>
      </c>
      <c r="E301" s="3" t="s">
        <v>755</v>
      </c>
      <c r="F301" s="4">
        <v>36330.699999999997</v>
      </c>
      <c r="H301" s="22"/>
      <c r="I301" s="22"/>
      <c r="J301" s="22"/>
      <c r="K301" s="22">
        <f t="shared" si="3"/>
        <v>0</v>
      </c>
      <c r="L301" s="17"/>
    </row>
    <row r="302" spans="1:20" x14ac:dyDescent="0.25">
      <c r="A302" s="10">
        <v>46044</v>
      </c>
      <c r="B302" s="2" t="s">
        <v>756</v>
      </c>
      <c r="E302" s="3" t="s">
        <v>755</v>
      </c>
      <c r="F302" s="4">
        <v>32233.13</v>
      </c>
      <c r="H302" s="22"/>
      <c r="I302" s="22"/>
      <c r="J302" s="22"/>
      <c r="K302" s="22">
        <f t="shared" si="3"/>
        <v>0</v>
      </c>
      <c r="L302" s="17"/>
    </row>
    <row r="303" spans="1:20" x14ac:dyDescent="0.25">
      <c r="A303" s="10">
        <v>46044</v>
      </c>
      <c r="B303" s="2" t="s">
        <v>757</v>
      </c>
      <c r="E303" s="3" t="s">
        <v>755</v>
      </c>
      <c r="F303" s="4">
        <v>30443.7</v>
      </c>
      <c r="H303" s="22"/>
      <c r="I303" s="22"/>
      <c r="J303" s="22"/>
      <c r="K303" s="22">
        <f t="shared" ref="K303:K366" si="4">ABS(I303-J303)</f>
        <v>0</v>
      </c>
      <c r="L303" s="17"/>
    </row>
    <row r="304" spans="1:20" x14ac:dyDescent="0.25">
      <c r="A304" s="10">
        <v>46044</v>
      </c>
      <c r="B304" s="2" t="s">
        <v>758</v>
      </c>
      <c r="E304" s="3" t="s">
        <v>759</v>
      </c>
      <c r="F304" s="4">
        <v>107205</v>
      </c>
      <c r="G304" s="3"/>
      <c r="H304" s="34"/>
      <c r="I304" s="34"/>
      <c r="J304" s="34"/>
      <c r="K304" s="22">
        <f t="shared" si="4"/>
        <v>0</v>
      </c>
      <c r="L304" s="32"/>
    </row>
    <row r="305" spans="1:20" x14ac:dyDescent="0.25">
      <c r="A305" s="10">
        <v>46044</v>
      </c>
      <c r="B305" s="2" t="s">
        <v>760</v>
      </c>
      <c r="E305" s="3" t="s">
        <v>759</v>
      </c>
      <c r="F305" s="4">
        <v>101895</v>
      </c>
      <c r="H305" s="22"/>
      <c r="I305" s="22"/>
      <c r="J305" s="22"/>
      <c r="K305" s="22">
        <f t="shared" si="4"/>
        <v>0</v>
      </c>
      <c r="L305" s="17"/>
    </row>
    <row r="306" spans="1:20" x14ac:dyDescent="0.25">
      <c r="A306" s="10">
        <v>46044</v>
      </c>
      <c r="B306" s="2" t="s">
        <v>761</v>
      </c>
      <c r="E306" s="3" t="s">
        <v>27</v>
      </c>
      <c r="F306" s="4">
        <f>10000+24680</f>
        <v>34680</v>
      </c>
      <c r="H306" s="22"/>
      <c r="I306" s="22"/>
      <c r="J306" s="22"/>
      <c r="K306" s="22">
        <f t="shared" si="4"/>
        <v>0</v>
      </c>
      <c r="L306" s="17"/>
    </row>
    <row r="307" spans="1:20" x14ac:dyDescent="0.25">
      <c r="A307" s="10">
        <v>46044</v>
      </c>
      <c r="B307" s="2" t="s">
        <v>762</v>
      </c>
      <c r="E307" s="3" t="s">
        <v>27</v>
      </c>
      <c r="F307" s="42">
        <f>F301+F302+F303+F304+25+25+25+25</f>
        <v>206312.53</v>
      </c>
      <c r="G307" s="3"/>
      <c r="H307" s="34"/>
      <c r="I307" s="34"/>
      <c r="J307" s="34"/>
      <c r="K307" s="22">
        <f t="shared" si="4"/>
        <v>0</v>
      </c>
      <c r="L307" s="32"/>
    </row>
    <row r="308" spans="1:20" ht="24" x14ac:dyDescent="0.25">
      <c r="A308" s="10">
        <v>46045</v>
      </c>
      <c r="B308" s="2" t="s">
        <v>763</v>
      </c>
      <c r="C308" s="2" t="s">
        <v>764</v>
      </c>
      <c r="D308" s="2" t="s">
        <v>561</v>
      </c>
      <c r="E308" s="3" t="s">
        <v>553</v>
      </c>
      <c r="F308" s="4">
        <f>(840/1.12)+(840/1.12*0.12)-(840/1.12*0.01)</f>
        <v>832.49999999999989</v>
      </c>
      <c r="G308" s="4" t="s">
        <v>128</v>
      </c>
      <c r="H308" s="22" t="s">
        <v>40</v>
      </c>
      <c r="I308" s="22">
        <f>840/1.12</f>
        <v>749.99999999999989</v>
      </c>
      <c r="J308" s="22"/>
      <c r="K308" s="22">
        <f t="shared" si="4"/>
        <v>749.99999999999989</v>
      </c>
      <c r="L308" s="17"/>
      <c r="M308" s="23" t="s">
        <v>41</v>
      </c>
      <c r="N308" s="1" t="s">
        <v>765</v>
      </c>
    </row>
    <row r="309" spans="1:20" x14ac:dyDescent="0.25">
      <c r="A309" s="10">
        <v>46045</v>
      </c>
      <c r="B309" s="2" t="s">
        <v>763</v>
      </c>
      <c r="C309" s="2" t="s">
        <v>764</v>
      </c>
      <c r="D309" s="2" t="s">
        <v>561</v>
      </c>
      <c r="E309" s="3" t="s">
        <v>553</v>
      </c>
      <c r="G309" s="4" t="s">
        <v>128</v>
      </c>
      <c r="H309" s="22" t="s">
        <v>104</v>
      </c>
      <c r="I309" s="22">
        <f>I308*0.12</f>
        <v>89.999999999999986</v>
      </c>
      <c r="J309" s="22"/>
      <c r="K309" s="22">
        <f t="shared" si="4"/>
        <v>89.999999999999986</v>
      </c>
      <c r="L309" s="17"/>
    </row>
    <row r="310" spans="1:20" x14ac:dyDescent="0.25">
      <c r="A310" s="10">
        <v>46045</v>
      </c>
      <c r="B310" s="2" t="s">
        <v>763</v>
      </c>
      <c r="C310" s="2" t="s">
        <v>764</v>
      </c>
      <c r="D310" s="2" t="s">
        <v>561</v>
      </c>
      <c r="E310" s="3" t="s">
        <v>553</v>
      </c>
      <c r="G310" s="4" t="s">
        <v>128</v>
      </c>
      <c r="H310" s="22" t="s">
        <v>105</v>
      </c>
      <c r="I310" s="22"/>
      <c r="J310" s="22">
        <f>I308*0.01</f>
        <v>7.4999999999999991</v>
      </c>
      <c r="K310" s="22">
        <f t="shared" si="4"/>
        <v>7.4999999999999991</v>
      </c>
      <c r="L310" s="17"/>
    </row>
    <row r="311" spans="1:20" x14ac:dyDescent="0.25">
      <c r="A311" s="10">
        <v>46045</v>
      </c>
      <c r="B311" s="2" t="s">
        <v>763</v>
      </c>
      <c r="C311" s="2" t="s">
        <v>764</v>
      </c>
      <c r="D311" s="2" t="s">
        <v>561</v>
      </c>
      <c r="E311" s="3" t="s">
        <v>553</v>
      </c>
      <c r="G311" s="4" t="s">
        <v>48</v>
      </c>
      <c r="H311" s="22" t="s">
        <v>81</v>
      </c>
      <c r="I311" s="22"/>
      <c r="J311" s="22">
        <f>I308+I309-J310</f>
        <v>832.49999999999989</v>
      </c>
      <c r="K311" s="22">
        <f t="shared" si="4"/>
        <v>832.49999999999989</v>
      </c>
      <c r="L311" s="17"/>
    </row>
    <row r="312" spans="1:20" ht="24" x14ac:dyDescent="0.25">
      <c r="A312" s="10">
        <v>46045</v>
      </c>
      <c r="B312" s="2" t="s">
        <v>766</v>
      </c>
      <c r="C312" s="2" t="s">
        <v>86</v>
      </c>
      <c r="D312" s="2" t="s">
        <v>767</v>
      </c>
      <c r="E312" s="3" t="s">
        <v>476</v>
      </c>
      <c r="F312" s="4">
        <v>29922.84</v>
      </c>
      <c r="G312" s="4" t="s">
        <v>77</v>
      </c>
      <c r="H312" s="22" t="s">
        <v>768</v>
      </c>
      <c r="I312" s="22">
        <v>26716.82</v>
      </c>
      <c r="J312" s="22"/>
      <c r="K312" s="22">
        <f t="shared" si="4"/>
        <v>26716.82</v>
      </c>
      <c r="L312" s="17"/>
      <c r="M312" s="23" t="s">
        <v>41</v>
      </c>
      <c r="N312" s="1" t="s">
        <v>769</v>
      </c>
    </row>
    <row r="313" spans="1:20" x14ac:dyDescent="0.25">
      <c r="A313" s="10">
        <v>46045</v>
      </c>
      <c r="B313" s="2" t="s">
        <v>766</v>
      </c>
      <c r="C313" s="2" t="s">
        <v>86</v>
      </c>
      <c r="D313" s="2" t="s">
        <v>767</v>
      </c>
      <c r="E313" s="3" t="s">
        <v>476</v>
      </c>
      <c r="G313" s="4" t="s">
        <v>77</v>
      </c>
      <c r="H313" s="22" t="s">
        <v>239</v>
      </c>
      <c r="I313" s="22">
        <v>3206.02</v>
      </c>
      <c r="J313" s="22"/>
      <c r="K313" s="22">
        <f t="shared" si="4"/>
        <v>3206.02</v>
      </c>
      <c r="L313" s="17"/>
    </row>
    <row r="314" spans="1:20" x14ac:dyDescent="0.25">
      <c r="A314" s="10">
        <v>46045</v>
      </c>
      <c r="B314" s="2" t="s">
        <v>766</v>
      </c>
      <c r="C314" s="2" t="s">
        <v>86</v>
      </c>
      <c r="D314" s="2" t="s">
        <v>767</v>
      </c>
      <c r="E314" s="3" t="s">
        <v>476</v>
      </c>
      <c r="G314" s="4" t="s">
        <v>48</v>
      </c>
      <c r="H314" s="22" t="s">
        <v>320</v>
      </c>
      <c r="I314" s="22"/>
      <c r="J314" s="22">
        <f>I312+I313</f>
        <v>29922.84</v>
      </c>
      <c r="K314" s="22">
        <f t="shared" si="4"/>
        <v>29922.84</v>
      </c>
      <c r="L314" s="17"/>
    </row>
    <row r="315" spans="1:20" ht="24" x14ac:dyDescent="0.25">
      <c r="A315" s="10">
        <v>46045</v>
      </c>
      <c r="B315" s="2" t="s">
        <v>770</v>
      </c>
      <c r="C315" s="2" t="s">
        <v>95</v>
      </c>
      <c r="D315" s="2" t="s">
        <v>771</v>
      </c>
      <c r="E315" s="3" t="s">
        <v>772</v>
      </c>
      <c r="F315" s="4">
        <v>15000</v>
      </c>
      <c r="G315" s="4" t="s">
        <v>28</v>
      </c>
      <c r="H315" s="22"/>
      <c r="I315" s="22"/>
      <c r="J315" s="22"/>
      <c r="K315" s="22">
        <f t="shared" si="4"/>
        <v>0</v>
      </c>
      <c r="L315" s="17"/>
      <c r="M315" s="23" t="s">
        <v>41</v>
      </c>
      <c r="N315" s="1" t="s">
        <v>773</v>
      </c>
    </row>
    <row r="316" spans="1:20" ht="24" x14ac:dyDescent="0.25">
      <c r="A316" s="10">
        <v>46045</v>
      </c>
      <c r="B316" s="2" t="s">
        <v>774</v>
      </c>
      <c r="C316" s="2" t="s">
        <v>310</v>
      </c>
      <c r="E316" s="3" t="s">
        <v>27</v>
      </c>
      <c r="F316" s="4">
        <v>29922.84</v>
      </c>
      <c r="G316" s="4" t="s">
        <v>48</v>
      </c>
      <c r="H316" s="22" t="s">
        <v>320</v>
      </c>
      <c r="I316" s="22">
        <v>29922.84</v>
      </c>
      <c r="J316" s="22"/>
      <c r="K316" s="22">
        <f t="shared" si="4"/>
        <v>29922.84</v>
      </c>
      <c r="L316" s="17">
        <v>29922.84</v>
      </c>
      <c r="M316" s="23" t="s">
        <v>41</v>
      </c>
      <c r="N316" s="1" t="s">
        <v>775</v>
      </c>
      <c r="O316" s="24" t="s">
        <v>776</v>
      </c>
      <c r="P316" s="24"/>
      <c r="Q316" s="7" t="s">
        <v>777</v>
      </c>
      <c r="R316" s="7" t="s">
        <v>568</v>
      </c>
      <c r="S316" s="3" t="s">
        <v>45</v>
      </c>
      <c r="T316" s="3" t="s">
        <v>778</v>
      </c>
    </row>
    <row r="317" spans="1:20" x14ac:dyDescent="0.25">
      <c r="A317" s="10">
        <v>46045</v>
      </c>
      <c r="B317" s="2" t="s">
        <v>774</v>
      </c>
      <c r="C317" s="2" t="s">
        <v>310</v>
      </c>
      <c r="E317" s="3" t="s">
        <v>27</v>
      </c>
      <c r="G317" s="4" t="s">
        <v>48</v>
      </c>
      <c r="H317" s="22" t="s">
        <v>360</v>
      </c>
      <c r="I317" s="22"/>
      <c r="J317" s="22">
        <f>I316</f>
        <v>29922.84</v>
      </c>
      <c r="K317" s="22">
        <f t="shared" si="4"/>
        <v>29922.84</v>
      </c>
      <c r="L317" s="17"/>
      <c r="M317" s="23"/>
    </row>
    <row r="318" spans="1:20" ht="24" x14ac:dyDescent="0.25">
      <c r="A318" s="10">
        <v>46045</v>
      </c>
      <c r="B318" s="2" t="s">
        <v>779</v>
      </c>
      <c r="C318" s="2" t="s">
        <v>470</v>
      </c>
      <c r="D318" s="2" t="s">
        <v>780</v>
      </c>
      <c r="E318" s="3" t="s">
        <v>472</v>
      </c>
      <c r="F318" s="4">
        <v>20772.5</v>
      </c>
      <c r="G318" s="4" t="s">
        <v>48</v>
      </c>
      <c r="H318" s="22" t="s">
        <v>781</v>
      </c>
      <c r="I318" s="22">
        <v>7627.5</v>
      </c>
      <c r="J318" s="22"/>
      <c r="K318" s="22">
        <f t="shared" si="4"/>
        <v>7627.5</v>
      </c>
      <c r="L318" s="17">
        <v>20772.5</v>
      </c>
      <c r="M318" s="23" t="s">
        <v>41</v>
      </c>
      <c r="N318" s="1" t="s">
        <v>782</v>
      </c>
      <c r="O318" s="7" t="s">
        <v>783</v>
      </c>
      <c r="Q318" s="7" t="s">
        <v>784</v>
      </c>
      <c r="R318" s="7" t="s">
        <v>568</v>
      </c>
      <c r="S318" s="3" t="s">
        <v>45</v>
      </c>
      <c r="T318" s="3" t="s">
        <v>785</v>
      </c>
    </row>
    <row r="319" spans="1:20" x14ac:dyDescent="0.25">
      <c r="A319" s="10">
        <v>46045</v>
      </c>
      <c r="B319" s="2" t="s">
        <v>779</v>
      </c>
      <c r="C319" s="2" t="s">
        <v>470</v>
      </c>
      <c r="D319" s="2" t="s">
        <v>780</v>
      </c>
      <c r="E319" s="3" t="s">
        <v>472</v>
      </c>
      <c r="G319" s="4" t="s">
        <v>48</v>
      </c>
      <c r="H319" s="22" t="s">
        <v>786</v>
      </c>
      <c r="I319" s="22">
        <v>1950</v>
      </c>
      <c r="J319" s="22"/>
      <c r="K319" s="22">
        <f t="shared" si="4"/>
        <v>1950</v>
      </c>
      <c r="L319" s="17"/>
      <c r="M319" s="23"/>
    </row>
    <row r="320" spans="1:20" x14ac:dyDescent="0.25">
      <c r="A320" s="10">
        <v>46045</v>
      </c>
      <c r="B320" s="2" t="s">
        <v>779</v>
      </c>
      <c r="C320" s="2" t="s">
        <v>470</v>
      </c>
      <c r="D320" s="2" t="s">
        <v>780</v>
      </c>
      <c r="E320" s="3" t="s">
        <v>472</v>
      </c>
      <c r="G320" s="4" t="s">
        <v>48</v>
      </c>
      <c r="H320" s="22" t="s">
        <v>787</v>
      </c>
      <c r="I320" s="22">
        <v>350</v>
      </c>
      <c r="J320" s="22"/>
      <c r="K320" s="22">
        <f t="shared" si="4"/>
        <v>350</v>
      </c>
      <c r="L320" s="17"/>
      <c r="M320" s="23"/>
    </row>
    <row r="321" spans="1:14" x14ac:dyDescent="0.25">
      <c r="A321" s="10">
        <v>46045</v>
      </c>
      <c r="B321" s="2" t="s">
        <v>779</v>
      </c>
      <c r="C321" s="2" t="s">
        <v>470</v>
      </c>
      <c r="D321" s="2" t="s">
        <v>780</v>
      </c>
      <c r="E321" s="3" t="s">
        <v>472</v>
      </c>
      <c r="G321" s="4" t="s">
        <v>167</v>
      </c>
      <c r="H321" s="22" t="s">
        <v>168</v>
      </c>
      <c r="I321" s="22">
        <v>883.92</v>
      </c>
      <c r="J321" s="22"/>
      <c r="K321" s="22">
        <f t="shared" si="4"/>
        <v>883.92</v>
      </c>
      <c r="L321" s="17"/>
      <c r="M321" s="23"/>
    </row>
    <row r="322" spans="1:14" x14ac:dyDescent="0.25">
      <c r="A322" s="10">
        <v>46045</v>
      </c>
      <c r="B322" s="2" t="s">
        <v>779</v>
      </c>
      <c r="C322" s="2" t="s">
        <v>470</v>
      </c>
      <c r="D322" s="2" t="s">
        <v>780</v>
      </c>
      <c r="E322" s="3" t="s">
        <v>472</v>
      </c>
      <c r="G322" s="4" t="s">
        <v>48</v>
      </c>
      <c r="H322" s="22" t="s">
        <v>788</v>
      </c>
      <c r="I322" s="22">
        <v>670</v>
      </c>
      <c r="J322" s="22"/>
      <c r="K322" s="22">
        <f t="shared" si="4"/>
        <v>670</v>
      </c>
      <c r="L322" s="17"/>
      <c r="M322" s="23"/>
    </row>
    <row r="323" spans="1:14" x14ac:dyDescent="0.25">
      <c r="A323" s="10">
        <v>46045</v>
      </c>
      <c r="B323" s="2" t="s">
        <v>779</v>
      </c>
      <c r="C323" s="2" t="s">
        <v>470</v>
      </c>
      <c r="D323" s="2" t="s">
        <v>780</v>
      </c>
      <c r="E323" s="3" t="s">
        <v>472</v>
      </c>
      <c r="G323" s="4" t="s">
        <v>48</v>
      </c>
      <c r="H323" s="22" t="s">
        <v>789</v>
      </c>
      <c r="I323" s="22">
        <v>110</v>
      </c>
      <c r="J323" s="22"/>
      <c r="K323" s="22">
        <f t="shared" si="4"/>
        <v>110</v>
      </c>
      <c r="L323" s="17"/>
      <c r="M323" s="23"/>
    </row>
    <row r="324" spans="1:14" x14ac:dyDescent="0.25">
      <c r="A324" s="10">
        <v>46045</v>
      </c>
      <c r="B324" s="2" t="s">
        <v>779</v>
      </c>
      <c r="C324" s="2" t="s">
        <v>470</v>
      </c>
      <c r="D324" s="2" t="s">
        <v>780</v>
      </c>
      <c r="E324" s="3" t="s">
        <v>472</v>
      </c>
      <c r="G324" s="4" t="s">
        <v>48</v>
      </c>
      <c r="H324" s="22" t="s">
        <v>238</v>
      </c>
      <c r="I324" s="22">
        <v>183.04</v>
      </c>
      <c r="J324" s="22"/>
      <c r="K324" s="22">
        <f t="shared" si="4"/>
        <v>183.04</v>
      </c>
      <c r="L324" s="17"/>
      <c r="M324" s="23"/>
    </row>
    <row r="325" spans="1:14" x14ac:dyDescent="0.25">
      <c r="A325" s="10">
        <v>46045</v>
      </c>
      <c r="B325" s="2" t="s">
        <v>779</v>
      </c>
      <c r="C325" s="2" t="s">
        <v>470</v>
      </c>
      <c r="D325" s="2" t="s">
        <v>780</v>
      </c>
      <c r="E325" s="3" t="s">
        <v>472</v>
      </c>
      <c r="G325" s="4" t="s">
        <v>48</v>
      </c>
      <c r="H325" s="22" t="s">
        <v>790</v>
      </c>
      <c r="I325" s="22">
        <v>8850</v>
      </c>
      <c r="J325" s="22"/>
      <c r="K325" s="22">
        <f t="shared" si="4"/>
        <v>8850</v>
      </c>
      <c r="L325" s="17"/>
      <c r="M325" s="23"/>
    </row>
    <row r="326" spans="1:14" x14ac:dyDescent="0.25">
      <c r="A326" s="10">
        <v>46045</v>
      </c>
      <c r="B326" s="2" t="s">
        <v>779</v>
      </c>
      <c r="C326" s="2" t="s">
        <v>470</v>
      </c>
      <c r="D326" s="2" t="s">
        <v>780</v>
      </c>
      <c r="E326" s="3" t="s">
        <v>472</v>
      </c>
      <c r="G326" s="4" t="s">
        <v>48</v>
      </c>
      <c r="H326" s="22" t="s">
        <v>47</v>
      </c>
      <c r="I326" s="22">
        <v>20</v>
      </c>
      <c r="J326" s="22"/>
      <c r="K326" s="22">
        <f t="shared" si="4"/>
        <v>20</v>
      </c>
      <c r="L326" s="17"/>
      <c r="M326" s="23"/>
    </row>
    <row r="327" spans="1:14" x14ac:dyDescent="0.25">
      <c r="A327" s="10">
        <v>46045</v>
      </c>
      <c r="B327" s="2" t="s">
        <v>779</v>
      </c>
      <c r="C327" s="2" t="s">
        <v>470</v>
      </c>
      <c r="D327" s="2" t="s">
        <v>780</v>
      </c>
      <c r="E327" s="3" t="s">
        <v>472</v>
      </c>
      <c r="G327" s="4" t="s">
        <v>48</v>
      </c>
      <c r="H327" s="22" t="s">
        <v>239</v>
      </c>
      <c r="I327" s="22">
        <v>128.04</v>
      </c>
      <c r="J327" s="22"/>
      <c r="K327" s="22">
        <f t="shared" si="4"/>
        <v>128.04</v>
      </c>
      <c r="L327" s="17"/>
      <c r="M327" s="23"/>
    </row>
    <row r="328" spans="1:14" x14ac:dyDescent="0.25">
      <c r="A328" s="10">
        <v>46045</v>
      </c>
      <c r="B328" s="2" t="s">
        <v>779</v>
      </c>
      <c r="C328" s="2" t="s">
        <v>470</v>
      </c>
      <c r="D328" s="2" t="s">
        <v>780</v>
      </c>
      <c r="E328" s="3" t="s">
        <v>472</v>
      </c>
      <c r="G328" s="4" t="s">
        <v>48</v>
      </c>
      <c r="H328" s="22" t="s">
        <v>360</v>
      </c>
      <c r="I328" s="22"/>
      <c r="J328" s="22">
        <f>I318+I319+I320+I321+I322+I323+I324+I325+I326+I327</f>
        <v>20772.5</v>
      </c>
      <c r="K328" s="22">
        <f t="shared" si="4"/>
        <v>20772.5</v>
      </c>
      <c r="L328" s="17"/>
      <c r="M328" s="23"/>
    </row>
    <row r="329" spans="1:14" ht="24" x14ac:dyDescent="0.25">
      <c r="A329" s="10">
        <v>46045</v>
      </c>
      <c r="B329" s="2" t="s">
        <v>791</v>
      </c>
      <c r="C329" s="2" t="s">
        <v>95</v>
      </c>
      <c r="D329" s="2" t="s">
        <v>792</v>
      </c>
      <c r="E329" s="3" t="s">
        <v>261</v>
      </c>
      <c r="F329" s="4">
        <v>5000</v>
      </c>
      <c r="G329" s="4" t="s">
        <v>48</v>
      </c>
      <c r="H329" s="22" t="s">
        <v>78</v>
      </c>
      <c r="I329" s="22">
        <v>5000</v>
      </c>
      <c r="J329" s="22"/>
      <c r="K329" s="22">
        <f t="shared" si="4"/>
        <v>5000</v>
      </c>
      <c r="L329" s="17"/>
      <c r="M329" s="23" t="s">
        <v>41</v>
      </c>
      <c r="N329" s="1" t="s">
        <v>793</v>
      </c>
    </row>
    <row r="330" spans="1:14" x14ac:dyDescent="0.25">
      <c r="A330" s="10">
        <v>46045</v>
      </c>
      <c r="B330" s="2" t="s">
        <v>791</v>
      </c>
      <c r="C330" s="2" t="s">
        <v>95</v>
      </c>
      <c r="D330" s="2" t="s">
        <v>792</v>
      </c>
      <c r="E330" s="3" t="s">
        <v>261</v>
      </c>
      <c r="G330" s="4" t="s">
        <v>48</v>
      </c>
      <c r="H330" s="22" t="s">
        <v>49</v>
      </c>
      <c r="I330" s="22"/>
      <c r="J330" s="22">
        <f>I329</f>
        <v>5000</v>
      </c>
      <c r="K330" s="22">
        <f t="shared" si="4"/>
        <v>5000</v>
      </c>
      <c r="L330" s="17"/>
      <c r="M330" s="26"/>
    </row>
    <row r="331" spans="1:14" ht="24" x14ac:dyDescent="0.25">
      <c r="A331" s="10">
        <v>46045</v>
      </c>
      <c r="B331" s="2" t="s">
        <v>794</v>
      </c>
      <c r="C331" s="2" t="s">
        <v>795</v>
      </c>
      <c r="D331" s="2" t="s">
        <v>796</v>
      </c>
      <c r="E331" s="3" t="s">
        <v>797</v>
      </c>
      <c r="F331" s="4">
        <v>650</v>
      </c>
      <c r="G331" s="4" t="s">
        <v>28</v>
      </c>
      <c r="H331" s="22" t="s">
        <v>40</v>
      </c>
      <c r="I331" s="22">
        <f>650</f>
        <v>650</v>
      </c>
      <c r="J331" s="22"/>
      <c r="K331" s="22">
        <f t="shared" si="4"/>
        <v>650</v>
      </c>
      <c r="L331" s="17"/>
      <c r="M331" s="23" t="s">
        <v>41</v>
      </c>
      <c r="N331" s="1" t="s">
        <v>798</v>
      </c>
    </row>
    <row r="332" spans="1:14" x14ac:dyDescent="0.25">
      <c r="A332" s="10">
        <v>46045</v>
      </c>
      <c r="B332" s="2" t="s">
        <v>794</v>
      </c>
      <c r="C332" s="2" t="s">
        <v>795</v>
      </c>
      <c r="D332" s="2" t="s">
        <v>796</v>
      </c>
      <c r="E332" s="3" t="s">
        <v>797</v>
      </c>
      <c r="G332" s="4" t="s">
        <v>48</v>
      </c>
      <c r="H332" s="22" t="s">
        <v>49</v>
      </c>
      <c r="I332" s="22"/>
      <c r="J332" s="22">
        <f>I331</f>
        <v>650</v>
      </c>
      <c r="K332" s="22">
        <f t="shared" si="4"/>
        <v>650</v>
      </c>
      <c r="L332" s="17"/>
    </row>
    <row r="333" spans="1:14" ht="48" x14ac:dyDescent="0.25">
      <c r="A333" s="10">
        <v>46045</v>
      </c>
      <c r="B333" s="2" t="s">
        <v>799</v>
      </c>
      <c r="E333" s="3" t="s">
        <v>800</v>
      </c>
      <c r="F333" s="4">
        <v>125000</v>
      </c>
      <c r="G333" s="4" t="s">
        <v>801</v>
      </c>
      <c r="H333" s="22" t="s">
        <v>802</v>
      </c>
      <c r="I333" s="22">
        <v>125000</v>
      </c>
      <c r="J333" s="22"/>
      <c r="K333" s="22">
        <f t="shared" si="4"/>
        <v>125000</v>
      </c>
      <c r="L333" s="17"/>
      <c r="M333" s="6" t="s">
        <v>581</v>
      </c>
      <c r="N333" s="1" t="s">
        <v>803</v>
      </c>
    </row>
    <row r="334" spans="1:14" x14ac:dyDescent="0.25">
      <c r="A334" s="10">
        <v>46045</v>
      </c>
      <c r="B334" s="2" t="s">
        <v>799</v>
      </c>
      <c r="E334" s="3" t="s">
        <v>800</v>
      </c>
      <c r="G334" s="4" t="s">
        <v>48</v>
      </c>
      <c r="H334" s="22" t="s">
        <v>49</v>
      </c>
      <c r="I334" s="22"/>
      <c r="J334" s="22">
        <f>I333</f>
        <v>125000</v>
      </c>
      <c r="K334" s="22">
        <f t="shared" si="4"/>
        <v>125000</v>
      </c>
      <c r="L334" s="17"/>
    </row>
    <row r="335" spans="1:14" ht="24" x14ac:dyDescent="0.25">
      <c r="A335" s="10">
        <v>46045</v>
      </c>
      <c r="B335" s="2" t="s">
        <v>804</v>
      </c>
      <c r="C335" s="2" t="s">
        <v>95</v>
      </c>
      <c r="D335" s="2" t="s">
        <v>805</v>
      </c>
      <c r="E335" s="3" t="s">
        <v>222</v>
      </c>
      <c r="F335" s="4">
        <v>1000</v>
      </c>
      <c r="G335" s="4" t="s">
        <v>28</v>
      </c>
      <c r="H335" s="22" t="s">
        <v>78</v>
      </c>
      <c r="I335" s="22">
        <v>1000</v>
      </c>
      <c r="J335" s="22"/>
      <c r="K335" s="22">
        <f t="shared" si="4"/>
        <v>1000</v>
      </c>
      <c r="L335" s="17"/>
      <c r="M335" s="23" t="s">
        <v>41</v>
      </c>
      <c r="N335" s="1" t="s">
        <v>806</v>
      </c>
    </row>
    <row r="336" spans="1:14" x14ac:dyDescent="0.25">
      <c r="A336" s="10">
        <v>46045</v>
      </c>
      <c r="B336" s="2" t="s">
        <v>804</v>
      </c>
      <c r="C336" s="2" t="s">
        <v>95</v>
      </c>
      <c r="D336" s="2" t="s">
        <v>805</v>
      </c>
      <c r="E336" s="3" t="s">
        <v>222</v>
      </c>
      <c r="F336" s="4">
        <v>1000</v>
      </c>
      <c r="G336" s="4" t="s">
        <v>48</v>
      </c>
      <c r="H336" s="22" t="s">
        <v>49</v>
      </c>
      <c r="I336" s="22"/>
      <c r="J336" s="22">
        <f>I335</f>
        <v>1000</v>
      </c>
      <c r="K336" s="22">
        <f t="shared" si="4"/>
        <v>1000</v>
      </c>
      <c r="L336" s="17"/>
    </row>
    <row r="337" spans="1:14" ht="24" x14ac:dyDescent="0.25">
      <c r="A337" s="10">
        <v>46045</v>
      </c>
      <c r="B337" s="2" t="s">
        <v>807</v>
      </c>
      <c r="C337" s="2" t="s">
        <v>95</v>
      </c>
      <c r="D337" s="2" t="s">
        <v>808</v>
      </c>
      <c r="E337" s="3" t="s">
        <v>575</v>
      </c>
      <c r="F337" s="4">
        <v>6800</v>
      </c>
      <c r="G337" s="4" t="s">
        <v>77</v>
      </c>
      <c r="H337" s="22" t="s">
        <v>809</v>
      </c>
      <c r="I337" s="22">
        <f>6800</f>
        <v>6800</v>
      </c>
      <c r="J337" s="22"/>
      <c r="K337" s="22">
        <f t="shared" si="4"/>
        <v>6800</v>
      </c>
      <c r="L337" s="17"/>
      <c r="M337" s="23" t="s">
        <v>41</v>
      </c>
      <c r="N337" s="1" t="s">
        <v>810</v>
      </c>
    </row>
    <row r="338" spans="1:14" x14ac:dyDescent="0.25">
      <c r="A338" s="10">
        <v>46045</v>
      </c>
      <c r="B338" s="2" t="s">
        <v>807</v>
      </c>
      <c r="C338" s="2" t="s">
        <v>95</v>
      </c>
      <c r="D338" s="2" t="s">
        <v>808</v>
      </c>
      <c r="E338" s="3" t="s">
        <v>575</v>
      </c>
      <c r="G338" s="4" t="s">
        <v>48</v>
      </c>
      <c r="H338" s="22" t="s">
        <v>49</v>
      </c>
      <c r="I338" s="22"/>
      <c r="J338" s="22">
        <f>I337</f>
        <v>6800</v>
      </c>
      <c r="K338" s="22">
        <f t="shared" si="4"/>
        <v>6800</v>
      </c>
      <c r="L338" s="17"/>
    </row>
    <row r="339" spans="1:14" ht="24" x14ac:dyDescent="0.25">
      <c r="A339" s="10">
        <v>46045</v>
      </c>
      <c r="B339" s="2" t="s">
        <v>811</v>
      </c>
      <c r="C339" s="2" t="s">
        <v>86</v>
      </c>
      <c r="D339" s="2" t="s">
        <v>812</v>
      </c>
      <c r="E339" s="3" t="s">
        <v>76</v>
      </c>
      <c r="F339" s="4">
        <v>22730</v>
      </c>
      <c r="G339" s="4" t="s">
        <v>77</v>
      </c>
      <c r="H339" s="22" t="s">
        <v>78</v>
      </c>
      <c r="I339" s="22">
        <v>22730</v>
      </c>
      <c r="J339" s="22"/>
      <c r="K339" s="22">
        <f t="shared" si="4"/>
        <v>22730</v>
      </c>
      <c r="L339" s="17">
        <v>22730</v>
      </c>
      <c r="M339" s="23" t="s">
        <v>41</v>
      </c>
      <c r="N339" s="1" t="s">
        <v>813</v>
      </c>
    </row>
    <row r="340" spans="1:14" x14ac:dyDescent="0.25">
      <c r="A340" s="10">
        <v>46045</v>
      </c>
      <c r="B340" s="2" t="s">
        <v>811</v>
      </c>
      <c r="C340" s="2" t="s">
        <v>86</v>
      </c>
      <c r="D340" s="2" t="s">
        <v>812</v>
      </c>
      <c r="E340" s="3" t="s">
        <v>76</v>
      </c>
      <c r="G340" s="4" t="s">
        <v>48</v>
      </c>
      <c r="H340" s="22" t="s">
        <v>49</v>
      </c>
      <c r="I340" s="22"/>
      <c r="J340" s="22">
        <f>I339</f>
        <v>22730</v>
      </c>
      <c r="K340" s="22">
        <f t="shared" si="4"/>
        <v>22730</v>
      </c>
      <c r="L340" s="17"/>
    </row>
    <row r="341" spans="1:14" ht="36" x14ac:dyDescent="0.25">
      <c r="A341" s="10">
        <v>46045</v>
      </c>
      <c r="B341" s="2" t="s">
        <v>814</v>
      </c>
      <c r="C341" s="2" t="s">
        <v>95</v>
      </c>
      <c r="D341" s="2" t="s">
        <v>815</v>
      </c>
      <c r="E341" s="3" t="s">
        <v>816</v>
      </c>
      <c r="F341" s="4">
        <v>6088.38</v>
      </c>
      <c r="G341" s="4" t="s">
        <v>739</v>
      </c>
      <c r="H341" s="22" t="s">
        <v>817</v>
      </c>
      <c r="I341" s="22">
        <v>6088.38</v>
      </c>
      <c r="J341" s="22"/>
      <c r="K341" s="22">
        <f t="shared" si="4"/>
        <v>6088.38</v>
      </c>
      <c r="L341" s="17"/>
      <c r="M341" s="6" t="s">
        <v>581</v>
      </c>
      <c r="N341" s="1" t="s">
        <v>818</v>
      </c>
    </row>
    <row r="342" spans="1:14" x14ac:dyDescent="0.25">
      <c r="A342" s="10">
        <v>46045</v>
      </c>
      <c r="B342" s="2" t="s">
        <v>814</v>
      </c>
      <c r="C342" s="2" t="s">
        <v>95</v>
      </c>
      <c r="D342" s="2" t="s">
        <v>815</v>
      </c>
      <c r="E342" s="3" t="s">
        <v>816</v>
      </c>
      <c r="G342" s="4" t="s">
        <v>48</v>
      </c>
      <c r="H342" s="22" t="s">
        <v>49</v>
      </c>
      <c r="I342" s="22"/>
      <c r="J342" s="22">
        <f>I341</f>
        <v>6088.38</v>
      </c>
      <c r="K342" s="22">
        <f t="shared" si="4"/>
        <v>6088.38</v>
      </c>
      <c r="L342" s="17"/>
    </row>
    <row r="343" spans="1:14" ht="36" x14ac:dyDescent="0.25">
      <c r="A343" s="10">
        <v>46045</v>
      </c>
      <c r="B343" s="2" t="s">
        <v>819</v>
      </c>
      <c r="C343" s="2" t="s">
        <v>95</v>
      </c>
      <c r="D343" s="2" t="s">
        <v>820</v>
      </c>
      <c r="E343" s="3" t="s">
        <v>816</v>
      </c>
      <c r="F343" s="4">
        <v>9453.4500000000007</v>
      </c>
      <c r="G343" s="4" t="s">
        <v>631</v>
      </c>
      <c r="H343" s="22" t="s">
        <v>817</v>
      </c>
      <c r="I343" s="22">
        <v>9453.4500000000007</v>
      </c>
      <c r="J343" s="22"/>
      <c r="K343" s="22">
        <f t="shared" si="4"/>
        <v>9453.4500000000007</v>
      </c>
      <c r="L343" s="17"/>
      <c r="M343" s="6" t="s">
        <v>581</v>
      </c>
      <c r="N343" s="1" t="s">
        <v>821</v>
      </c>
    </row>
    <row r="344" spans="1:14" x14ac:dyDescent="0.25">
      <c r="A344" s="10">
        <v>46045</v>
      </c>
      <c r="B344" s="2" t="s">
        <v>819</v>
      </c>
      <c r="C344" s="2" t="s">
        <v>95</v>
      </c>
      <c r="D344" s="2" t="s">
        <v>820</v>
      </c>
      <c r="E344" s="3" t="s">
        <v>816</v>
      </c>
      <c r="G344" s="4" t="s">
        <v>48</v>
      </c>
      <c r="H344" s="22" t="s">
        <v>49</v>
      </c>
      <c r="I344" s="22"/>
      <c r="J344" s="22">
        <f>I343</f>
        <v>9453.4500000000007</v>
      </c>
      <c r="K344" s="22">
        <f t="shared" si="4"/>
        <v>9453.4500000000007</v>
      </c>
      <c r="L344" s="17"/>
    </row>
    <row r="345" spans="1:14" ht="36" x14ac:dyDescent="0.25">
      <c r="A345" s="10">
        <v>46045</v>
      </c>
      <c r="B345" s="2" t="s">
        <v>822</v>
      </c>
      <c r="C345" s="2" t="s">
        <v>95</v>
      </c>
      <c r="D345" s="2" t="s">
        <v>823</v>
      </c>
      <c r="E345" s="3" t="s">
        <v>261</v>
      </c>
      <c r="F345" s="4">
        <v>9500</v>
      </c>
      <c r="G345" s="4" t="s">
        <v>48</v>
      </c>
      <c r="H345" s="22" t="s">
        <v>824</v>
      </c>
      <c r="I345" s="22">
        <v>9500</v>
      </c>
      <c r="J345" s="22"/>
      <c r="K345" s="22">
        <f t="shared" si="4"/>
        <v>9500</v>
      </c>
      <c r="L345" s="17"/>
      <c r="M345" s="23" t="s">
        <v>41</v>
      </c>
      <c r="N345" s="1" t="s">
        <v>825</v>
      </c>
    </row>
    <row r="346" spans="1:14" x14ac:dyDescent="0.25">
      <c r="A346" s="10">
        <v>46045</v>
      </c>
      <c r="B346" s="2" t="s">
        <v>822</v>
      </c>
      <c r="C346" s="2" t="s">
        <v>95</v>
      </c>
      <c r="D346" s="2" t="s">
        <v>823</v>
      </c>
      <c r="E346" s="3" t="s">
        <v>261</v>
      </c>
      <c r="G346" s="4" t="s">
        <v>48</v>
      </c>
      <c r="H346" s="22" t="s">
        <v>49</v>
      </c>
      <c r="I346" s="22"/>
      <c r="J346" s="22">
        <f>I345</f>
        <v>9500</v>
      </c>
      <c r="K346" s="22">
        <f t="shared" si="4"/>
        <v>9500</v>
      </c>
      <c r="L346" s="17"/>
    </row>
    <row r="347" spans="1:14" ht="24" x14ac:dyDescent="0.25">
      <c r="A347" s="10">
        <v>46045</v>
      </c>
      <c r="B347" s="2" t="s">
        <v>826</v>
      </c>
      <c r="C347" s="2" t="s">
        <v>827</v>
      </c>
      <c r="D347" s="43" t="s">
        <v>483</v>
      </c>
      <c r="E347" s="3" t="s">
        <v>692</v>
      </c>
      <c r="F347" s="4">
        <v>504.13</v>
      </c>
      <c r="G347" s="4" t="s">
        <v>128</v>
      </c>
      <c r="H347" s="22" t="s">
        <v>828</v>
      </c>
      <c r="I347" s="22">
        <v>504.13</v>
      </c>
      <c r="J347" s="22"/>
      <c r="K347" s="22">
        <f t="shared" si="4"/>
        <v>504.13</v>
      </c>
      <c r="L347" s="17"/>
      <c r="M347" s="23" t="s">
        <v>41</v>
      </c>
      <c r="N347" s="1" t="s">
        <v>829</v>
      </c>
    </row>
    <row r="348" spans="1:14" x14ac:dyDescent="0.25">
      <c r="A348" s="10">
        <v>46045</v>
      </c>
      <c r="B348" s="2" t="s">
        <v>826</v>
      </c>
      <c r="C348" s="2" t="s">
        <v>827</v>
      </c>
      <c r="D348" s="43" t="s">
        <v>483</v>
      </c>
      <c r="E348" s="3" t="s">
        <v>692</v>
      </c>
      <c r="G348" s="4" t="s">
        <v>48</v>
      </c>
      <c r="H348" s="22" t="s">
        <v>49</v>
      </c>
      <c r="I348" s="22"/>
      <c r="J348" s="22">
        <f>I347</f>
        <v>504.13</v>
      </c>
      <c r="K348" s="22">
        <f t="shared" si="4"/>
        <v>504.13</v>
      </c>
      <c r="L348" s="17"/>
    </row>
    <row r="349" spans="1:14" ht="24" x14ac:dyDescent="0.25">
      <c r="A349" s="10">
        <v>46048</v>
      </c>
      <c r="B349" s="2" t="s">
        <v>830</v>
      </c>
      <c r="C349" s="2" t="s">
        <v>831</v>
      </c>
      <c r="D349" s="2" t="s">
        <v>832</v>
      </c>
      <c r="E349" s="3" t="s">
        <v>833</v>
      </c>
      <c r="F349" s="4">
        <v>12521.79</v>
      </c>
      <c r="G349" s="4" t="s">
        <v>48</v>
      </c>
      <c r="H349" s="22" t="s">
        <v>834</v>
      </c>
      <c r="I349" s="22">
        <v>12521.79</v>
      </c>
      <c r="J349" s="22"/>
      <c r="K349" s="22">
        <f t="shared" si="4"/>
        <v>12521.79</v>
      </c>
      <c r="L349" s="17"/>
      <c r="M349" s="23" t="s">
        <v>41</v>
      </c>
      <c r="N349" s="1" t="s">
        <v>835</v>
      </c>
    </row>
    <row r="350" spans="1:14" x14ac:dyDescent="0.25">
      <c r="A350" s="10">
        <v>46048</v>
      </c>
      <c r="B350" s="2" t="s">
        <v>830</v>
      </c>
      <c r="C350" s="2" t="s">
        <v>831</v>
      </c>
      <c r="D350" s="2" t="s">
        <v>832</v>
      </c>
      <c r="E350" s="3" t="s">
        <v>833</v>
      </c>
      <c r="G350" s="4" t="s">
        <v>48</v>
      </c>
      <c r="H350" s="22" t="s">
        <v>49</v>
      </c>
      <c r="I350" s="22"/>
      <c r="J350" s="22">
        <f>I349</f>
        <v>12521.79</v>
      </c>
      <c r="K350" s="22">
        <f t="shared" si="4"/>
        <v>12521.79</v>
      </c>
      <c r="L350" s="17"/>
    </row>
    <row r="351" spans="1:14" ht="24" x14ac:dyDescent="0.25">
      <c r="A351" s="10">
        <v>46048</v>
      </c>
      <c r="B351" s="2" t="s">
        <v>836</v>
      </c>
      <c r="C351" s="2" t="s">
        <v>837</v>
      </c>
      <c r="D351" s="2" t="s">
        <v>832</v>
      </c>
      <c r="E351" s="3" t="s">
        <v>833</v>
      </c>
      <c r="F351" s="4">
        <v>6672.34</v>
      </c>
      <c r="G351" s="4" t="s">
        <v>98</v>
      </c>
      <c r="H351" s="22" t="s">
        <v>834</v>
      </c>
      <c r="I351" s="22">
        <v>6672.34</v>
      </c>
      <c r="J351" s="22"/>
      <c r="K351" s="22">
        <f t="shared" si="4"/>
        <v>6672.34</v>
      </c>
      <c r="L351" s="17"/>
      <c r="M351" s="23" t="s">
        <v>41</v>
      </c>
      <c r="N351" s="1" t="s">
        <v>838</v>
      </c>
    </row>
    <row r="352" spans="1:14" x14ac:dyDescent="0.25">
      <c r="A352" s="10">
        <v>46048</v>
      </c>
      <c r="B352" s="2" t="s">
        <v>836</v>
      </c>
      <c r="C352" s="2" t="s">
        <v>837</v>
      </c>
      <c r="D352" s="2" t="s">
        <v>832</v>
      </c>
      <c r="E352" s="3" t="s">
        <v>833</v>
      </c>
      <c r="G352" s="4" t="s">
        <v>48</v>
      </c>
      <c r="H352" s="22" t="s">
        <v>49</v>
      </c>
      <c r="I352" s="22"/>
      <c r="J352" s="22">
        <f>I351</f>
        <v>6672.34</v>
      </c>
      <c r="K352" s="22">
        <f t="shared" si="4"/>
        <v>6672.34</v>
      </c>
      <c r="L352" s="17"/>
    </row>
    <row r="353" spans="1:20" ht="24" x14ac:dyDescent="0.25">
      <c r="A353" s="10">
        <v>46048</v>
      </c>
      <c r="B353" s="2" t="s">
        <v>839</v>
      </c>
      <c r="C353" s="2" t="s">
        <v>840</v>
      </c>
      <c r="D353" s="2" t="s">
        <v>841</v>
      </c>
      <c r="E353" s="3" t="s">
        <v>114</v>
      </c>
      <c r="F353" s="4">
        <f>10300-(10300*0.05)</f>
        <v>9785</v>
      </c>
      <c r="G353" s="4" t="s">
        <v>110</v>
      </c>
      <c r="H353" s="22" t="s">
        <v>40</v>
      </c>
      <c r="I353" s="22">
        <v>10300</v>
      </c>
      <c r="J353" s="22"/>
      <c r="K353" s="22">
        <f t="shared" si="4"/>
        <v>10300</v>
      </c>
      <c r="L353" s="17">
        <v>9785</v>
      </c>
      <c r="M353" s="23" t="s">
        <v>41</v>
      </c>
      <c r="N353" s="1" t="s">
        <v>842</v>
      </c>
      <c r="O353" s="7" t="s">
        <v>116</v>
      </c>
      <c r="Q353" s="7" t="s">
        <v>81</v>
      </c>
      <c r="R353" s="7" t="s">
        <v>843</v>
      </c>
      <c r="S353" s="3" t="s">
        <v>83</v>
      </c>
      <c r="T353" s="3" t="s">
        <v>844</v>
      </c>
    </row>
    <row r="354" spans="1:20" x14ac:dyDescent="0.25">
      <c r="A354" s="10">
        <v>46048</v>
      </c>
      <c r="B354" s="2" t="s">
        <v>839</v>
      </c>
      <c r="C354" s="2" t="s">
        <v>840</v>
      </c>
      <c r="D354" s="2" t="s">
        <v>841</v>
      </c>
      <c r="E354" s="3" t="s">
        <v>114</v>
      </c>
      <c r="G354" s="4" t="s">
        <v>110</v>
      </c>
      <c r="H354" s="22" t="s">
        <v>105</v>
      </c>
      <c r="I354" s="22"/>
      <c r="J354" s="22">
        <f>I353*0.05</f>
        <v>515</v>
      </c>
      <c r="K354" s="22">
        <f t="shared" si="4"/>
        <v>515</v>
      </c>
      <c r="L354" s="17"/>
    </row>
    <row r="355" spans="1:20" x14ac:dyDescent="0.25">
      <c r="A355" s="10">
        <v>46048</v>
      </c>
      <c r="B355" s="2" t="s">
        <v>839</v>
      </c>
      <c r="C355" s="2" t="s">
        <v>840</v>
      </c>
      <c r="D355" s="2" t="s">
        <v>841</v>
      </c>
      <c r="E355" s="3" t="s">
        <v>114</v>
      </c>
      <c r="G355" s="4" t="s">
        <v>48</v>
      </c>
      <c r="H355" s="22" t="s">
        <v>81</v>
      </c>
      <c r="I355" s="22"/>
      <c r="J355" s="22">
        <f>I353-J354</f>
        <v>9785</v>
      </c>
      <c r="K355" s="22">
        <f t="shared" si="4"/>
        <v>9785</v>
      </c>
      <c r="L355" s="17"/>
    </row>
    <row r="356" spans="1:20" ht="24" x14ac:dyDescent="0.25">
      <c r="A356" s="10">
        <v>46048</v>
      </c>
      <c r="B356" s="2" t="s">
        <v>845</v>
      </c>
      <c r="C356" s="2" t="s">
        <v>74</v>
      </c>
      <c r="D356" s="2" t="s">
        <v>846</v>
      </c>
      <c r="E356" s="3" t="s">
        <v>76</v>
      </c>
      <c r="F356" s="4">
        <v>10300</v>
      </c>
      <c r="G356" s="4" t="s">
        <v>847</v>
      </c>
      <c r="H356" s="22" t="s">
        <v>78</v>
      </c>
      <c r="I356" s="22"/>
      <c r="J356" s="22"/>
      <c r="K356" s="22">
        <f t="shared" si="4"/>
        <v>0</v>
      </c>
      <c r="L356" s="17">
        <v>10300</v>
      </c>
      <c r="M356" s="23" t="s">
        <v>41</v>
      </c>
      <c r="N356" s="1" t="s">
        <v>848</v>
      </c>
      <c r="O356" s="28" t="s">
        <v>80</v>
      </c>
      <c r="P356" s="28"/>
      <c r="Q356" s="7" t="s">
        <v>777</v>
      </c>
      <c r="R356" s="7" t="s">
        <v>843</v>
      </c>
      <c r="S356" s="3" t="s">
        <v>45</v>
      </c>
      <c r="T356" s="3" t="s">
        <v>778</v>
      </c>
    </row>
    <row r="357" spans="1:20" x14ac:dyDescent="0.25">
      <c r="A357" s="10">
        <v>46048</v>
      </c>
      <c r="B357" s="2" t="s">
        <v>845</v>
      </c>
      <c r="C357" s="2" t="s">
        <v>74</v>
      </c>
      <c r="D357" s="2" t="s">
        <v>846</v>
      </c>
      <c r="E357" s="3" t="s">
        <v>76</v>
      </c>
      <c r="G357" s="4" t="s">
        <v>48</v>
      </c>
      <c r="H357" s="22" t="s">
        <v>360</v>
      </c>
      <c r="I357" s="22"/>
      <c r="J357" s="22"/>
      <c r="K357" s="22">
        <f t="shared" si="4"/>
        <v>0</v>
      </c>
      <c r="L357" s="17"/>
    </row>
    <row r="358" spans="1:20" ht="24" x14ac:dyDescent="0.25">
      <c r="A358" s="10">
        <v>46048</v>
      </c>
      <c r="B358" s="2" t="s">
        <v>849</v>
      </c>
      <c r="D358" s="2" t="s">
        <v>850</v>
      </c>
      <c r="E358" s="3" t="s">
        <v>275</v>
      </c>
      <c r="F358" s="4">
        <f>(41969.24-822.93)+822.93-137.15</f>
        <v>41832.089999999997</v>
      </c>
      <c r="G358" s="4" t="s">
        <v>28</v>
      </c>
      <c r="H358" s="22" t="s">
        <v>276</v>
      </c>
      <c r="I358" s="22">
        <v>41146.31</v>
      </c>
      <c r="J358" s="22"/>
      <c r="K358" s="22">
        <f t="shared" si="4"/>
        <v>41146.31</v>
      </c>
      <c r="L358" s="17">
        <v>41832.089999999997</v>
      </c>
      <c r="M358" s="23" t="s">
        <v>41</v>
      </c>
      <c r="N358" s="1" t="s">
        <v>851</v>
      </c>
      <c r="O358" s="7" t="s">
        <v>278</v>
      </c>
      <c r="P358" s="7" t="s">
        <v>81</v>
      </c>
      <c r="R358" s="7" t="s">
        <v>279</v>
      </c>
      <c r="T358" s="3" t="s">
        <v>280</v>
      </c>
    </row>
    <row r="359" spans="1:20" x14ac:dyDescent="0.25">
      <c r="A359" s="10">
        <v>46048</v>
      </c>
      <c r="B359" s="2" t="s">
        <v>849</v>
      </c>
      <c r="D359" s="2" t="s">
        <v>850</v>
      </c>
      <c r="E359" s="3" t="s">
        <v>275</v>
      </c>
      <c r="G359" s="4" t="s">
        <v>28</v>
      </c>
      <c r="H359" s="22" t="s">
        <v>281</v>
      </c>
      <c r="I359" s="22">
        <v>822.93</v>
      </c>
      <c r="J359" s="22"/>
      <c r="K359" s="22">
        <f t="shared" si="4"/>
        <v>822.93</v>
      </c>
      <c r="L359" s="17"/>
    </row>
    <row r="360" spans="1:20" x14ac:dyDescent="0.25">
      <c r="A360" s="10">
        <v>46048</v>
      </c>
      <c r="B360" s="2" t="s">
        <v>849</v>
      </c>
      <c r="D360" s="2" t="s">
        <v>850</v>
      </c>
      <c r="E360" s="3" t="s">
        <v>275</v>
      </c>
      <c r="G360" s="4" t="s">
        <v>28</v>
      </c>
      <c r="H360" s="22" t="s">
        <v>282</v>
      </c>
      <c r="I360" s="22"/>
      <c r="J360" s="22">
        <v>137.15</v>
      </c>
      <c r="K360" s="22">
        <f t="shared" si="4"/>
        <v>137.15</v>
      </c>
      <c r="L360" s="17"/>
    </row>
    <row r="361" spans="1:20" x14ac:dyDescent="0.25">
      <c r="A361" s="10">
        <v>46048</v>
      </c>
      <c r="B361" s="2" t="s">
        <v>849</v>
      </c>
      <c r="D361" s="2" t="s">
        <v>850</v>
      </c>
      <c r="E361" s="3" t="s">
        <v>275</v>
      </c>
      <c r="G361" s="4" t="s">
        <v>48</v>
      </c>
      <c r="H361" s="22" t="s">
        <v>49</v>
      </c>
      <c r="I361" s="22"/>
      <c r="J361" s="22">
        <f>I358+I359-J360</f>
        <v>41832.089999999997</v>
      </c>
      <c r="K361" s="22">
        <f t="shared" si="4"/>
        <v>41832.089999999997</v>
      </c>
      <c r="L361" s="17"/>
    </row>
    <row r="362" spans="1:20" ht="24" x14ac:dyDescent="0.25">
      <c r="A362" s="10">
        <v>46048</v>
      </c>
      <c r="B362" s="2" t="s">
        <v>852</v>
      </c>
      <c r="D362" s="2" t="s">
        <v>850</v>
      </c>
      <c r="E362" s="3" t="s">
        <v>275</v>
      </c>
      <c r="F362" s="4">
        <f>(13592.53-266.52)+266.52-44.42</f>
        <v>13548.11</v>
      </c>
      <c r="G362" s="4" t="s">
        <v>48</v>
      </c>
      <c r="H362" s="22" t="s">
        <v>276</v>
      </c>
      <c r="I362" s="22">
        <v>13326.01</v>
      </c>
      <c r="J362" s="22"/>
      <c r="K362" s="22">
        <f t="shared" si="4"/>
        <v>13326.01</v>
      </c>
      <c r="L362" s="17"/>
      <c r="M362" s="6" t="s">
        <v>581</v>
      </c>
      <c r="N362" s="1" t="s">
        <v>853</v>
      </c>
    </row>
    <row r="363" spans="1:20" x14ac:dyDescent="0.25">
      <c r="A363" s="10">
        <v>46048</v>
      </c>
      <c r="B363" s="2" t="s">
        <v>852</v>
      </c>
      <c r="D363" s="2" t="s">
        <v>850</v>
      </c>
      <c r="E363" s="3" t="s">
        <v>275</v>
      </c>
      <c r="G363" s="4" t="s">
        <v>48</v>
      </c>
      <c r="H363" s="22" t="s">
        <v>281</v>
      </c>
      <c r="I363" s="22">
        <v>266.52</v>
      </c>
      <c r="J363" s="22"/>
      <c r="K363" s="22">
        <f t="shared" si="4"/>
        <v>266.52</v>
      </c>
      <c r="L363" s="17"/>
    </row>
    <row r="364" spans="1:20" x14ac:dyDescent="0.25">
      <c r="A364" s="10">
        <v>46048</v>
      </c>
      <c r="B364" s="2" t="s">
        <v>852</v>
      </c>
      <c r="D364" s="2" t="s">
        <v>850</v>
      </c>
      <c r="E364" s="3" t="s">
        <v>275</v>
      </c>
      <c r="G364" s="4" t="s">
        <v>48</v>
      </c>
      <c r="H364" s="22" t="s">
        <v>282</v>
      </c>
      <c r="I364" s="22"/>
      <c r="J364" s="22">
        <v>44.42</v>
      </c>
      <c r="K364" s="22">
        <f t="shared" si="4"/>
        <v>44.42</v>
      </c>
      <c r="L364" s="17"/>
    </row>
    <row r="365" spans="1:20" x14ac:dyDescent="0.25">
      <c r="A365" s="10">
        <v>46048</v>
      </c>
      <c r="B365" s="2" t="s">
        <v>852</v>
      </c>
      <c r="D365" s="2" t="s">
        <v>850</v>
      </c>
      <c r="E365" s="3" t="s">
        <v>275</v>
      </c>
      <c r="G365" s="4" t="s">
        <v>48</v>
      </c>
      <c r="H365" s="22" t="s">
        <v>49</v>
      </c>
      <c r="I365" s="22"/>
      <c r="J365" s="22">
        <f>I362+I363-J364</f>
        <v>13548.11</v>
      </c>
      <c r="K365" s="22">
        <f t="shared" si="4"/>
        <v>13548.11</v>
      </c>
      <c r="L365" s="17"/>
    </row>
    <row r="366" spans="1:20" ht="24" x14ac:dyDescent="0.25">
      <c r="A366" s="10">
        <v>46049</v>
      </c>
      <c r="B366" s="2" t="s">
        <v>854</v>
      </c>
      <c r="C366" s="2" t="s">
        <v>310</v>
      </c>
      <c r="E366" s="3" t="s">
        <v>371</v>
      </c>
      <c r="F366" s="4">
        <v>17940</v>
      </c>
      <c r="G366" s="4" t="s">
        <v>98</v>
      </c>
      <c r="H366" s="22" t="s">
        <v>372</v>
      </c>
      <c r="I366" s="22">
        <v>17940</v>
      </c>
      <c r="J366" s="22"/>
      <c r="K366" s="22">
        <f t="shared" si="4"/>
        <v>17940</v>
      </c>
      <c r="L366" s="17">
        <v>17940</v>
      </c>
      <c r="M366" s="23" t="s">
        <v>41</v>
      </c>
      <c r="N366" s="1" t="s">
        <v>855</v>
      </c>
      <c r="O366" s="24" t="s">
        <v>856</v>
      </c>
      <c r="P366" s="24"/>
      <c r="Q366" s="25" t="s">
        <v>857</v>
      </c>
      <c r="R366" s="7" t="s">
        <v>858</v>
      </c>
      <c r="S366" s="3" t="s">
        <v>71</v>
      </c>
      <c r="T366" s="3" t="s">
        <v>103</v>
      </c>
    </row>
    <row r="367" spans="1:20" x14ac:dyDescent="0.25">
      <c r="A367" s="10">
        <v>46049</v>
      </c>
      <c r="B367" s="2" t="s">
        <v>854</v>
      </c>
      <c r="C367" s="2" t="s">
        <v>310</v>
      </c>
      <c r="E367" s="3" t="s">
        <v>371</v>
      </c>
      <c r="G367" s="4" t="s">
        <v>48</v>
      </c>
      <c r="H367" s="22" t="s">
        <v>320</v>
      </c>
      <c r="I367" s="22"/>
      <c r="J367" s="22">
        <f>I366</f>
        <v>17940</v>
      </c>
      <c r="K367" s="22">
        <f t="shared" ref="K367:K430" si="5">ABS(I367-J367)</f>
        <v>17940</v>
      </c>
      <c r="L367" s="17"/>
      <c r="M367" s="23"/>
      <c r="O367" s="24"/>
      <c r="P367" s="24"/>
      <c r="Q367" s="25"/>
    </row>
    <row r="368" spans="1:20" x14ac:dyDescent="0.25">
      <c r="A368" s="10">
        <v>46049</v>
      </c>
      <c r="B368" s="2" t="s">
        <v>859</v>
      </c>
      <c r="C368" s="2" t="s">
        <v>95</v>
      </c>
      <c r="D368" s="2" t="s">
        <v>860</v>
      </c>
      <c r="E368" s="3" t="s">
        <v>467</v>
      </c>
      <c r="F368" s="4">
        <v>2500</v>
      </c>
      <c r="G368" s="4" t="s">
        <v>861</v>
      </c>
      <c r="H368" s="22" t="s">
        <v>862</v>
      </c>
      <c r="I368" s="22">
        <v>2500</v>
      </c>
      <c r="J368" s="22"/>
      <c r="K368" s="22">
        <f t="shared" si="5"/>
        <v>2500</v>
      </c>
      <c r="L368" s="17">
        <v>2500</v>
      </c>
      <c r="M368" s="23" t="s">
        <v>41</v>
      </c>
      <c r="N368" s="1" t="s">
        <v>863</v>
      </c>
    </row>
    <row r="369" spans="1:20" x14ac:dyDescent="0.25">
      <c r="A369" s="10">
        <v>46049</v>
      </c>
      <c r="B369" s="2" t="s">
        <v>859</v>
      </c>
      <c r="C369" s="2" t="s">
        <v>95</v>
      </c>
      <c r="D369" s="2" t="s">
        <v>860</v>
      </c>
      <c r="E369" s="3" t="s">
        <v>467</v>
      </c>
      <c r="G369" s="4" t="s">
        <v>48</v>
      </c>
      <c r="H369" s="22" t="s">
        <v>81</v>
      </c>
      <c r="I369" s="22"/>
      <c r="J369" s="22">
        <f>I368</f>
        <v>2500</v>
      </c>
      <c r="K369" s="22">
        <f t="shared" si="5"/>
        <v>2500</v>
      </c>
      <c r="L369" s="17"/>
    </row>
    <row r="370" spans="1:20" x14ac:dyDescent="0.25">
      <c r="A370" s="10">
        <v>46049</v>
      </c>
      <c r="B370" s="2" t="s">
        <v>864</v>
      </c>
      <c r="C370" s="2" t="s">
        <v>134</v>
      </c>
      <c r="D370" s="2" t="s">
        <v>865</v>
      </c>
      <c r="E370" s="3" t="s">
        <v>866</v>
      </c>
      <c r="F370" s="4">
        <v>10000</v>
      </c>
      <c r="G370" s="4" t="s">
        <v>48</v>
      </c>
      <c r="H370" s="22" t="s">
        <v>137</v>
      </c>
      <c r="I370" s="22">
        <v>10000</v>
      </c>
      <c r="J370" s="22"/>
      <c r="K370" s="22">
        <f t="shared" si="5"/>
        <v>10000</v>
      </c>
      <c r="L370" s="17">
        <v>10000</v>
      </c>
      <c r="M370" s="23" t="s">
        <v>41</v>
      </c>
      <c r="N370" s="1" t="s">
        <v>138</v>
      </c>
    </row>
    <row r="371" spans="1:20" x14ac:dyDescent="0.25">
      <c r="A371" s="10">
        <v>46049</v>
      </c>
      <c r="B371" s="2" t="s">
        <v>864</v>
      </c>
      <c r="C371" s="2" t="s">
        <v>134</v>
      </c>
      <c r="D371" s="2" t="s">
        <v>865</v>
      </c>
      <c r="E371" s="3" t="s">
        <v>866</v>
      </c>
      <c r="G371" s="4" t="s">
        <v>48</v>
      </c>
      <c r="H371" s="22" t="s">
        <v>81</v>
      </c>
      <c r="I371" s="22"/>
      <c r="J371" s="22">
        <f>I370</f>
        <v>10000</v>
      </c>
      <c r="K371" s="22">
        <f t="shared" si="5"/>
        <v>10000</v>
      </c>
      <c r="L371" s="17"/>
      <c r="M371" s="23"/>
    </row>
    <row r="372" spans="1:20" ht="24" x14ac:dyDescent="0.25">
      <c r="A372" s="10">
        <v>46049</v>
      </c>
      <c r="B372" s="2" t="s">
        <v>867</v>
      </c>
      <c r="C372" s="2" t="s">
        <v>868</v>
      </c>
      <c r="E372" s="3" t="s">
        <v>869</v>
      </c>
      <c r="F372" s="4">
        <f>7740+7033.33+3791.67</f>
        <v>18565</v>
      </c>
      <c r="G372" s="4" t="s">
        <v>48</v>
      </c>
      <c r="H372" s="22" t="s">
        <v>81</v>
      </c>
      <c r="I372" s="22">
        <v>18565</v>
      </c>
      <c r="J372" s="22"/>
      <c r="K372" s="22">
        <f t="shared" si="5"/>
        <v>18565</v>
      </c>
      <c r="L372" s="17">
        <v>18565</v>
      </c>
      <c r="M372" s="23" t="s">
        <v>41</v>
      </c>
      <c r="N372" s="1" t="s">
        <v>870</v>
      </c>
      <c r="O372" s="7" t="s">
        <v>871</v>
      </c>
      <c r="Q372" s="7" t="s">
        <v>777</v>
      </c>
      <c r="R372" s="7" t="s">
        <v>858</v>
      </c>
      <c r="S372" s="3" t="s">
        <v>45</v>
      </c>
      <c r="T372" s="3" t="s">
        <v>872</v>
      </c>
    </row>
    <row r="373" spans="1:20" x14ac:dyDescent="0.25">
      <c r="A373" s="10">
        <v>46049</v>
      </c>
      <c r="B373" s="2" t="s">
        <v>867</v>
      </c>
      <c r="C373" s="2" t="s">
        <v>868</v>
      </c>
      <c r="E373" s="3" t="s">
        <v>869</v>
      </c>
      <c r="G373" s="4" t="s">
        <v>48</v>
      </c>
      <c r="H373" s="22" t="s">
        <v>360</v>
      </c>
      <c r="I373" s="22"/>
      <c r="J373" s="22">
        <f>I372</f>
        <v>18565</v>
      </c>
      <c r="K373" s="22">
        <f t="shared" si="5"/>
        <v>18565</v>
      </c>
      <c r="L373" s="17"/>
      <c r="M373" s="23"/>
    </row>
    <row r="374" spans="1:20" ht="24" x14ac:dyDescent="0.25">
      <c r="A374" s="10">
        <v>46049</v>
      </c>
      <c r="B374" s="2" t="s">
        <v>873</v>
      </c>
      <c r="C374" s="2" t="s">
        <v>868</v>
      </c>
      <c r="E374" s="3" t="s">
        <v>869</v>
      </c>
      <c r="F374" s="4">
        <f>10000+2500</f>
        <v>12500</v>
      </c>
      <c r="G374" s="4" t="s">
        <v>48</v>
      </c>
      <c r="H374" s="22" t="s">
        <v>81</v>
      </c>
      <c r="I374" s="22">
        <v>12500</v>
      </c>
      <c r="J374" s="22"/>
      <c r="K374" s="22">
        <f t="shared" si="5"/>
        <v>12500</v>
      </c>
      <c r="L374" s="17">
        <v>12500</v>
      </c>
      <c r="M374" s="23" t="s">
        <v>41</v>
      </c>
      <c r="N374" s="1" t="s">
        <v>874</v>
      </c>
      <c r="O374" s="7" t="s">
        <v>871</v>
      </c>
      <c r="Q374" s="7" t="s">
        <v>777</v>
      </c>
      <c r="R374" s="7" t="s">
        <v>858</v>
      </c>
      <c r="S374" s="3" t="s">
        <v>45</v>
      </c>
      <c r="T374" s="3" t="s">
        <v>872</v>
      </c>
    </row>
    <row r="375" spans="1:20" x14ac:dyDescent="0.25">
      <c r="A375" s="10">
        <v>46049</v>
      </c>
      <c r="B375" s="2" t="s">
        <v>873</v>
      </c>
      <c r="C375" s="2" t="s">
        <v>868</v>
      </c>
      <c r="E375" s="3" t="s">
        <v>869</v>
      </c>
      <c r="G375" s="4" t="s">
        <v>48</v>
      </c>
      <c r="H375" s="22" t="s">
        <v>360</v>
      </c>
      <c r="I375" s="22"/>
      <c r="J375" s="22">
        <f>I374</f>
        <v>12500</v>
      </c>
      <c r="K375" s="22">
        <f t="shared" si="5"/>
        <v>12500</v>
      </c>
      <c r="L375" s="17"/>
      <c r="M375" s="23"/>
    </row>
    <row r="376" spans="1:20" ht="24" x14ac:dyDescent="0.25">
      <c r="A376" s="10">
        <v>46049</v>
      </c>
      <c r="B376" s="2" t="s">
        <v>875</v>
      </c>
      <c r="C376" s="2" t="s">
        <v>876</v>
      </c>
      <c r="D376" s="2" t="s">
        <v>877</v>
      </c>
      <c r="E376" s="3" t="s">
        <v>307</v>
      </c>
      <c r="F376" s="4">
        <f>(7200/1.12)+(7200/1.12*0.12)-(7200/1.12*0.01)</f>
        <v>7135.7142857142844</v>
      </c>
      <c r="G376" s="4" t="s">
        <v>28</v>
      </c>
      <c r="H376" s="22" t="s">
        <v>40</v>
      </c>
      <c r="I376" s="22">
        <f>7200/1.12</f>
        <v>6428.5714285714275</v>
      </c>
      <c r="J376" s="22"/>
      <c r="K376" s="22">
        <f t="shared" si="5"/>
        <v>6428.5714285714275</v>
      </c>
      <c r="L376" s="17">
        <v>7135.71</v>
      </c>
      <c r="M376" s="23" t="s">
        <v>41</v>
      </c>
      <c r="N376" s="1" t="s">
        <v>878</v>
      </c>
    </row>
    <row r="377" spans="1:20" x14ac:dyDescent="0.25">
      <c r="A377" s="10">
        <v>46049</v>
      </c>
      <c r="B377" s="2" t="s">
        <v>875</v>
      </c>
      <c r="C377" s="2" t="s">
        <v>876</v>
      </c>
      <c r="D377" s="2" t="s">
        <v>877</v>
      </c>
      <c r="E377" s="3" t="s">
        <v>307</v>
      </c>
      <c r="G377" s="4" t="s">
        <v>28</v>
      </c>
      <c r="H377" s="22" t="s">
        <v>104</v>
      </c>
      <c r="I377" s="22">
        <f>I376*0.12</f>
        <v>771.42857142857133</v>
      </c>
      <c r="J377" s="22"/>
      <c r="K377" s="22">
        <f t="shared" si="5"/>
        <v>771.42857142857133</v>
      </c>
      <c r="L377" s="17"/>
    </row>
    <row r="378" spans="1:20" x14ac:dyDescent="0.25">
      <c r="A378" s="10">
        <v>46049</v>
      </c>
      <c r="B378" s="2" t="s">
        <v>875</v>
      </c>
      <c r="C378" s="2" t="s">
        <v>876</v>
      </c>
      <c r="D378" s="2" t="s">
        <v>877</v>
      </c>
      <c r="E378" s="3" t="s">
        <v>307</v>
      </c>
      <c r="G378" s="4" t="s">
        <v>28</v>
      </c>
      <c r="H378" s="22" t="s">
        <v>105</v>
      </c>
      <c r="I378" s="22"/>
      <c r="J378" s="22">
        <f>I376*0.01</f>
        <v>64.285714285714278</v>
      </c>
      <c r="K378" s="22">
        <f t="shared" si="5"/>
        <v>64.285714285714278</v>
      </c>
      <c r="L378" s="17"/>
    </row>
    <row r="379" spans="1:20" x14ac:dyDescent="0.25">
      <c r="A379" s="10">
        <v>46049</v>
      </c>
      <c r="B379" s="2" t="s">
        <v>875</v>
      </c>
      <c r="C379" s="2" t="s">
        <v>876</v>
      </c>
      <c r="D379" s="2" t="s">
        <v>877</v>
      </c>
      <c r="E379" s="3" t="s">
        <v>307</v>
      </c>
      <c r="G379" s="4" t="s">
        <v>48</v>
      </c>
      <c r="H379" s="22" t="s">
        <v>81</v>
      </c>
      <c r="I379" s="22"/>
      <c r="J379" s="22">
        <f>I376+I377-J378</f>
        <v>7135.7142857142844</v>
      </c>
      <c r="K379" s="22">
        <f t="shared" si="5"/>
        <v>7135.7142857142844</v>
      </c>
      <c r="L379" s="17"/>
    </row>
    <row r="380" spans="1:20" ht="24" x14ac:dyDescent="0.25">
      <c r="A380" s="10">
        <v>46049</v>
      </c>
      <c r="B380" s="2" t="s">
        <v>879</v>
      </c>
      <c r="C380" s="2" t="s">
        <v>880</v>
      </c>
      <c r="D380" s="2" t="s">
        <v>716</v>
      </c>
      <c r="E380" s="3" t="s">
        <v>123</v>
      </c>
      <c r="F380" s="4">
        <f>(9340/1.12)+(9340/1.12*0.12)-(9340/1.12*0.01)</f>
        <v>9256.6071428571431</v>
      </c>
      <c r="G380" s="4" t="s">
        <v>128</v>
      </c>
      <c r="H380" s="22" t="s">
        <v>40</v>
      </c>
      <c r="I380" s="22">
        <f>9340/1.12</f>
        <v>8339.2857142857138</v>
      </c>
      <c r="J380" s="22"/>
      <c r="K380" s="22">
        <f t="shared" si="5"/>
        <v>8339.2857142857138</v>
      </c>
      <c r="L380" s="17"/>
      <c r="M380" s="23" t="s">
        <v>41</v>
      </c>
      <c r="N380" s="1" t="s">
        <v>881</v>
      </c>
    </row>
    <row r="381" spans="1:20" x14ac:dyDescent="0.25">
      <c r="A381" s="10">
        <v>46049</v>
      </c>
      <c r="B381" s="2" t="s">
        <v>879</v>
      </c>
      <c r="C381" s="2" t="s">
        <v>880</v>
      </c>
      <c r="D381" s="2" t="s">
        <v>716</v>
      </c>
      <c r="E381" s="3" t="s">
        <v>123</v>
      </c>
      <c r="G381" s="4" t="s">
        <v>128</v>
      </c>
      <c r="H381" s="22" t="s">
        <v>104</v>
      </c>
      <c r="I381" s="22">
        <f>I380*0.12</f>
        <v>1000.7142857142857</v>
      </c>
      <c r="J381" s="22"/>
      <c r="K381" s="22">
        <f t="shared" si="5"/>
        <v>1000.7142857142857</v>
      </c>
      <c r="L381" s="17"/>
    </row>
    <row r="382" spans="1:20" x14ac:dyDescent="0.25">
      <c r="A382" s="10">
        <v>46049</v>
      </c>
      <c r="B382" s="2" t="s">
        <v>879</v>
      </c>
      <c r="C382" s="2" t="s">
        <v>880</v>
      </c>
      <c r="D382" s="2" t="s">
        <v>716</v>
      </c>
      <c r="E382" s="3" t="s">
        <v>123</v>
      </c>
      <c r="G382" s="4" t="s">
        <v>128</v>
      </c>
      <c r="H382" s="22" t="s">
        <v>105</v>
      </c>
      <c r="I382" s="22"/>
      <c r="J382" s="22">
        <f>I380*0.01</f>
        <v>83.392857142857139</v>
      </c>
      <c r="K382" s="22">
        <f t="shared" si="5"/>
        <v>83.392857142857139</v>
      </c>
      <c r="L382" s="17"/>
    </row>
    <row r="383" spans="1:20" x14ac:dyDescent="0.25">
      <c r="A383" s="10">
        <v>46049</v>
      </c>
      <c r="B383" s="2" t="s">
        <v>879</v>
      </c>
      <c r="C383" s="2" t="s">
        <v>880</v>
      </c>
      <c r="D383" s="2" t="s">
        <v>716</v>
      </c>
      <c r="E383" s="3" t="s">
        <v>123</v>
      </c>
      <c r="G383" s="4" t="s">
        <v>48</v>
      </c>
      <c r="H383" s="22" t="s">
        <v>49</v>
      </c>
      <c r="I383" s="22"/>
      <c r="J383" s="22">
        <f>I380+I381-J382</f>
        <v>9256.6071428571431</v>
      </c>
      <c r="K383" s="22">
        <f t="shared" si="5"/>
        <v>9256.6071428571431</v>
      </c>
      <c r="L383" s="17"/>
    </row>
    <row r="384" spans="1:20" ht="24" x14ac:dyDescent="0.25">
      <c r="A384" s="10">
        <v>46049</v>
      </c>
      <c r="B384" s="2" t="s">
        <v>882</v>
      </c>
      <c r="C384" s="2" t="s">
        <v>883</v>
      </c>
      <c r="D384" s="2" t="s">
        <v>884</v>
      </c>
      <c r="E384" s="3" t="s">
        <v>885</v>
      </c>
      <c r="F384" s="4">
        <v>1015</v>
      </c>
      <c r="G384" s="4" t="s">
        <v>28</v>
      </c>
      <c r="H384" s="22" t="s">
        <v>40</v>
      </c>
      <c r="I384" s="22">
        <v>1015</v>
      </c>
      <c r="J384" s="22"/>
      <c r="K384" s="22">
        <f t="shared" si="5"/>
        <v>1015</v>
      </c>
      <c r="L384" s="17"/>
      <c r="M384" s="23" t="s">
        <v>41</v>
      </c>
      <c r="N384" s="1" t="s">
        <v>886</v>
      </c>
    </row>
    <row r="385" spans="1:20" x14ac:dyDescent="0.25">
      <c r="A385" s="10">
        <v>46049</v>
      </c>
      <c r="B385" s="2" t="s">
        <v>882</v>
      </c>
      <c r="C385" s="2" t="s">
        <v>883</v>
      </c>
      <c r="D385" s="2" t="s">
        <v>884</v>
      </c>
      <c r="E385" s="3" t="s">
        <v>885</v>
      </c>
      <c r="G385" s="4" t="s">
        <v>48</v>
      </c>
      <c r="H385" s="22" t="s">
        <v>49</v>
      </c>
      <c r="I385" s="22"/>
      <c r="J385" s="22">
        <f>I384</f>
        <v>1015</v>
      </c>
      <c r="K385" s="22">
        <f t="shared" si="5"/>
        <v>1015</v>
      </c>
      <c r="L385" s="17"/>
    </row>
    <row r="386" spans="1:20" x14ac:dyDescent="0.25">
      <c r="A386" s="10">
        <v>46049</v>
      </c>
      <c r="B386" s="2" t="s">
        <v>887</v>
      </c>
      <c r="C386" s="2" t="s">
        <v>888</v>
      </c>
      <c r="D386" s="2" t="s">
        <v>884</v>
      </c>
      <c r="E386" s="3" t="s">
        <v>123</v>
      </c>
      <c r="F386" s="4">
        <f>(4800/1.12)+(4800/1.12*0.12)-(4800/1.12*0.01)</f>
        <v>4757.1428571428569</v>
      </c>
      <c r="G386" s="4" t="s">
        <v>28</v>
      </c>
      <c r="H386" s="22" t="s">
        <v>40</v>
      </c>
      <c r="I386" s="22">
        <f>4800/1.12</f>
        <v>4285.7142857142853</v>
      </c>
      <c r="J386" s="22"/>
      <c r="K386" s="22">
        <f t="shared" si="5"/>
        <v>4285.7142857142853</v>
      </c>
      <c r="L386" s="17"/>
      <c r="M386" s="23" t="s">
        <v>41</v>
      </c>
      <c r="N386" s="8" t="s">
        <v>889</v>
      </c>
    </row>
    <row r="387" spans="1:20" x14ac:dyDescent="0.25">
      <c r="A387" s="10">
        <v>46049</v>
      </c>
      <c r="B387" s="2" t="s">
        <v>887</v>
      </c>
      <c r="C387" s="2" t="s">
        <v>888</v>
      </c>
      <c r="D387" s="2" t="s">
        <v>884</v>
      </c>
      <c r="E387" s="3" t="s">
        <v>123</v>
      </c>
      <c r="G387" s="4" t="s">
        <v>28</v>
      </c>
      <c r="H387" s="22" t="s">
        <v>104</v>
      </c>
      <c r="I387" s="22">
        <f>I386*0.12</f>
        <v>514.28571428571422</v>
      </c>
      <c r="J387" s="22"/>
      <c r="K387" s="22">
        <f t="shared" si="5"/>
        <v>514.28571428571422</v>
      </c>
      <c r="L387" s="17"/>
      <c r="N387" s="8"/>
    </row>
    <row r="388" spans="1:20" x14ac:dyDescent="0.25">
      <c r="A388" s="10">
        <v>46049</v>
      </c>
      <c r="B388" s="2" t="s">
        <v>887</v>
      </c>
      <c r="C388" s="2" t="s">
        <v>888</v>
      </c>
      <c r="D388" s="2" t="s">
        <v>884</v>
      </c>
      <c r="E388" s="3" t="s">
        <v>123</v>
      </c>
      <c r="G388" s="4" t="s">
        <v>28</v>
      </c>
      <c r="H388" s="22" t="s">
        <v>105</v>
      </c>
      <c r="I388" s="22"/>
      <c r="J388" s="22">
        <f>I386*0.01</f>
        <v>42.857142857142854</v>
      </c>
      <c r="K388" s="22">
        <f t="shared" si="5"/>
        <v>42.857142857142854</v>
      </c>
      <c r="L388" s="17"/>
      <c r="N388" s="8"/>
    </row>
    <row r="389" spans="1:20" x14ac:dyDescent="0.25">
      <c r="A389" s="10">
        <v>46049</v>
      </c>
      <c r="B389" s="2" t="s">
        <v>887</v>
      </c>
      <c r="C389" s="2" t="s">
        <v>888</v>
      </c>
      <c r="D389" s="2" t="s">
        <v>884</v>
      </c>
      <c r="E389" s="3" t="s">
        <v>123</v>
      </c>
      <c r="G389" s="4" t="s">
        <v>48</v>
      </c>
      <c r="H389" s="22" t="s">
        <v>49</v>
      </c>
      <c r="I389" s="22"/>
      <c r="J389" s="22">
        <f>I386+I387-J388</f>
        <v>4757.1428571428569</v>
      </c>
      <c r="K389" s="22">
        <f t="shared" si="5"/>
        <v>4757.1428571428569</v>
      </c>
      <c r="L389" s="17"/>
      <c r="N389" s="8"/>
    </row>
    <row r="390" spans="1:20" ht="24" x14ac:dyDescent="0.25">
      <c r="A390" s="10">
        <v>46049</v>
      </c>
      <c r="B390" s="2" t="s">
        <v>890</v>
      </c>
      <c r="C390" s="2" t="s">
        <v>95</v>
      </c>
      <c r="D390" s="2" t="s">
        <v>891</v>
      </c>
      <c r="E390" s="3" t="s">
        <v>149</v>
      </c>
      <c r="F390" s="4">
        <v>50000</v>
      </c>
      <c r="G390" s="4" t="s">
        <v>48</v>
      </c>
      <c r="H390" s="22" t="s">
        <v>78</v>
      </c>
      <c r="I390" s="22">
        <v>50000</v>
      </c>
      <c r="J390" s="22"/>
      <c r="K390" s="22">
        <f t="shared" si="5"/>
        <v>50000</v>
      </c>
      <c r="L390" s="17"/>
      <c r="M390" s="6" t="s">
        <v>4023</v>
      </c>
      <c r="N390" s="1" t="s">
        <v>892</v>
      </c>
      <c r="O390" s="7" t="s">
        <v>893</v>
      </c>
    </row>
    <row r="391" spans="1:20" x14ac:dyDescent="0.25">
      <c r="A391" s="10">
        <v>46049</v>
      </c>
      <c r="B391" s="2" t="s">
        <v>890</v>
      </c>
      <c r="C391" s="2" t="s">
        <v>95</v>
      </c>
      <c r="D391" s="2" t="s">
        <v>891</v>
      </c>
      <c r="E391" s="3" t="s">
        <v>149</v>
      </c>
      <c r="G391" s="4" t="s">
        <v>48</v>
      </c>
      <c r="H391" s="22" t="s">
        <v>49</v>
      </c>
      <c r="I391" s="22"/>
      <c r="J391" s="22">
        <f>I390</f>
        <v>50000</v>
      </c>
      <c r="K391" s="22">
        <f t="shared" si="5"/>
        <v>50000</v>
      </c>
      <c r="L391" s="17"/>
    </row>
    <row r="392" spans="1:20" x14ac:dyDescent="0.25">
      <c r="A392" s="10">
        <v>46049</v>
      </c>
      <c r="B392" s="2" t="s">
        <v>894</v>
      </c>
      <c r="C392" s="2" t="s">
        <v>396</v>
      </c>
      <c r="D392" s="2" t="s">
        <v>895</v>
      </c>
      <c r="E392" s="3" t="s">
        <v>467</v>
      </c>
      <c r="F392" s="4">
        <v>20313.95</v>
      </c>
      <c r="G392" s="4" t="s">
        <v>28</v>
      </c>
      <c r="H392" s="22" t="s">
        <v>40</v>
      </c>
      <c r="I392" s="22">
        <v>3779.46</v>
      </c>
      <c r="J392" s="22"/>
      <c r="K392" s="22">
        <f t="shared" si="5"/>
        <v>3779.46</v>
      </c>
      <c r="L392" s="17">
        <v>20313.95</v>
      </c>
      <c r="M392" s="23" t="s">
        <v>41</v>
      </c>
      <c r="N392" s="1" t="s">
        <v>896</v>
      </c>
      <c r="O392" s="7" t="s">
        <v>606</v>
      </c>
      <c r="Q392" s="7" t="s">
        <v>81</v>
      </c>
      <c r="R392" s="7" t="s">
        <v>897</v>
      </c>
      <c r="S392" s="3" t="s">
        <v>83</v>
      </c>
      <c r="T392" s="3" t="s">
        <v>898</v>
      </c>
    </row>
    <row r="393" spans="1:20" x14ac:dyDescent="0.25">
      <c r="A393" s="10">
        <v>46049</v>
      </c>
      <c r="B393" s="2" t="s">
        <v>894</v>
      </c>
      <c r="C393" s="2" t="s">
        <v>396</v>
      </c>
      <c r="D393" s="2" t="s">
        <v>895</v>
      </c>
      <c r="E393" s="3" t="s">
        <v>467</v>
      </c>
      <c r="G393" s="4" t="s">
        <v>167</v>
      </c>
      <c r="H393" s="22" t="s">
        <v>899</v>
      </c>
      <c r="I393" s="22">
        <v>5558.39</v>
      </c>
      <c r="J393" s="22"/>
      <c r="K393" s="22">
        <f t="shared" si="5"/>
        <v>5558.39</v>
      </c>
      <c r="L393" s="17"/>
      <c r="M393" s="23"/>
    </row>
    <row r="394" spans="1:20" x14ac:dyDescent="0.25">
      <c r="A394" s="10">
        <v>46049</v>
      </c>
      <c r="B394" s="2" t="s">
        <v>894</v>
      </c>
      <c r="C394" s="2" t="s">
        <v>396</v>
      </c>
      <c r="D394" s="2" t="s">
        <v>895</v>
      </c>
      <c r="E394" s="3" t="s">
        <v>467</v>
      </c>
      <c r="G394" s="4" t="s">
        <v>167</v>
      </c>
      <c r="H394" s="22" t="s">
        <v>238</v>
      </c>
      <c r="I394" s="22">
        <v>2759</v>
      </c>
      <c r="J394" s="22"/>
      <c r="K394" s="22">
        <f t="shared" si="5"/>
        <v>2759</v>
      </c>
      <c r="L394" s="17"/>
      <c r="M394" s="23"/>
    </row>
    <row r="395" spans="1:20" x14ac:dyDescent="0.25">
      <c r="A395" s="10">
        <v>46049</v>
      </c>
      <c r="B395" s="2" t="s">
        <v>894</v>
      </c>
      <c r="C395" s="2" t="s">
        <v>396</v>
      </c>
      <c r="D395" s="2" t="s">
        <v>895</v>
      </c>
      <c r="E395" s="3" t="s">
        <v>467</v>
      </c>
      <c r="G395" s="4" t="s">
        <v>167</v>
      </c>
      <c r="H395" s="22" t="s">
        <v>168</v>
      </c>
      <c r="I395" s="22">
        <v>321.43</v>
      </c>
      <c r="J395" s="22"/>
      <c r="K395" s="22">
        <f t="shared" si="5"/>
        <v>321.43</v>
      </c>
      <c r="L395" s="17"/>
      <c r="M395" s="23"/>
    </row>
    <row r="396" spans="1:20" x14ac:dyDescent="0.25">
      <c r="A396" s="10">
        <v>46049</v>
      </c>
      <c r="B396" s="2" t="s">
        <v>894</v>
      </c>
      <c r="C396" s="2" t="s">
        <v>396</v>
      </c>
      <c r="D396" s="2" t="s">
        <v>895</v>
      </c>
      <c r="E396" s="3" t="s">
        <v>467</v>
      </c>
      <c r="G396" s="4" t="s">
        <v>167</v>
      </c>
      <c r="H396" s="22" t="s">
        <v>809</v>
      </c>
      <c r="I396" s="22">
        <v>5775</v>
      </c>
      <c r="J396" s="22"/>
      <c r="K396" s="22">
        <f t="shared" si="5"/>
        <v>5775</v>
      </c>
      <c r="L396" s="17"/>
      <c r="M396" s="23"/>
    </row>
    <row r="397" spans="1:20" x14ac:dyDescent="0.25">
      <c r="A397" s="10">
        <v>46049</v>
      </c>
      <c r="B397" s="2" t="s">
        <v>894</v>
      </c>
      <c r="C397" s="2" t="s">
        <v>396</v>
      </c>
      <c r="D397" s="2" t="s">
        <v>895</v>
      </c>
      <c r="E397" s="3" t="s">
        <v>467</v>
      </c>
      <c r="G397" s="4" t="s">
        <v>167</v>
      </c>
      <c r="H397" s="22" t="s">
        <v>900</v>
      </c>
      <c r="I397" s="22">
        <v>1071.43</v>
      </c>
      <c r="J397" s="22"/>
      <c r="K397" s="22">
        <f t="shared" si="5"/>
        <v>1071.43</v>
      </c>
      <c r="L397" s="17"/>
      <c r="M397" s="23"/>
    </row>
    <row r="398" spans="1:20" x14ac:dyDescent="0.25">
      <c r="A398" s="10">
        <v>46049</v>
      </c>
      <c r="B398" s="2" t="s">
        <v>894</v>
      </c>
      <c r="C398" s="2" t="s">
        <v>396</v>
      </c>
      <c r="D398" s="2" t="s">
        <v>895</v>
      </c>
      <c r="E398" s="3" t="s">
        <v>467</v>
      </c>
      <c r="G398" s="4" t="s">
        <v>48</v>
      </c>
      <c r="H398" s="22" t="s">
        <v>239</v>
      </c>
      <c r="I398" s="22">
        <v>1049.24</v>
      </c>
      <c r="J398" s="22"/>
      <c r="K398" s="22">
        <f t="shared" si="5"/>
        <v>1049.24</v>
      </c>
      <c r="L398" s="17"/>
      <c r="M398" s="23"/>
    </row>
    <row r="399" spans="1:20" x14ac:dyDescent="0.25">
      <c r="A399" s="10">
        <v>46049</v>
      </c>
      <c r="B399" s="2" t="s">
        <v>894</v>
      </c>
      <c r="C399" s="2" t="s">
        <v>396</v>
      </c>
      <c r="D399" s="2" t="s">
        <v>895</v>
      </c>
      <c r="E399" s="3" t="s">
        <v>467</v>
      </c>
      <c r="G399" s="4" t="s">
        <v>48</v>
      </c>
      <c r="H399" s="22" t="s">
        <v>81</v>
      </c>
      <c r="I399" s="22"/>
      <c r="J399" s="22">
        <f>I392+I393+I394+I395+I396+I397+I398</f>
        <v>20313.95</v>
      </c>
      <c r="K399" s="22">
        <f t="shared" si="5"/>
        <v>20313.95</v>
      </c>
      <c r="L399" s="17"/>
      <c r="M399" s="23"/>
    </row>
    <row r="400" spans="1:20" ht="48" x14ac:dyDescent="0.25">
      <c r="A400" s="10">
        <v>46049</v>
      </c>
      <c r="B400" s="2" t="s">
        <v>901</v>
      </c>
      <c r="C400" s="2" t="s">
        <v>147</v>
      </c>
      <c r="D400" s="2" t="s">
        <v>902</v>
      </c>
      <c r="E400" s="3" t="s">
        <v>903</v>
      </c>
      <c r="F400" s="4">
        <v>6500</v>
      </c>
      <c r="G400" s="4" t="s">
        <v>48</v>
      </c>
      <c r="H400" s="22" t="s">
        <v>78</v>
      </c>
      <c r="I400" s="22">
        <v>6500</v>
      </c>
      <c r="J400" s="22"/>
      <c r="K400" s="22">
        <f t="shared" si="5"/>
        <v>6500</v>
      </c>
      <c r="L400" s="17"/>
      <c r="M400" s="23" t="s">
        <v>41</v>
      </c>
      <c r="N400" s="1" t="s">
        <v>904</v>
      </c>
    </row>
    <row r="401" spans="1:20" x14ac:dyDescent="0.25">
      <c r="A401" s="10">
        <v>46049</v>
      </c>
      <c r="B401" s="2" t="s">
        <v>901</v>
      </c>
      <c r="C401" s="2" t="s">
        <v>147</v>
      </c>
      <c r="D401" s="2" t="s">
        <v>902</v>
      </c>
      <c r="E401" s="3" t="s">
        <v>903</v>
      </c>
      <c r="G401" s="4" t="s">
        <v>48</v>
      </c>
      <c r="H401" s="22" t="s">
        <v>49</v>
      </c>
      <c r="I401" s="22"/>
      <c r="J401" s="22">
        <f>I400</f>
        <v>6500</v>
      </c>
      <c r="K401" s="22">
        <f t="shared" si="5"/>
        <v>6500</v>
      </c>
      <c r="L401" s="17"/>
    </row>
    <row r="402" spans="1:20" ht="36" x14ac:dyDescent="0.25">
      <c r="A402" s="10">
        <v>46050</v>
      </c>
      <c r="B402" s="2" t="s">
        <v>905</v>
      </c>
      <c r="C402" s="2" t="s">
        <v>147</v>
      </c>
      <c r="D402" s="2" t="s">
        <v>906</v>
      </c>
      <c r="E402" s="3" t="s">
        <v>472</v>
      </c>
      <c r="F402" s="4">
        <v>7500</v>
      </c>
      <c r="G402" s="4" t="s">
        <v>48</v>
      </c>
      <c r="H402" s="22" t="s">
        <v>78</v>
      </c>
      <c r="I402" s="22">
        <v>7500</v>
      </c>
      <c r="J402" s="22"/>
      <c r="K402" s="22">
        <f t="shared" si="5"/>
        <v>7500</v>
      </c>
      <c r="L402" s="17">
        <v>7500</v>
      </c>
      <c r="M402" s="23" t="s">
        <v>41</v>
      </c>
      <c r="N402" s="1" t="s">
        <v>907</v>
      </c>
      <c r="O402" s="7" t="s">
        <v>908</v>
      </c>
      <c r="Q402" s="7" t="s">
        <v>81</v>
      </c>
      <c r="R402" s="7" t="s">
        <v>909</v>
      </c>
      <c r="S402" s="3" t="s">
        <v>83</v>
      </c>
      <c r="T402" s="3" t="s">
        <v>898</v>
      </c>
    </row>
    <row r="403" spans="1:20" x14ac:dyDescent="0.25">
      <c r="A403" s="10">
        <v>46050</v>
      </c>
      <c r="B403" s="2" t="s">
        <v>905</v>
      </c>
      <c r="C403" s="2" t="s">
        <v>147</v>
      </c>
      <c r="D403" s="2" t="s">
        <v>906</v>
      </c>
      <c r="E403" s="3" t="s">
        <v>472</v>
      </c>
      <c r="G403" s="4" t="s">
        <v>48</v>
      </c>
      <c r="H403" s="22" t="s">
        <v>81</v>
      </c>
      <c r="I403" s="22"/>
      <c r="J403" s="22">
        <f>I402</f>
        <v>7500</v>
      </c>
      <c r="K403" s="22">
        <f t="shared" si="5"/>
        <v>7500</v>
      </c>
      <c r="L403" s="17"/>
      <c r="M403" s="23"/>
    </row>
    <row r="404" spans="1:20" ht="24" x14ac:dyDescent="0.25">
      <c r="A404" s="10">
        <v>46050</v>
      </c>
      <c r="B404" s="2" t="s">
        <v>910</v>
      </c>
      <c r="C404" s="2" t="s">
        <v>95</v>
      </c>
      <c r="D404" s="2" t="s">
        <v>911</v>
      </c>
      <c r="E404" s="3" t="s">
        <v>261</v>
      </c>
      <c r="F404" s="4">
        <v>4500</v>
      </c>
      <c r="G404" s="4" t="s">
        <v>48</v>
      </c>
      <c r="H404" s="22" t="s">
        <v>78</v>
      </c>
      <c r="I404" s="22">
        <v>4500</v>
      </c>
      <c r="J404" s="22"/>
      <c r="K404" s="22">
        <f t="shared" si="5"/>
        <v>4500</v>
      </c>
      <c r="L404" s="17">
        <v>44500</v>
      </c>
      <c r="M404" s="23" t="s">
        <v>41</v>
      </c>
      <c r="N404" s="1" t="s">
        <v>912</v>
      </c>
      <c r="O404" s="7" t="s">
        <v>913</v>
      </c>
      <c r="Q404" s="7" t="s">
        <v>81</v>
      </c>
      <c r="R404" s="7" t="s">
        <v>909</v>
      </c>
      <c r="S404" s="3" t="s">
        <v>83</v>
      </c>
      <c r="T404" s="3" t="s">
        <v>898</v>
      </c>
    </row>
    <row r="405" spans="1:20" x14ac:dyDescent="0.25">
      <c r="A405" s="10">
        <v>46050</v>
      </c>
      <c r="B405" s="2" t="s">
        <v>910</v>
      </c>
      <c r="C405" s="2" t="s">
        <v>95</v>
      </c>
      <c r="D405" s="2" t="s">
        <v>911</v>
      </c>
      <c r="E405" s="3" t="s">
        <v>261</v>
      </c>
      <c r="G405" s="4" t="s">
        <v>48</v>
      </c>
      <c r="H405" s="22" t="s">
        <v>81</v>
      </c>
      <c r="I405" s="22"/>
      <c r="J405" s="22">
        <f>I404</f>
        <v>4500</v>
      </c>
      <c r="K405" s="22">
        <f t="shared" si="5"/>
        <v>4500</v>
      </c>
      <c r="L405" s="17"/>
      <c r="M405" s="23"/>
    </row>
    <row r="406" spans="1:20" ht="36" x14ac:dyDescent="0.25">
      <c r="A406" s="10">
        <v>46050</v>
      </c>
      <c r="B406" s="2" t="s">
        <v>914</v>
      </c>
      <c r="E406" s="3" t="s">
        <v>27</v>
      </c>
      <c r="F406" s="4">
        <v>500000</v>
      </c>
      <c r="G406" s="4" t="s">
        <v>48</v>
      </c>
      <c r="H406" s="22" t="s">
        <v>915</v>
      </c>
      <c r="I406" s="22">
        <v>500000</v>
      </c>
      <c r="J406" s="22"/>
      <c r="K406" s="22">
        <f t="shared" si="5"/>
        <v>500000</v>
      </c>
      <c r="L406" s="17">
        <v>500000</v>
      </c>
      <c r="M406" s="23" t="s">
        <v>41</v>
      </c>
      <c r="N406" s="1" t="s">
        <v>916</v>
      </c>
      <c r="O406" s="24" t="s">
        <v>917</v>
      </c>
      <c r="P406" s="24"/>
      <c r="Q406" s="25" t="s">
        <v>918</v>
      </c>
      <c r="R406" s="7" t="s">
        <v>909</v>
      </c>
      <c r="S406" s="3" t="s">
        <v>442</v>
      </c>
      <c r="T406" s="3" t="s">
        <v>919</v>
      </c>
    </row>
    <row r="407" spans="1:20" x14ac:dyDescent="0.25">
      <c r="A407" s="10">
        <v>46050</v>
      </c>
      <c r="B407" s="2" t="s">
        <v>914</v>
      </c>
      <c r="E407" s="3" t="s">
        <v>27</v>
      </c>
      <c r="G407" s="4" t="s">
        <v>48</v>
      </c>
      <c r="H407" s="34" t="s">
        <v>327</v>
      </c>
      <c r="I407" s="22"/>
      <c r="J407" s="22">
        <f>I406</f>
        <v>500000</v>
      </c>
      <c r="K407" s="22">
        <f t="shared" si="5"/>
        <v>500000</v>
      </c>
      <c r="L407" s="17"/>
      <c r="M407" s="23"/>
      <c r="O407" s="24"/>
      <c r="P407" s="24"/>
      <c r="Q407" s="25"/>
    </row>
    <row r="408" spans="1:20" ht="36" x14ac:dyDescent="0.25">
      <c r="A408" s="10">
        <v>46050</v>
      </c>
      <c r="B408" s="2" t="s">
        <v>920</v>
      </c>
      <c r="E408" s="3" t="s">
        <v>921</v>
      </c>
      <c r="F408" s="4">
        <v>2837000</v>
      </c>
      <c r="G408" s="4" t="s">
        <v>48</v>
      </c>
      <c r="H408" s="22" t="s">
        <v>922</v>
      </c>
      <c r="I408" s="22">
        <v>2000000</v>
      </c>
      <c r="J408" s="22"/>
      <c r="K408" s="22">
        <f t="shared" si="5"/>
        <v>2000000</v>
      </c>
      <c r="L408" s="17">
        <v>2837000</v>
      </c>
      <c r="M408" s="23" t="s">
        <v>41</v>
      </c>
      <c r="N408" s="1" t="s">
        <v>923</v>
      </c>
      <c r="O408" s="7" t="s">
        <v>924</v>
      </c>
      <c r="Q408" s="25" t="s">
        <v>925</v>
      </c>
      <c r="R408" s="7" t="s">
        <v>909</v>
      </c>
      <c r="S408" s="3" t="s">
        <v>442</v>
      </c>
      <c r="T408" s="3" t="s">
        <v>919</v>
      </c>
    </row>
    <row r="409" spans="1:20" x14ac:dyDescent="0.25">
      <c r="A409" s="10">
        <v>46050</v>
      </c>
      <c r="B409" s="2" t="s">
        <v>920</v>
      </c>
      <c r="E409" s="3" t="s">
        <v>921</v>
      </c>
      <c r="G409" s="4" t="s">
        <v>48</v>
      </c>
      <c r="H409" s="22" t="s">
        <v>632</v>
      </c>
      <c r="I409" s="22">
        <v>837000</v>
      </c>
      <c r="J409" s="22"/>
      <c r="K409" s="22">
        <f t="shared" si="5"/>
        <v>837000</v>
      </c>
      <c r="L409" s="17"/>
      <c r="M409" s="23"/>
      <c r="Q409" s="25"/>
    </row>
    <row r="410" spans="1:20" x14ac:dyDescent="0.25">
      <c r="A410" s="10">
        <v>46050</v>
      </c>
      <c r="B410" s="2" t="s">
        <v>920</v>
      </c>
      <c r="E410" s="3" t="s">
        <v>921</v>
      </c>
      <c r="G410" s="4" t="s">
        <v>48</v>
      </c>
      <c r="H410" s="34" t="s">
        <v>327</v>
      </c>
      <c r="I410" s="22"/>
      <c r="J410" s="22">
        <f>I408+I409</f>
        <v>2837000</v>
      </c>
      <c r="K410" s="22">
        <f t="shared" si="5"/>
        <v>2837000</v>
      </c>
      <c r="L410" s="17"/>
      <c r="M410" s="23"/>
      <c r="Q410" s="25"/>
    </row>
    <row r="411" spans="1:20" x14ac:dyDescent="0.25">
      <c r="A411" s="10">
        <v>46050</v>
      </c>
      <c r="B411" s="2" t="s">
        <v>926</v>
      </c>
      <c r="E411" s="3" t="s">
        <v>614</v>
      </c>
      <c r="F411" s="4">
        <v>150000</v>
      </c>
      <c r="G411" s="4" t="s">
        <v>48</v>
      </c>
      <c r="H411" s="22" t="s">
        <v>168</v>
      </c>
      <c r="I411" s="22">
        <v>150000</v>
      </c>
      <c r="J411" s="22"/>
      <c r="K411" s="22">
        <f t="shared" si="5"/>
        <v>150000</v>
      </c>
      <c r="L411" s="17">
        <v>150000</v>
      </c>
      <c r="M411" s="23" t="s">
        <v>41</v>
      </c>
      <c r="N411" s="1" t="s">
        <v>927</v>
      </c>
      <c r="O411" s="7" t="s">
        <v>313</v>
      </c>
      <c r="Q411" s="25" t="s">
        <v>928</v>
      </c>
      <c r="R411" s="7" t="s">
        <v>909</v>
      </c>
      <c r="S411" s="3" t="s">
        <v>442</v>
      </c>
      <c r="T411" s="3" t="s">
        <v>919</v>
      </c>
    </row>
    <row r="412" spans="1:20" x14ac:dyDescent="0.25">
      <c r="A412" s="10">
        <v>46050</v>
      </c>
      <c r="B412" s="2" t="s">
        <v>926</v>
      </c>
      <c r="E412" s="3" t="s">
        <v>614</v>
      </c>
      <c r="G412" s="4" t="s">
        <v>48</v>
      </c>
      <c r="H412" s="34" t="s">
        <v>327</v>
      </c>
      <c r="I412" s="22"/>
      <c r="J412" s="22">
        <f>I411</f>
        <v>150000</v>
      </c>
      <c r="K412" s="22">
        <f t="shared" si="5"/>
        <v>150000</v>
      </c>
      <c r="L412" s="17"/>
      <c r="M412" s="23"/>
      <c r="Q412" s="25"/>
    </row>
    <row r="413" spans="1:20" x14ac:dyDescent="0.25">
      <c r="A413" s="10">
        <v>46050</v>
      </c>
      <c r="B413" s="2" t="s">
        <v>929</v>
      </c>
      <c r="C413" s="2" t="s">
        <v>310</v>
      </c>
      <c r="E413" s="3" t="s">
        <v>27</v>
      </c>
      <c r="F413" s="4">
        <v>125000</v>
      </c>
      <c r="G413" s="4" t="s">
        <v>326</v>
      </c>
      <c r="H413" s="22" t="s">
        <v>731</v>
      </c>
      <c r="I413" s="22">
        <v>125000</v>
      </c>
      <c r="J413" s="22"/>
      <c r="K413" s="22">
        <f t="shared" si="5"/>
        <v>125000</v>
      </c>
      <c r="L413" s="17">
        <v>125000</v>
      </c>
      <c r="M413" s="23" t="s">
        <v>41</v>
      </c>
      <c r="N413" s="1" t="s">
        <v>930</v>
      </c>
      <c r="O413" s="7" t="s">
        <v>668</v>
      </c>
      <c r="Q413" s="7" t="s">
        <v>81</v>
      </c>
      <c r="R413" s="7" t="s">
        <v>909</v>
      </c>
      <c r="S413" s="3" t="s">
        <v>83</v>
      </c>
      <c r="T413" s="3" t="s">
        <v>898</v>
      </c>
    </row>
    <row r="414" spans="1:20" x14ac:dyDescent="0.25">
      <c r="A414" s="10">
        <v>46050</v>
      </c>
      <c r="B414" s="2" t="s">
        <v>929</v>
      </c>
      <c r="C414" s="2" t="s">
        <v>310</v>
      </c>
      <c r="E414" s="3" t="s">
        <v>27</v>
      </c>
      <c r="G414" s="4" t="s">
        <v>48</v>
      </c>
      <c r="H414" s="22" t="s">
        <v>81</v>
      </c>
      <c r="I414" s="22"/>
      <c r="J414" s="22">
        <f>I413</f>
        <v>125000</v>
      </c>
      <c r="K414" s="22">
        <f t="shared" si="5"/>
        <v>125000</v>
      </c>
      <c r="L414" s="17"/>
      <c r="M414" s="23"/>
    </row>
    <row r="415" spans="1:20" ht="24" x14ac:dyDescent="0.25">
      <c r="A415" s="10">
        <v>46050</v>
      </c>
      <c r="B415" s="2" t="s">
        <v>931</v>
      </c>
      <c r="E415" s="3" t="s">
        <v>27</v>
      </c>
      <c r="F415" s="4">
        <v>20000</v>
      </c>
      <c r="G415" s="4" t="s">
        <v>48</v>
      </c>
      <c r="H415" s="22" t="s">
        <v>915</v>
      </c>
      <c r="I415" s="22">
        <v>20000</v>
      </c>
      <c r="J415" s="22"/>
      <c r="K415" s="22">
        <f t="shared" si="5"/>
        <v>20000</v>
      </c>
      <c r="L415" s="17">
        <v>20000</v>
      </c>
      <c r="M415" s="23" t="s">
        <v>41</v>
      </c>
      <c r="N415" s="1" t="s">
        <v>932</v>
      </c>
      <c r="O415" s="7" t="s">
        <v>116</v>
      </c>
      <c r="Q415" s="7" t="s">
        <v>81</v>
      </c>
      <c r="R415" s="7" t="s">
        <v>909</v>
      </c>
      <c r="S415" s="3" t="s">
        <v>83</v>
      </c>
      <c r="T415" s="3" t="s">
        <v>898</v>
      </c>
    </row>
    <row r="416" spans="1:20" x14ac:dyDescent="0.25">
      <c r="A416" s="10">
        <v>46050</v>
      </c>
      <c r="B416" s="2" t="s">
        <v>931</v>
      </c>
      <c r="E416" s="3" t="s">
        <v>27</v>
      </c>
      <c r="G416" s="4" t="s">
        <v>48</v>
      </c>
      <c r="H416" s="22" t="s">
        <v>81</v>
      </c>
      <c r="I416" s="22"/>
      <c r="J416" s="22">
        <f>I415</f>
        <v>20000</v>
      </c>
      <c r="K416" s="22">
        <f t="shared" si="5"/>
        <v>20000</v>
      </c>
      <c r="L416" s="17"/>
      <c r="M416" s="23"/>
    </row>
    <row r="417" spans="1:20" ht="24" x14ac:dyDescent="0.25">
      <c r="A417" s="10">
        <v>46051</v>
      </c>
      <c r="B417" s="2" t="s">
        <v>933</v>
      </c>
      <c r="E417" s="3" t="s">
        <v>934</v>
      </c>
      <c r="F417" s="4">
        <v>185312.19</v>
      </c>
      <c r="G417" s="4" t="s">
        <v>110</v>
      </c>
      <c r="H417" s="22" t="s">
        <v>802</v>
      </c>
      <c r="I417" s="22">
        <v>185312.19</v>
      </c>
      <c r="J417" s="22"/>
      <c r="K417" s="22">
        <f t="shared" si="5"/>
        <v>185312.19</v>
      </c>
      <c r="L417" s="17"/>
      <c r="M417" s="23" t="s">
        <v>41</v>
      </c>
      <c r="N417" s="1" t="s">
        <v>935</v>
      </c>
      <c r="O417" s="7" t="s">
        <v>43</v>
      </c>
      <c r="Q417" s="7" t="s">
        <v>43</v>
      </c>
      <c r="R417" s="7" t="s">
        <v>897</v>
      </c>
      <c r="S417" s="3" t="s">
        <v>936</v>
      </c>
      <c r="T417" s="3" t="s">
        <v>937</v>
      </c>
    </row>
    <row r="418" spans="1:20" x14ac:dyDescent="0.25">
      <c r="A418" s="10">
        <v>46051</v>
      </c>
      <c r="B418" s="2" t="s">
        <v>933</v>
      </c>
      <c r="E418" s="3" t="s">
        <v>934</v>
      </c>
      <c r="G418" s="4" t="s">
        <v>48</v>
      </c>
      <c r="H418" s="22" t="s">
        <v>49</v>
      </c>
      <c r="I418" s="22"/>
      <c r="J418" s="22">
        <f>I417</f>
        <v>185312.19</v>
      </c>
      <c r="K418" s="22">
        <f t="shared" si="5"/>
        <v>185312.19</v>
      </c>
      <c r="L418" s="17"/>
    </row>
    <row r="419" spans="1:20" ht="24" x14ac:dyDescent="0.25">
      <c r="A419" s="10">
        <v>46051</v>
      </c>
      <c r="B419" s="2" t="s">
        <v>938</v>
      </c>
      <c r="C419" s="2" t="s">
        <v>147</v>
      </c>
      <c r="D419" s="2" t="s">
        <v>939</v>
      </c>
      <c r="E419" s="3" t="s">
        <v>149</v>
      </c>
      <c r="F419" s="4">
        <v>21700</v>
      </c>
      <c r="G419" s="4" t="s">
        <v>48</v>
      </c>
      <c r="H419" s="22" t="s">
        <v>78</v>
      </c>
      <c r="I419" s="22">
        <v>21700</v>
      </c>
      <c r="J419" s="22"/>
      <c r="K419" s="22">
        <f t="shared" si="5"/>
        <v>21700</v>
      </c>
      <c r="L419" s="17"/>
      <c r="M419" s="23" t="s">
        <v>41</v>
      </c>
      <c r="N419" s="1" t="s">
        <v>940</v>
      </c>
    </row>
    <row r="420" spans="1:20" x14ac:dyDescent="0.25">
      <c r="A420" s="10">
        <v>46051</v>
      </c>
      <c r="B420" s="2" t="s">
        <v>938</v>
      </c>
      <c r="C420" s="2" t="s">
        <v>147</v>
      </c>
      <c r="D420" s="2" t="s">
        <v>939</v>
      </c>
      <c r="E420" s="3" t="s">
        <v>149</v>
      </c>
      <c r="G420" s="4" t="s">
        <v>48</v>
      </c>
      <c r="H420" s="22" t="s">
        <v>49</v>
      </c>
      <c r="I420" s="22"/>
      <c r="J420" s="22">
        <f>I419</f>
        <v>21700</v>
      </c>
      <c r="K420" s="22">
        <f t="shared" si="5"/>
        <v>21700</v>
      </c>
      <c r="L420" s="17"/>
    </row>
    <row r="421" spans="1:20" ht="24" x14ac:dyDescent="0.25">
      <c r="A421" s="10">
        <v>46051</v>
      </c>
      <c r="B421" s="2" t="s">
        <v>941</v>
      </c>
      <c r="C421" s="2" t="s">
        <v>95</v>
      </c>
      <c r="D421" s="2" t="s">
        <v>942</v>
      </c>
      <c r="E421" s="3" t="s">
        <v>222</v>
      </c>
      <c r="F421" s="4">
        <v>10500</v>
      </c>
      <c r="G421" s="4" t="s">
        <v>48</v>
      </c>
      <c r="H421" s="22" t="s">
        <v>78</v>
      </c>
      <c r="I421" s="22">
        <v>10500</v>
      </c>
      <c r="J421" s="22"/>
      <c r="K421" s="22">
        <f t="shared" si="5"/>
        <v>10500</v>
      </c>
      <c r="L421" s="17"/>
      <c r="M421" s="6" t="s">
        <v>581</v>
      </c>
      <c r="N421" s="1" t="s">
        <v>943</v>
      </c>
    </row>
    <row r="422" spans="1:20" x14ac:dyDescent="0.25">
      <c r="A422" s="10">
        <v>46051</v>
      </c>
      <c r="B422" s="2" t="s">
        <v>941</v>
      </c>
      <c r="C422" s="2" t="s">
        <v>95</v>
      </c>
      <c r="D422" s="2" t="s">
        <v>942</v>
      </c>
      <c r="E422" s="3" t="s">
        <v>222</v>
      </c>
      <c r="G422" s="4" t="s">
        <v>48</v>
      </c>
      <c r="H422" s="22" t="s">
        <v>49</v>
      </c>
      <c r="I422" s="22"/>
      <c r="J422" s="22">
        <f>I421</f>
        <v>10500</v>
      </c>
      <c r="K422" s="22">
        <f t="shared" si="5"/>
        <v>10500</v>
      </c>
      <c r="L422" s="17"/>
    </row>
    <row r="423" spans="1:20" x14ac:dyDescent="0.25">
      <c r="A423" s="10">
        <v>46051</v>
      </c>
      <c r="B423" s="2" t="s">
        <v>944</v>
      </c>
      <c r="E423" s="3" t="s">
        <v>27</v>
      </c>
      <c r="F423" s="4">
        <v>320000</v>
      </c>
      <c r="G423" s="4" t="s">
        <v>48</v>
      </c>
      <c r="H423" s="22" t="s">
        <v>81</v>
      </c>
      <c r="I423" s="22">
        <v>320000</v>
      </c>
      <c r="J423" s="22"/>
      <c r="K423" s="22">
        <f t="shared" si="5"/>
        <v>320000</v>
      </c>
      <c r="L423" s="17">
        <v>320000</v>
      </c>
      <c r="M423" s="23" t="s">
        <v>41</v>
      </c>
      <c r="N423" s="1" t="s">
        <v>945</v>
      </c>
      <c r="O423" s="7" t="s">
        <v>143</v>
      </c>
      <c r="Q423" s="25" t="s">
        <v>946</v>
      </c>
      <c r="R423" s="7" t="s">
        <v>897</v>
      </c>
      <c r="S423" s="3" t="s">
        <v>145</v>
      </c>
      <c r="T423" s="3" t="s">
        <v>324</v>
      </c>
    </row>
    <row r="424" spans="1:20" x14ac:dyDescent="0.25">
      <c r="A424" s="10">
        <v>46051</v>
      </c>
      <c r="B424" s="2" t="s">
        <v>944</v>
      </c>
      <c r="E424" s="3" t="s">
        <v>27</v>
      </c>
      <c r="G424" s="4" t="s">
        <v>48</v>
      </c>
      <c r="H424" s="22" t="s">
        <v>29</v>
      </c>
      <c r="I424" s="22"/>
      <c r="J424" s="22">
        <f>I423</f>
        <v>320000</v>
      </c>
      <c r="K424" s="22">
        <f t="shared" si="5"/>
        <v>320000</v>
      </c>
      <c r="L424" s="17"/>
      <c r="M424" s="23"/>
      <c r="Q424" s="25"/>
    </row>
    <row r="425" spans="1:20" x14ac:dyDescent="0.25">
      <c r="A425" s="10">
        <v>46051</v>
      </c>
      <c r="B425" s="2" t="s">
        <v>947</v>
      </c>
      <c r="E425" s="3" t="s">
        <v>27</v>
      </c>
      <c r="F425" s="4">
        <v>3000000</v>
      </c>
      <c r="G425" s="4" t="s">
        <v>326</v>
      </c>
      <c r="H425" s="22" t="s">
        <v>731</v>
      </c>
      <c r="I425" s="22">
        <v>3000000</v>
      </c>
      <c r="J425" s="22"/>
      <c r="K425" s="22">
        <f t="shared" si="5"/>
        <v>3000000</v>
      </c>
      <c r="L425" s="17">
        <v>3000000</v>
      </c>
      <c r="M425" s="23" t="s">
        <v>41</v>
      </c>
      <c r="N425" s="1" t="s">
        <v>948</v>
      </c>
      <c r="O425" s="7" t="s">
        <v>313</v>
      </c>
      <c r="Q425" s="25" t="s">
        <v>949</v>
      </c>
      <c r="R425" s="7" t="s">
        <v>897</v>
      </c>
      <c r="S425" s="3" t="s">
        <v>442</v>
      </c>
      <c r="T425" s="3" t="s">
        <v>643</v>
      </c>
    </row>
    <row r="426" spans="1:20" x14ac:dyDescent="0.25">
      <c r="A426" s="10">
        <v>46051</v>
      </c>
      <c r="B426" s="2" t="s">
        <v>947</v>
      </c>
      <c r="E426" s="3" t="s">
        <v>27</v>
      </c>
      <c r="G426" s="4" t="s">
        <v>48</v>
      </c>
      <c r="H426" s="34" t="s">
        <v>327</v>
      </c>
      <c r="I426" s="22"/>
      <c r="J426" s="22">
        <f>I425</f>
        <v>3000000</v>
      </c>
      <c r="K426" s="22">
        <f t="shared" si="5"/>
        <v>3000000</v>
      </c>
      <c r="L426" s="17"/>
      <c r="M426" s="23"/>
      <c r="Q426" s="25"/>
    </row>
    <row r="427" spans="1:20" x14ac:dyDescent="0.25">
      <c r="A427" s="10">
        <v>46051</v>
      </c>
      <c r="B427" s="2" t="s">
        <v>950</v>
      </c>
      <c r="E427" s="3" t="s">
        <v>27</v>
      </c>
      <c r="F427" s="4">
        <v>190000</v>
      </c>
      <c r="G427" s="4" t="s">
        <v>48</v>
      </c>
      <c r="H427" s="22" t="s">
        <v>366</v>
      </c>
      <c r="I427" s="22">
        <v>190000</v>
      </c>
      <c r="J427" s="22"/>
      <c r="K427" s="22">
        <f t="shared" si="5"/>
        <v>190000</v>
      </c>
      <c r="L427" s="17">
        <v>190000</v>
      </c>
      <c r="M427" s="23" t="s">
        <v>41</v>
      </c>
      <c r="N427" s="1" t="s">
        <v>951</v>
      </c>
      <c r="O427" s="7" t="s">
        <v>116</v>
      </c>
      <c r="Q427" s="7" t="s">
        <v>81</v>
      </c>
      <c r="R427" s="7" t="s">
        <v>897</v>
      </c>
      <c r="S427" s="3" t="s">
        <v>83</v>
      </c>
      <c r="T427" s="3" t="s">
        <v>952</v>
      </c>
    </row>
    <row r="428" spans="1:20" x14ac:dyDescent="0.25">
      <c r="A428" s="10">
        <v>46051</v>
      </c>
      <c r="B428" s="2" t="s">
        <v>950</v>
      </c>
      <c r="E428" s="3" t="s">
        <v>27</v>
      </c>
      <c r="G428" s="4" t="s">
        <v>48</v>
      </c>
      <c r="H428" s="22" t="s">
        <v>81</v>
      </c>
      <c r="I428" s="22"/>
      <c r="J428" s="22">
        <f>I427</f>
        <v>190000</v>
      </c>
      <c r="K428" s="22">
        <f t="shared" si="5"/>
        <v>190000</v>
      </c>
      <c r="L428" s="17"/>
      <c r="M428" s="23"/>
    </row>
    <row r="429" spans="1:20" ht="24" x14ac:dyDescent="0.25">
      <c r="A429" s="10">
        <v>46051</v>
      </c>
      <c r="B429" s="2" t="s">
        <v>953</v>
      </c>
      <c r="C429" s="2" t="s">
        <v>95</v>
      </c>
      <c r="D429" s="2" t="s">
        <v>954</v>
      </c>
      <c r="E429" s="3" t="s">
        <v>955</v>
      </c>
      <c r="F429" s="4">
        <v>3500</v>
      </c>
      <c r="G429" s="4" t="s">
        <v>128</v>
      </c>
      <c r="H429" s="22" t="s">
        <v>78</v>
      </c>
      <c r="I429" s="22">
        <v>3500</v>
      </c>
      <c r="J429" s="22"/>
      <c r="K429" s="22">
        <f t="shared" si="5"/>
        <v>3500</v>
      </c>
      <c r="L429" s="17"/>
      <c r="M429" s="23" t="s">
        <v>41</v>
      </c>
      <c r="N429" s="1" t="s">
        <v>956</v>
      </c>
      <c r="O429" s="7" t="s">
        <v>957</v>
      </c>
      <c r="Q429" s="7" t="s">
        <v>81</v>
      </c>
      <c r="R429" s="7" t="s">
        <v>897</v>
      </c>
      <c r="S429" s="3" t="s">
        <v>83</v>
      </c>
      <c r="T429" s="3" t="s">
        <v>898</v>
      </c>
    </row>
    <row r="430" spans="1:20" x14ac:dyDescent="0.25">
      <c r="A430" s="10">
        <v>46051</v>
      </c>
      <c r="B430" s="2" t="s">
        <v>953</v>
      </c>
      <c r="C430" s="2" t="s">
        <v>95</v>
      </c>
      <c r="D430" s="2" t="s">
        <v>954</v>
      </c>
      <c r="E430" s="3" t="s">
        <v>955</v>
      </c>
      <c r="G430" s="4" t="s">
        <v>48</v>
      </c>
      <c r="H430" s="22" t="s">
        <v>81</v>
      </c>
      <c r="I430" s="22"/>
      <c r="J430" s="22">
        <f>I429</f>
        <v>3500</v>
      </c>
      <c r="K430" s="22">
        <f t="shared" si="5"/>
        <v>3500</v>
      </c>
      <c r="L430" s="17"/>
    </row>
    <row r="431" spans="1:20" ht="24" x14ac:dyDescent="0.25">
      <c r="A431" s="10">
        <v>46051</v>
      </c>
      <c r="B431" s="2" t="s">
        <v>958</v>
      </c>
      <c r="C431" s="2" t="s">
        <v>310</v>
      </c>
      <c r="E431" s="3" t="s">
        <v>371</v>
      </c>
      <c r="F431" s="4">
        <v>3000000</v>
      </c>
      <c r="G431" s="4" t="s">
        <v>98</v>
      </c>
      <c r="H431" s="22" t="s">
        <v>959</v>
      </c>
      <c r="I431" s="22">
        <v>3000000</v>
      </c>
      <c r="J431" s="22"/>
      <c r="K431" s="22">
        <f t="shared" ref="K431:K494" si="6">ABS(I431-J431)</f>
        <v>3000000</v>
      </c>
      <c r="L431" s="17"/>
      <c r="M431" s="23" t="s">
        <v>41</v>
      </c>
      <c r="N431" s="1" t="s">
        <v>960</v>
      </c>
      <c r="O431" s="7" t="s">
        <v>354</v>
      </c>
      <c r="Q431" s="25" t="s">
        <v>961</v>
      </c>
      <c r="R431" s="7" t="s">
        <v>897</v>
      </c>
      <c r="S431" s="3" t="s">
        <v>962</v>
      </c>
      <c r="T431" s="3" t="s">
        <v>963</v>
      </c>
    </row>
    <row r="432" spans="1:20" x14ac:dyDescent="0.25">
      <c r="A432" s="10">
        <v>46051</v>
      </c>
      <c r="B432" s="2" t="s">
        <v>958</v>
      </c>
      <c r="C432" s="2" t="s">
        <v>310</v>
      </c>
      <c r="E432" s="3" t="s">
        <v>371</v>
      </c>
      <c r="G432" s="4" t="s">
        <v>48</v>
      </c>
      <c r="H432" s="22" t="s">
        <v>964</v>
      </c>
      <c r="I432" s="22"/>
      <c r="J432" s="22">
        <f>I431</f>
        <v>3000000</v>
      </c>
      <c r="K432" s="22">
        <f t="shared" si="6"/>
        <v>3000000</v>
      </c>
      <c r="L432" s="17"/>
      <c r="M432" s="26"/>
      <c r="Q432" s="25"/>
    </row>
    <row r="433" spans="1:14" ht="24" x14ac:dyDescent="0.25">
      <c r="A433" s="10">
        <v>46051</v>
      </c>
      <c r="B433" s="2" t="s">
        <v>965</v>
      </c>
      <c r="C433" s="2" t="s">
        <v>95</v>
      </c>
      <c r="D433" s="2" t="s">
        <v>966</v>
      </c>
      <c r="E433" s="3" t="s">
        <v>307</v>
      </c>
      <c r="F433" s="4">
        <f>(5980/1.12)+(5980/1.12*0.12)-(5980/1.12*0.01)</f>
        <v>5926.6071428571422</v>
      </c>
      <c r="G433" s="4" t="s">
        <v>28</v>
      </c>
      <c r="H433" s="22" t="s">
        <v>40</v>
      </c>
      <c r="I433" s="22">
        <f>5980/1.12</f>
        <v>5339.2857142857138</v>
      </c>
      <c r="J433" s="22"/>
      <c r="K433" s="22">
        <f t="shared" si="6"/>
        <v>5339.2857142857138</v>
      </c>
      <c r="L433" s="17"/>
      <c r="M433" s="23" t="s">
        <v>41</v>
      </c>
      <c r="N433" s="1" t="s">
        <v>967</v>
      </c>
    </row>
    <row r="434" spans="1:14" x14ac:dyDescent="0.25">
      <c r="A434" s="10">
        <v>46051</v>
      </c>
      <c r="B434" s="2" t="s">
        <v>965</v>
      </c>
      <c r="C434" s="2" t="s">
        <v>95</v>
      </c>
      <c r="D434" s="2" t="s">
        <v>966</v>
      </c>
      <c r="E434" s="3" t="s">
        <v>307</v>
      </c>
      <c r="G434" s="4" t="s">
        <v>28</v>
      </c>
      <c r="H434" s="22" t="s">
        <v>104</v>
      </c>
      <c r="I434" s="22">
        <f>I433*0.12</f>
        <v>640.71428571428567</v>
      </c>
      <c r="J434" s="22"/>
      <c r="K434" s="22">
        <f t="shared" si="6"/>
        <v>640.71428571428567</v>
      </c>
      <c r="L434" s="17"/>
      <c r="M434" s="26"/>
    </row>
    <row r="435" spans="1:14" x14ac:dyDescent="0.25">
      <c r="A435" s="10">
        <v>46051</v>
      </c>
      <c r="B435" s="2" t="s">
        <v>965</v>
      </c>
      <c r="C435" s="2" t="s">
        <v>95</v>
      </c>
      <c r="D435" s="2" t="s">
        <v>966</v>
      </c>
      <c r="E435" s="3" t="s">
        <v>307</v>
      </c>
      <c r="G435" s="4" t="s">
        <v>28</v>
      </c>
      <c r="H435" s="22" t="s">
        <v>105</v>
      </c>
      <c r="I435" s="22"/>
      <c r="J435" s="22">
        <f>I433*0.01</f>
        <v>53.392857142857139</v>
      </c>
      <c r="K435" s="22">
        <f t="shared" si="6"/>
        <v>53.392857142857139</v>
      </c>
      <c r="L435" s="17"/>
      <c r="M435" s="26"/>
    </row>
    <row r="436" spans="1:14" x14ac:dyDescent="0.25">
      <c r="A436" s="10">
        <v>46051</v>
      </c>
      <c r="B436" s="2" t="s">
        <v>965</v>
      </c>
      <c r="C436" s="2" t="s">
        <v>95</v>
      </c>
      <c r="D436" s="2" t="s">
        <v>966</v>
      </c>
      <c r="E436" s="3" t="s">
        <v>307</v>
      </c>
      <c r="G436" s="4" t="s">
        <v>48</v>
      </c>
      <c r="H436" s="22" t="s">
        <v>49</v>
      </c>
      <c r="I436" s="22"/>
      <c r="J436" s="22">
        <f>I433+I434-J435</f>
        <v>5926.6071428571422</v>
      </c>
      <c r="K436" s="22">
        <f t="shared" si="6"/>
        <v>5926.6071428571422</v>
      </c>
      <c r="L436" s="17"/>
      <c r="M436" s="26"/>
    </row>
    <row r="437" spans="1:14" x14ac:dyDescent="0.25">
      <c r="A437" s="10">
        <v>46051</v>
      </c>
      <c r="B437" s="2" t="s">
        <v>968</v>
      </c>
      <c r="C437" s="2" t="s">
        <v>259</v>
      </c>
      <c r="D437" s="2" t="s">
        <v>969</v>
      </c>
      <c r="E437" s="3" t="s">
        <v>261</v>
      </c>
      <c r="F437" s="4">
        <v>199676.33</v>
      </c>
      <c r="G437" s="4" t="s">
        <v>262</v>
      </c>
      <c r="H437" s="22" t="s">
        <v>970</v>
      </c>
      <c r="I437" s="22">
        <v>12900</v>
      </c>
      <c r="J437" s="22"/>
      <c r="K437" s="22">
        <f t="shared" si="6"/>
        <v>12900</v>
      </c>
      <c r="L437" s="17"/>
      <c r="M437" s="23" t="s">
        <v>41</v>
      </c>
      <c r="N437" s="1" t="s">
        <v>971</v>
      </c>
    </row>
    <row r="438" spans="1:14" x14ac:dyDescent="0.25">
      <c r="A438" s="10">
        <v>46051</v>
      </c>
      <c r="B438" s="2" t="s">
        <v>968</v>
      </c>
      <c r="C438" s="2" t="s">
        <v>259</v>
      </c>
      <c r="D438" s="2" t="s">
        <v>969</v>
      </c>
      <c r="E438" s="3" t="s">
        <v>261</v>
      </c>
      <c r="G438" s="4" t="s">
        <v>265</v>
      </c>
      <c r="H438" s="22" t="s">
        <v>970</v>
      </c>
      <c r="I438" s="22">
        <v>8109</v>
      </c>
      <c r="J438" s="22"/>
      <c r="K438" s="22">
        <f t="shared" si="6"/>
        <v>8109</v>
      </c>
      <c r="L438" s="17"/>
    </row>
    <row r="439" spans="1:14" x14ac:dyDescent="0.25">
      <c r="A439" s="10">
        <v>46051</v>
      </c>
      <c r="B439" s="2" t="s">
        <v>968</v>
      </c>
      <c r="C439" s="2" t="s">
        <v>259</v>
      </c>
      <c r="D439" s="2" t="s">
        <v>969</v>
      </c>
      <c r="E439" s="3" t="s">
        <v>261</v>
      </c>
      <c r="G439" s="4" t="s">
        <v>211</v>
      </c>
      <c r="H439" s="22" t="s">
        <v>970</v>
      </c>
      <c r="I439" s="22">
        <v>15550</v>
      </c>
      <c r="J439" s="22"/>
      <c r="K439" s="22">
        <f t="shared" si="6"/>
        <v>15550</v>
      </c>
      <c r="L439" s="17"/>
    </row>
    <row r="440" spans="1:14" x14ac:dyDescent="0.25">
      <c r="A440" s="10">
        <v>46051</v>
      </c>
      <c r="B440" s="2" t="s">
        <v>968</v>
      </c>
      <c r="C440" s="2" t="s">
        <v>259</v>
      </c>
      <c r="D440" s="2" t="s">
        <v>969</v>
      </c>
      <c r="E440" s="3" t="s">
        <v>261</v>
      </c>
      <c r="G440" s="4" t="s">
        <v>268</v>
      </c>
      <c r="H440" s="22" t="s">
        <v>970</v>
      </c>
      <c r="I440" s="22">
        <v>18700</v>
      </c>
      <c r="J440" s="22"/>
      <c r="K440" s="22">
        <f t="shared" si="6"/>
        <v>18700</v>
      </c>
      <c r="L440" s="17"/>
    </row>
    <row r="441" spans="1:14" x14ac:dyDescent="0.25">
      <c r="A441" s="10">
        <v>46051</v>
      </c>
      <c r="B441" s="2" t="s">
        <v>968</v>
      </c>
      <c r="C441" s="2" t="s">
        <v>259</v>
      </c>
      <c r="D441" s="2" t="s">
        <v>969</v>
      </c>
      <c r="E441" s="3" t="s">
        <v>261</v>
      </c>
      <c r="G441" s="4" t="s">
        <v>77</v>
      </c>
      <c r="H441" s="22" t="s">
        <v>970</v>
      </c>
      <c r="I441" s="22">
        <v>48243.81</v>
      </c>
      <c r="J441" s="22"/>
      <c r="K441" s="22">
        <f t="shared" si="6"/>
        <v>48243.81</v>
      </c>
      <c r="L441" s="17"/>
    </row>
    <row r="442" spans="1:14" x14ac:dyDescent="0.25">
      <c r="A442" s="10">
        <v>46051</v>
      </c>
      <c r="B442" s="2" t="s">
        <v>968</v>
      </c>
      <c r="C442" s="2" t="s">
        <v>259</v>
      </c>
      <c r="D442" s="2" t="s">
        <v>969</v>
      </c>
      <c r="E442" s="3" t="s">
        <v>261</v>
      </c>
      <c r="G442" s="4" t="s">
        <v>28</v>
      </c>
      <c r="H442" s="22" t="s">
        <v>970</v>
      </c>
      <c r="I442" s="22">
        <v>34894.69</v>
      </c>
      <c r="J442" s="22"/>
      <c r="K442" s="22">
        <f t="shared" si="6"/>
        <v>34894.69</v>
      </c>
      <c r="L442" s="17"/>
    </row>
    <row r="443" spans="1:14" x14ac:dyDescent="0.25">
      <c r="A443" s="10">
        <v>46051</v>
      </c>
      <c r="B443" s="2" t="s">
        <v>968</v>
      </c>
      <c r="C443" s="2" t="s">
        <v>259</v>
      </c>
      <c r="D443" s="2" t="s">
        <v>969</v>
      </c>
      <c r="E443" s="3" t="s">
        <v>261</v>
      </c>
      <c r="G443" s="4" t="s">
        <v>128</v>
      </c>
      <c r="H443" s="22" t="s">
        <v>970</v>
      </c>
      <c r="I443" s="22">
        <v>34460.5</v>
      </c>
      <c r="J443" s="22"/>
      <c r="K443" s="22">
        <f t="shared" si="6"/>
        <v>34460.5</v>
      </c>
      <c r="L443" s="17"/>
    </row>
    <row r="444" spans="1:14" x14ac:dyDescent="0.25">
      <c r="A444" s="10">
        <v>46051</v>
      </c>
      <c r="B444" s="2" t="s">
        <v>968</v>
      </c>
      <c r="C444" s="2" t="s">
        <v>259</v>
      </c>
      <c r="D444" s="2" t="s">
        <v>969</v>
      </c>
      <c r="E444" s="3" t="s">
        <v>261</v>
      </c>
      <c r="G444" s="4" t="s">
        <v>28</v>
      </c>
      <c r="H444" s="22" t="s">
        <v>970</v>
      </c>
      <c r="I444" s="22">
        <v>6000</v>
      </c>
      <c r="J444" s="22"/>
      <c r="K444" s="22">
        <f t="shared" si="6"/>
        <v>6000</v>
      </c>
      <c r="L444" s="17"/>
    </row>
    <row r="445" spans="1:14" x14ac:dyDescent="0.25">
      <c r="A445" s="10">
        <v>46051</v>
      </c>
      <c r="B445" s="2" t="s">
        <v>968</v>
      </c>
      <c r="C445" s="2" t="s">
        <v>259</v>
      </c>
      <c r="D445" s="2" t="s">
        <v>969</v>
      </c>
      <c r="E445" s="3" t="s">
        <v>261</v>
      </c>
      <c r="G445" s="4" t="s">
        <v>268</v>
      </c>
      <c r="H445" s="22" t="s">
        <v>970</v>
      </c>
      <c r="I445" s="22">
        <v>6000</v>
      </c>
      <c r="J445" s="22"/>
      <c r="K445" s="22">
        <f t="shared" si="6"/>
        <v>6000</v>
      </c>
      <c r="L445" s="17"/>
    </row>
    <row r="446" spans="1:14" x14ac:dyDescent="0.25">
      <c r="A446" s="10">
        <v>46051</v>
      </c>
      <c r="B446" s="2" t="s">
        <v>968</v>
      </c>
      <c r="C446" s="2" t="s">
        <v>259</v>
      </c>
      <c r="D446" s="2" t="s">
        <v>969</v>
      </c>
      <c r="E446" s="3" t="s">
        <v>261</v>
      </c>
      <c r="G446" s="4" t="s">
        <v>28</v>
      </c>
      <c r="H446" s="22" t="s">
        <v>970</v>
      </c>
      <c r="I446" s="22">
        <v>8218.33</v>
      </c>
      <c r="J446" s="22"/>
      <c r="K446" s="22">
        <f t="shared" si="6"/>
        <v>8218.33</v>
      </c>
      <c r="L446" s="17"/>
    </row>
    <row r="447" spans="1:14" x14ac:dyDescent="0.25">
      <c r="A447" s="10">
        <v>46051</v>
      </c>
      <c r="B447" s="2" t="s">
        <v>968</v>
      </c>
      <c r="C447" s="2" t="s">
        <v>259</v>
      </c>
      <c r="D447" s="2" t="s">
        <v>969</v>
      </c>
      <c r="E447" s="3" t="s">
        <v>261</v>
      </c>
      <c r="G447" s="4" t="s">
        <v>28</v>
      </c>
      <c r="H447" s="22" t="s">
        <v>970</v>
      </c>
      <c r="I447" s="22">
        <v>6600</v>
      </c>
      <c r="J447" s="22"/>
      <c r="K447" s="22">
        <f t="shared" si="6"/>
        <v>6600</v>
      </c>
      <c r="L447" s="17"/>
    </row>
    <row r="448" spans="1:14" x14ac:dyDescent="0.25">
      <c r="A448" s="10">
        <v>46051</v>
      </c>
      <c r="B448" s="2" t="s">
        <v>968</v>
      </c>
      <c r="C448" s="2" t="s">
        <v>259</v>
      </c>
      <c r="D448" s="2" t="s">
        <v>969</v>
      </c>
      <c r="E448" s="3" t="s">
        <v>261</v>
      </c>
      <c r="G448" s="4" t="s">
        <v>48</v>
      </c>
      <c r="H448" s="22" t="s">
        <v>49</v>
      </c>
      <c r="I448" s="22"/>
      <c r="J448" s="22">
        <f>I437+I438+I439+I440+I441+I442+I443+I444+I445+I446+I447</f>
        <v>199676.33</v>
      </c>
      <c r="K448" s="22">
        <f t="shared" si="6"/>
        <v>199676.33</v>
      </c>
      <c r="L448" s="17"/>
    </row>
    <row r="449" spans="1:14" x14ac:dyDescent="0.25">
      <c r="A449" s="10">
        <v>46051</v>
      </c>
      <c r="B449" s="2" t="s">
        <v>972</v>
      </c>
      <c r="C449" s="2" t="s">
        <v>259</v>
      </c>
      <c r="D449" s="2" t="s">
        <v>969</v>
      </c>
      <c r="E449" s="3" t="s">
        <v>498</v>
      </c>
      <c r="F449" s="4">
        <v>192099.94</v>
      </c>
      <c r="G449" s="4" t="s">
        <v>48</v>
      </c>
      <c r="H449" s="22" t="s">
        <v>973</v>
      </c>
      <c r="I449" s="22">
        <v>201875.62</v>
      </c>
      <c r="J449" s="22"/>
      <c r="K449" s="22">
        <f t="shared" si="6"/>
        <v>201875.62</v>
      </c>
      <c r="L449" s="17"/>
      <c r="M449" s="23" t="s">
        <v>41</v>
      </c>
      <c r="N449" s="1" t="s">
        <v>974</v>
      </c>
    </row>
    <row r="450" spans="1:14" x14ac:dyDescent="0.25">
      <c r="A450" s="10">
        <v>46051</v>
      </c>
      <c r="B450" s="2" t="s">
        <v>972</v>
      </c>
      <c r="C450" s="2" t="s">
        <v>259</v>
      </c>
      <c r="D450" s="2" t="s">
        <v>969</v>
      </c>
      <c r="E450" s="3" t="s">
        <v>498</v>
      </c>
      <c r="G450" s="4" t="s">
        <v>48</v>
      </c>
      <c r="H450" s="22" t="s">
        <v>975</v>
      </c>
      <c r="I450" s="22"/>
      <c r="J450" s="22">
        <v>325</v>
      </c>
      <c r="K450" s="22">
        <f t="shared" si="6"/>
        <v>325</v>
      </c>
      <c r="L450" s="17"/>
      <c r="M450" s="26"/>
    </row>
    <row r="451" spans="1:14" x14ac:dyDescent="0.25">
      <c r="A451" s="10">
        <v>46051</v>
      </c>
      <c r="B451" s="2" t="s">
        <v>972</v>
      </c>
      <c r="C451" s="2" t="s">
        <v>259</v>
      </c>
      <c r="D451" s="2" t="s">
        <v>969</v>
      </c>
      <c r="E451" s="3" t="s">
        <v>498</v>
      </c>
      <c r="G451" s="4" t="s">
        <v>48</v>
      </c>
      <c r="H451" s="22" t="s">
        <v>976</v>
      </c>
      <c r="I451" s="22"/>
      <c r="J451" s="22">
        <v>1367.35</v>
      </c>
      <c r="K451" s="22">
        <f t="shared" si="6"/>
        <v>1367.35</v>
      </c>
      <c r="L451" s="17"/>
      <c r="M451" s="26"/>
    </row>
    <row r="452" spans="1:14" x14ac:dyDescent="0.25">
      <c r="A452" s="10">
        <v>46051</v>
      </c>
      <c r="B452" s="2" t="s">
        <v>972</v>
      </c>
      <c r="C452" s="2" t="s">
        <v>259</v>
      </c>
      <c r="D452" s="2" t="s">
        <v>969</v>
      </c>
      <c r="E452" s="3" t="s">
        <v>498</v>
      </c>
      <c r="G452" s="4" t="s">
        <v>48</v>
      </c>
      <c r="H452" s="22" t="s">
        <v>977</v>
      </c>
      <c r="I452" s="22"/>
      <c r="J452" s="22">
        <v>625</v>
      </c>
      <c r="K452" s="22">
        <f t="shared" si="6"/>
        <v>625</v>
      </c>
      <c r="L452" s="17"/>
      <c r="M452" s="26"/>
    </row>
    <row r="453" spans="1:14" x14ac:dyDescent="0.25">
      <c r="A453" s="10">
        <v>46051</v>
      </c>
      <c r="B453" s="2" t="s">
        <v>972</v>
      </c>
      <c r="C453" s="2" t="s">
        <v>259</v>
      </c>
      <c r="D453" s="2" t="s">
        <v>969</v>
      </c>
      <c r="E453" s="3" t="s">
        <v>498</v>
      </c>
      <c r="G453" s="4" t="s">
        <v>48</v>
      </c>
      <c r="H453" s="22" t="s">
        <v>978</v>
      </c>
      <c r="I453" s="22"/>
      <c r="J453" s="22">
        <v>3208.33</v>
      </c>
      <c r="K453" s="22">
        <f t="shared" si="6"/>
        <v>3208.33</v>
      </c>
      <c r="L453" s="17"/>
      <c r="M453" s="26"/>
    </row>
    <row r="454" spans="1:14" x14ac:dyDescent="0.25">
      <c r="A454" s="10">
        <v>46051</v>
      </c>
      <c r="B454" s="2" t="s">
        <v>972</v>
      </c>
      <c r="C454" s="2" t="s">
        <v>259</v>
      </c>
      <c r="D454" s="2" t="s">
        <v>969</v>
      </c>
      <c r="E454" s="3" t="s">
        <v>498</v>
      </c>
      <c r="G454" s="4" t="s">
        <v>48</v>
      </c>
      <c r="H454" s="22" t="s">
        <v>979</v>
      </c>
      <c r="I454" s="22"/>
      <c r="J454" s="22">
        <v>625</v>
      </c>
      <c r="K454" s="22">
        <f t="shared" si="6"/>
        <v>625</v>
      </c>
      <c r="L454" s="17"/>
      <c r="M454" s="26"/>
    </row>
    <row r="455" spans="1:14" x14ac:dyDescent="0.25">
      <c r="A455" s="10">
        <v>46051</v>
      </c>
      <c r="B455" s="2" t="s">
        <v>972</v>
      </c>
      <c r="C455" s="2" t="s">
        <v>259</v>
      </c>
      <c r="D455" s="2" t="s">
        <v>969</v>
      </c>
      <c r="E455" s="3" t="s">
        <v>498</v>
      </c>
      <c r="G455" s="4" t="s">
        <v>48</v>
      </c>
      <c r="H455" s="22" t="s">
        <v>980</v>
      </c>
      <c r="I455" s="22"/>
      <c r="J455" s="22">
        <v>625</v>
      </c>
      <c r="K455" s="22">
        <f t="shared" si="6"/>
        <v>625</v>
      </c>
      <c r="L455" s="17"/>
      <c r="M455" s="26"/>
    </row>
    <row r="456" spans="1:14" x14ac:dyDescent="0.25">
      <c r="A456" s="10">
        <v>46051</v>
      </c>
      <c r="B456" s="2" t="s">
        <v>972</v>
      </c>
      <c r="C456" s="2" t="s">
        <v>259</v>
      </c>
      <c r="D456" s="2" t="s">
        <v>969</v>
      </c>
      <c r="E456" s="3" t="s">
        <v>498</v>
      </c>
      <c r="G456" s="4" t="s">
        <v>48</v>
      </c>
      <c r="H456" s="22" t="s">
        <v>981</v>
      </c>
      <c r="I456" s="22"/>
      <c r="J456" s="22">
        <v>1500</v>
      </c>
      <c r="K456" s="22">
        <f t="shared" si="6"/>
        <v>1500</v>
      </c>
      <c r="L456" s="17"/>
      <c r="M456" s="26"/>
    </row>
    <row r="457" spans="1:14" x14ac:dyDescent="0.25">
      <c r="A457" s="10">
        <v>46051</v>
      </c>
      <c r="B457" s="2" t="s">
        <v>972</v>
      </c>
      <c r="C457" s="2" t="s">
        <v>259</v>
      </c>
      <c r="D457" s="2" t="s">
        <v>969</v>
      </c>
      <c r="E457" s="3" t="s">
        <v>498</v>
      </c>
      <c r="G457" s="4" t="s">
        <v>48</v>
      </c>
      <c r="H457" s="22" t="s">
        <v>982</v>
      </c>
      <c r="I457" s="22"/>
      <c r="J457" s="22">
        <v>1500</v>
      </c>
      <c r="K457" s="22">
        <f t="shared" si="6"/>
        <v>1500</v>
      </c>
      <c r="L457" s="17"/>
      <c r="M457" s="26"/>
    </row>
    <row r="458" spans="1:14" x14ac:dyDescent="0.25">
      <c r="A458" s="10">
        <v>46051</v>
      </c>
      <c r="B458" s="2" t="s">
        <v>972</v>
      </c>
      <c r="C458" s="2" t="s">
        <v>259</v>
      </c>
      <c r="D458" s="2" t="s">
        <v>969</v>
      </c>
      <c r="E458" s="3" t="s">
        <v>498</v>
      </c>
      <c r="G458" s="4" t="s">
        <v>48</v>
      </c>
      <c r="H458" s="22" t="s">
        <v>49</v>
      </c>
      <c r="I458" s="22"/>
      <c r="J458" s="22">
        <f>I449-J450-J451-J452-J453-J454-J455-J456-J457</f>
        <v>192099.94</v>
      </c>
      <c r="K458" s="22">
        <f t="shared" si="6"/>
        <v>192099.94</v>
      </c>
      <c r="L458" s="17"/>
      <c r="M458" s="26"/>
    </row>
    <row r="459" spans="1:14" x14ac:dyDescent="0.25">
      <c r="A459" s="10">
        <v>46051</v>
      </c>
      <c r="B459" s="2" t="s">
        <v>983</v>
      </c>
      <c r="C459" s="2" t="s">
        <v>259</v>
      </c>
      <c r="D459" s="2" t="s">
        <v>969</v>
      </c>
      <c r="E459" s="3" t="s">
        <v>498</v>
      </c>
      <c r="F459" s="4">
        <v>151554.96</v>
      </c>
      <c r="G459" s="4" t="s">
        <v>326</v>
      </c>
      <c r="H459" s="22" t="s">
        <v>973</v>
      </c>
      <c r="I459" s="22">
        <v>164611.01999999999</v>
      </c>
      <c r="J459" s="22"/>
      <c r="K459" s="22">
        <f t="shared" si="6"/>
        <v>164611.01999999999</v>
      </c>
      <c r="L459" s="17"/>
      <c r="M459" s="6" t="s">
        <v>4023</v>
      </c>
      <c r="N459" s="1" t="s">
        <v>984</v>
      </c>
    </row>
    <row r="460" spans="1:14" x14ac:dyDescent="0.25">
      <c r="A460" s="10">
        <v>46051</v>
      </c>
      <c r="B460" s="2" t="s">
        <v>983</v>
      </c>
      <c r="C460" s="2" t="s">
        <v>259</v>
      </c>
      <c r="D460" s="2" t="s">
        <v>969</v>
      </c>
      <c r="E460" s="3" t="s">
        <v>498</v>
      </c>
      <c r="G460" s="4" t="s">
        <v>326</v>
      </c>
      <c r="H460" s="22" t="s">
        <v>985</v>
      </c>
      <c r="I460" s="22"/>
      <c r="J460" s="22">
        <v>1375</v>
      </c>
      <c r="K460" s="22">
        <f t="shared" si="6"/>
        <v>1375</v>
      </c>
      <c r="L460" s="17"/>
      <c r="M460" s="26"/>
    </row>
    <row r="461" spans="1:14" x14ac:dyDescent="0.25">
      <c r="A461" s="10">
        <v>46051</v>
      </c>
      <c r="B461" s="2" t="s">
        <v>983</v>
      </c>
      <c r="C461" s="2" t="s">
        <v>259</v>
      </c>
      <c r="D461" s="2" t="s">
        <v>969</v>
      </c>
      <c r="E461" s="3" t="s">
        <v>498</v>
      </c>
      <c r="G461" s="4" t="s">
        <v>326</v>
      </c>
      <c r="H461" s="22" t="s">
        <v>986</v>
      </c>
      <c r="I461" s="22"/>
      <c r="J461" s="22">
        <v>2208.33</v>
      </c>
      <c r="K461" s="22">
        <f t="shared" si="6"/>
        <v>2208.33</v>
      </c>
      <c r="L461" s="17"/>
      <c r="M461" s="26"/>
    </row>
    <row r="462" spans="1:14" x14ac:dyDescent="0.25">
      <c r="A462" s="10">
        <v>46051</v>
      </c>
      <c r="B462" s="2" t="s">
        <v>983</v>
      </c>
      <c r="C462" s="2" t="s">
        <v>259</v>
      </c>
      <c r="D462" s="2" t="s">
        <v>969</v>
      </c>
      <c r="E462" s="3" t="s">
        <v>498</v>
      </c>
      <c r="G462" s="4" t="s">
        <v>326</v>
      </c>
      <c r="H462" s="22" t="s">
        <v>987</v>
      </c>
      <c r="I462" s="22"/>
      <c r="J462" s="22">
        <v>1075</v>
      </c>
      <c r="K462" s="22">
        <f t="shared" si="6"/>
        <v>1075</v>
      </c>
      <c r="L462" s="17"/>
      <c r="M462" s="26"/>
    </row>
    <row r="463" spans="1:14" x14ac:dyDescent="0.25">
      <c r="A463" s="10">
        <v>46051</v>
      </c>
      <c r="B463" s="2" t="s">
        <v>983</v>
      </c>
      <c r="C463" s="2" t="s">
        <v>259</v>
      </c>
      <c r="D463" s="2" t="s">
        <v>969</v>
      </c>
      <c r="E463" s="3" t="s">
        <v>498</v>
      </c>
      <c r="G463" s="4" t="s">
        <v>326</v>
      </c>
      <c r="H463" s="22" t="s">
        <v>988</v>
      </c>
      <c r="I463" s="22"/>
      <c r="J463" s="22">
        <v>625</v>
      </c>
      <c r="K463" s="22">
        <f t="shared" si="6"/>
        <v>625</v>
      </c>
      <c r="L463" s="17"/>
      <c r="M463" s="26"/>
    </row>
    <row r="464" spans="1:14" x14ac:dyDescent="0.25">
      <c r="A464" s="10">
        <v>46051</v>
      </c>
      <c r="B464" s="2" t="s">
        <v>983</v>
      </c>
      <c r="C464" s="2" t="s">
        <v>259</v>
      </c>
      <c r="D464" s="2" t="s">
        <v>969</v>
      </c>
      <c r="E464" s="3" t="s">
        <v>498</v>
      </c>
      <c r="G464" s="4" t="s">
        <v>326</v>
      </c>
      <c r="H464" s="22" t="s">
        <v>989</v>
      </c>
      <c r="I464" s="22"/>
      <c r="J464" s="22">
        <v>625</v>
      </c>
      <c r="K464" s="22">
        <f t="shared" si="6"/>
        <v>625</v>
      </c>
      <c r="L464" s="17"/>
      <c r="M464" s="26"/>
    </row>
    <row r="465" spans="1:14" x14ac:dyDescent="0.25">
      <c r="A465" s="10">
        <v>46051</v>
      </c>
      <c r="B465" s="2" t="s">
        <v>983</v>
      </c>
      <c r="C465" s="2" t="s">
        <v>259</v>
      </c>
      <c r="D465" s="2" t="s">
        <v>969</v>
      </c>
      <c r="E465" s="3" t="s">
        <v>498</v>
      </c>
      <c r="G465" s="4" t="s">
        <v>326</v>
      </c>
      <c r="H465" s="22" t="s">
        <v>990</v>
      </c>
      <c r="I465" s="22"/>
      <c r="J465" s="22">
        <v>3208.33</v>
      </c>
      <c r="K465" s="22">
        <f t="shared" si="6"/>
        <v>3208.33</v>
      </c>
      <c r="L465" s="17"/>
      <c r="M465" s="26"/>
    </row>
    <row r="466" spans="1:14" x14ac:dyDescent="0.25">
      <c r="A466" s="10">
        <v>46051</v>
      </c>
      <c r="B466" s="2" t="s">
        <v>983</v>
      </c>
      <c r="C466" s="2" t="s">
        <v>259</v>
      </c>
      <c r="D466" s="2" t="s">
        <v>969</v>
      </c>
      <c r="E466" s="3" t="s">
        <v>498</v>
      </c>
      <c r="G466" s="4" t="s">
        <v>326</v>
      </c>
      <c r="H466" s="22" t="s">
        <v>991</v>
      </c>
      <c r="I466" s="22"/>
      <c r="J466" s="22">
        <v>175</v>
      </c>
      <c r="K466" s="22">
        <f t="shared" si="6"/>
        <v>175</v>
      </c>
      <c r="L466" s="17"/>
      <c r="M466" s="26"/>
    </row>
    <row r="467" spans="1:14" x14ac:dyDescent="0.25">
      <c r="A467" s="10">
        <v>46051</v>
      </c>
      <c r="B467" s="2" t="s">
        <v>983</v>
      </c>
      <c r="C467" s="2" t="s">
        <v>259</v>
      </c>
      <c r="D467" s="2" t="s">
        <v>969</v>
      </c>
      <c r="E467" s="3" t="s">
        <v>498</v>
      </c>
      <c r="G467" s="4" t="s">
        <v>326</v>
      </c>
      <c r="H467" s="22" t="s">
        <v>992</v>
      </c>
      <c r="I467" s="22"/>
      <c r="J467" s="22">
        <v>1008.7</v>
      </c>
      <c r="K467" s="22">
        <f t="shared" si="6"/>
        <v>1008.7</v>
      </c>
      <c r="L467" s="17"/>
      <c r="M467" s="26"/>
    </row>
    <row r="468" spans="1:14" x14ac:dyDescent="0.25">
      <c r="A468" s="10">
        <v>46051</v>
      </c>
      <c r="B468" s="2" t="s">
        <v>983</v>
      </c>
      <c r="C468" s="2" t="s">
        <v>259</v>
      </c>
      <c r="D468" s="2" t="s">
        <v>969</v>
      </c>
      <c r="E468" s="3" t="s">
        <v>498</v>
      </c>
      <c r="G468" s="4" t="s">
        <v>326</v>
      </c>
      <c r="H468" s="22" t="s">
        <v>993</v>
      </c>
      <c r="I468" s="22"/>
      <c r="J468" s="22">
        <v>377.85</v>
      </c>
      <c r="K468" s="22">
        <f t="shared" si="6"/>
        <v>377.85</v>
      </c>
      <c r="L468" s="17"/>
      <c r="M468" s="26"/>
    </row>
    <row r="469" spans="1:14" x14ac:dyDescent="0.25">
      <c r="A469" s="10">
        <v>46051</v>
      </c>
      <c r="B469" s="2" t="s">
        <v>983</v>
      </c>
      <c r="C469" s="2" t="s">
        <v>259</v>
      </c>
      <c r="D469" s="2" t="s">
        <v>969</v>
      </c>
      <c r="E469" s="3" t="s">
        <v>498</v>
      </c>
      <c r="G469" s="4" t="s">
        <v>326</v>
      </c>
      <c r="H469" s="22" t="s">
        <v>994</v>
      </c>
      <c r="I469" s="22"/>
      <c r="J469" s="22">
        <v>2000</v>
      </c>
      <c r="K469" s="22">
        <f t="shared" si="6"/>
        <v>2000</v>
      </c>
      <c r="L469" s="17"/>
      <c r="M469" s="26"/>
    </row>
    <row r="470" spans="1:14" x14ac:dyDescent="0.25">
      <c r="A470" s="10">
        <v>46051</v>
      </c>
      <c r="B470" s="2" t="s">
        <v>983</v>
      </c>
      <c r="C470" s="2" t="s">
        <v>259</v>
      </c>
      <c r="D470" s="2" t="s">
        <v>969</v>
      </c>
      <c r="E470" s="3" t="s">
        <v>498</v>
      </c>
      <c r="G470" s="4" t="s">
        <v>326</v>
      </c>
      <c r="H470" s="22" t="s">
        <v>995</v>
      </c>
      <c r="I470" s="22"/>
      <c r="J470" s="22">
        <v>377.85</v>
      </c>
      <c r="K470" s="22">
        <f t="shared" si="6"/>
        <v>377.85</v>
      </c>
      <c r="L470" s="17"/>
      <c r="M470" s="26"/>
    </row>
    <row r="471" spans="1:14" x14ac:dyDescent="0.25">
      <c r="A471" s="10">
        <v>46051</v>
      </c>
      <c r="B471" s="2" t="s">
        <v>983</v>
      </c>
      <c r="C471" s="2" t="s">
        <v>259</v>
      </c>
      <c r="D471" s="2" t="s">
        <v>969</v>
      </c>
      <c r="E471" s="3" t="s">
        <v>498</v>
      </c>
      <c r="G471" s="4" t="s">
        <v>48</v>
      </c>
      <c r="H471" s="22" t="s">
        <v>49</v>
      </c>
      <c r="I471" s="22"/>
      <c r="J471" s="22">
        <f>I459-J460-J461-J462-J463-J464-J465-J466-J467-J468-J469-J470</f>
        <v>151554.96</v>
      </c>
      <c r="K471" s="22">
        <f t="shared" si="6"/>
        <v>151554.96</v>
      </c>
      <c r="L471" s="17"/>
      <c r="M471" s="26"/>
    </row>
    <row r="472" spans="1:14" ht="24" x14ac:dyDescent="0.25">
      <c r="A472" s="10">
        <v>46052</v>
      </c>
      <c r="B472" s="2" t="s">
        <v>996</v>
      </c>
      <c r="C472" s="31" t="s">
        <v>997</v>
      </c>
      <c r="D472" s="2" t="s">
        <v>998</v>
      </c>
      <c r="E472" s="3" t="s">
        <v>833</v>
      </c>
      <c r="F472" s="4">
        <v>2183.87</v>
      </c>
      <c r="G472" s="4" t="s">
        <v>265</v>
      </c>
      <c r="H472" s="22" t="s">
        <v>834</v>
      </c>
      <c r="I472" s="22">
        <v>2183.87</v>
      </c>
      <c r="J472" s="22"/>
      <c r="K472" s="22">
        <f t="shared" si="6"/>
        <v>2183.87</v>
      </c>
      <c r="L472" s="17"/>
      <c r="M472" s="23" t="s">
        <v>41</v>
      </c>
      <c r="N472" s="1" t="s">
        <v>999</v>
      </c>
    </row>
    <row r="473" spans="1:14" x14ac:dyDescent="0.25">
      <c r="A473" s="10">
        <v>46052</v>
      </c>
      <c r="B473" s="2" t="s">
        <v>996</v>
      </c>
      <c r="C473" s="31" t="s">
        <v>997</v>
      </c>
      <c r="D473" s="2" t="s">
        <v>998</v>
      </c>
      <c r="E473" s="3" t="s">
        <v>833</v>
      </c>
      <c r="G473" s="4" t="s">
        <v>48</v>
      </c>
      <c r="H473" s="22" t="s">
        <v>49</v>
      </c>
      <c r="I473" s="22"/>
      <c r="J473" s="22">
        <f>I472</f>
        <v>2183.87</v>
      </c>
      <c r="K473" s="22">
        <f t="shared" si="6"/>
        <v>2183.87</v>
      </c>
      <c r="L473" s="17"/>
      <c r="M473" s="26"/>
    </row>
    <row r="474" spans="1:14" ht="24" x14ac:dyDescent="0.25">
      <c r="A474" s="10">
        <v>46052</v>
      </c>
      <c r="B474" s="2" t="s">
        <v>1000</v>
      </c>
      <c r="C474" s="2" t="s">
        <v>95</v>
      </c>
      <c r="D474" s="2" t="s">
        <v>1001</v>
      </c>
      <c r="E474" s="3" t="s">
        <v>76</v>
      </c>
      <c r="F474" s="4">
        <f>13600+14300</f>
        <v>27900</v>
      </c>
      <c r="G474" s="4" t="s">
        <v>77</v>
      </c>
      <c r="H474" s="22" t="s">
        <v>78</v>
      </c>
      <c r="I474" s="22">
        <v>27900</v>
      </c>
      <c r="J474" s="22"/>
      <c r="K474" s="22">
        <f t="shared" si="6"/>
        <v>27900</v>
      </c>
      <c r="L474" s="17">
        <v>27900</v>
      </c>
      <c r="M474" s="23" t="s">
        <v>41</v>
      </c>
      <c r="N474" s="1" t="s">
        <v>1002</v>
      </c>
    </row>
    <row r="475" spans="1:14" x14ac:dyDescent="0.25">
      <c r="A475" s="10">
        <v>46052</v>
      </c>
      <c r="B475" s="2" t="s">
        <v>1000</v>
      </c>
      <c r="C475" s="2" t="s">
        <v>95</v>
      </c>
      <c r="D475" s="2" t="s">
        <v>1001</v>
      </c>
      <c r="E475" s="3" t="s">
        <v>76</v>
      </c>
      <c r="G475" s="4" t="s">
        <v>48</v>
      </c>
      <c r="H475" s="22" t="s">
        <v>49</v>
      </c>
      <c r="I475" s="22"/>
      <c r="J475" s="22">
        <f>I474</f>
        <v>27900</v>
      </c>
      <c r="K475" s="22">
        <f t="shared" si="6"/>
        <v>27900</v>
      </c>
      <c r="L475" s="17"/>
      <c r="M475" s="26"/>
    </row>
    <row r="476" spans="1:14" ht="24" x14ac:dyDescent="0.25">
      <c r="A476" s="10">
        <v>46052</v>
      </c>
      <c r="B476" s="2" t="s">
        <v>1003</v>
      </c>
      <c r="C476" s="2" t="s">
        <v>95</v>
      </c>
      <c r="D476" s="2" t="s">
        <v>1004</v>
      </c>
      <c r="E476" s="3" t="s">
        <v>76</v>
      </c>
      <c r="F476" s="4">
        <v>10300</v>
      </c>
      <c r="G476" s="4" t="s">
        <v>77</v>
      </c>
      <c r="H476" s="22" t="s">
        <v>78</v>
      </c>
      <c r="I476" s="22">
        <v>10300</v>
      </c>
      <c r="J476" s="22"/>
      <c r="K476" s="22">
        <f t="shared" si="6"/>
        <v>10300</v>
      </c>
      <c r="L476" s="17">
        <v>10300</v>
      </c>
      <c r="M476" s="23" t="s">
        <v>41</v>
      </c>
      <c r="N476" s="1" t="s">
        <v>1005</v>
      </c>
    </row>
    <row r="477" spans="1:14" x14ac:dyDescent="0.25">
      <c r="A477" s="10">
        <v>46052</v>
      </c>
      <c r="B477" s="2" t="s">
        <v>1003</v>
      </c>
      <c r="C477" s="2" t="s">
        <v>95</v>
      </c>
      <c r="D477" s="2" t="s">
        <v>1004</v>
      </c>
      <c r="E477" s="3" t="s">
        <v>76</v>
      </c>
      <c r="G477" s="4" t="s">
        <v>48</v>
      </c>
      <c r="H477" s="22" t="s">
        <v>49</v>
      </c>
      <c r="I477" s="22"/>
      <c r="J477" s="22">
        <f>I476</f>
        <v>10300</v>
      </c>
      <c r="K477" s="22">
        <f t="shared" si="6"/>
        <v>10300</v>
      </c>
      <c r="L477" s="17"/>
      <c r="M477" s="26"/>
    </row>
    <row r="478" spans="1:14" ht="36" x14ac:dyDescent="0.25">
      <c r="A478" s="10">
        <v>46052</v>
      </c>
      <c r="B478" s="2" t="s">
        <v>1006</v>
      </c>
      <c r="C478" s="2" t="s">
        <v>95</v>
      </c>
      <c r="D478" s="2" t="s">
        <v>1007</v>
      </c>
      <c r="E478" s="3" t="s">
        <v>575</v>
      </c>
      <c r="F478" s="4">
        <f>(43144/1.12)+(43144/1.12*0.12)-(43144/1.12*0.01)</f>
        <v>42758.78571428571</v>
      </c>
      <c r="G478" s="4" t="s">
        <v>77</v>
      </c>
      <c r="H478" s="22" t="s">
        <v>809</v>
      </c>
      <c r="I478" s="22">
        <f>43144/1.12</f>
        <v>38521.428571428565</v>
      </c>
      <c r="J478" s="22"/>
      <c r="K478" s="22">
        <f t="shared" si="6"/>
        <v>38521.428571428565</v>
      </c>
      <c r="L478" s="17"/>
      <c r="M478" s="23" t="s">
        <v>41</v>
      </c>
      <c r="N478" s="1" t="s">
        <v>1008</v>
      </c>
    </row>
    <row r="479" spans="1:14" x14ac:dyDescent="0.25">
      <c r="A479" s="10">
        <v>46052</v>
      </c>
      <c r="B479" s="2" t="s">
        <v>1006</v>
      </c>
      <c r="C479" s="2" t="s">
        <v>95</v>
      </c>
      <c r="D479" s="2" t="s">
        <v>1007</v>
      </c>
      <c r="E479" s="3" t="s">
        <v>575</v>
      </c>
      <c r="F479" s="4" t="s">
        <v>1009</v>
      </c>
      <c r="G479" s="4" t="s">
        <v>77</v>
      </c>
      <c r="H479" s="22" t="s">
        <v>281</v>
      </c>
      <c r="I479" s="22">
        <f>I478*0.12</f>
        <v>4622.5714285714275</v>
      </c>
      <c r="J479" s="22"/>
      <c r="K479" s="22">
        <f t="shared" si="6"/>
        <v>4622.5714285714275</v>
      </c>
      <c r="L479" s="17"/>
      <c r="M479" s="26"/>
    </row>
    <row r="480" spans="1:14" x14ac:dyDescent="0.25">
      <c r="A480" s="10">
        <v>46052</v>
      </c>
      <c r="B480" s="2" t="s">
        <v>1006</v>
      </c>
      <c r="C480" s="2" t="s">
        <v>95</v>
      </c>
      <c r="D480" s="2" t="s">
        <v>1007</v>
      </c>
      <c r="E480" s="3" t="s">
        <v>575</v>
      </c>
      <c r="G480" s="4" t="s">
        <v>77</v>
      </c>
      <c r="H480" s="22" t="s">
        <v>282</v>
      </c>
      <c r="I480" s="22"/>
      <c r="J480" s="22">
        <f>I478*0.01</f>
        <v>385.21428571428567</v>
      </c>
      <c r="K480" s="22">
        <f t="shared" si="6"/>
        <v>385.21428571428567</v>
      </c>
      <c r="L480" s="17"/>
      <c r="M480" s="26"/>
    </row>
    <row r="481" spans="1:23" x14ac:dyDescent="0.25">
      <c r="A481" s="10">
        <v>46052</v>
      </c>
      <c r="B481" s="2" t="s">
        <v>1006</v>
      </c>
      <c r="C481" s="2" t="s">
        <v>95</v>
      </c>
      <c r="D481" s="2" t="s">
        <v>1007</v>
      </c>
      <c r="E481" s="3" t="s">
        <v>575</v>
      </c>
      <c r="G481" s="4" t="s">
        <v>48</v>
      </c>
      <c r="H481" s="22" t="s">
        <v>49</v>
      </c>
      <c r="I481" s="22"/>
      <c r="J481" s="22">
        <f>I478+I479-J480</f>
        <v>42758.78571428571</v>
      </c>
      <c r="K481" s="22">
        <f t="shared" si="6"/>
        <v>42758.78571428571</v>
      </c>
      <c r="L481" s="17"/>
      <c r="M481" s="26"/>
    </row>
    <row r="482" spans="1:23" ht="24" x14ac:dyDescent="0.25">
      <c r="A482" s="10">
        <v>46052</v>
      </c>
      <c r="B482" s="2" t="s">
        <v>1010</v>
      </c>
      <c r="C482" s="2" t="s">
        <v>95</v>
      </c>
      <c r="D482" s="2" t="s">
        <v>1011</v>
      </c>
      <c r="E482" s="3" t="s">
        <v>76</v>
      </c>
      <c r="F482" s="4">
        <v>10565</v>
      </c>
      <c r="G482" s="4" t="s">
        <v>77</v>
      </c>
      <c r="H482" s="22" t="s">
        <v>78</v>
      </c>
      <c r="I482" s="22">
        <v>10565</v>
      </c>
      <c r="J482" s="22"/>
      <c r="K482" s="22">
        <f t="shared" si="6"/>
        <v>10565</v>
      </c>
      <c r="L482" s="17">
        <v>10565</v>
      </c>
      <c r="M482" s="23" t="s">
        <v>41</v>
      </c>
      <c r="N482" s="1" t="s">
        <v>1012</v>
      </c>
      <c r="O482" s="7" t="s">
        <v>567</v>
      </c>
      <c r="Q482" s="7" t="s">
        <v>81</v>
      </c>
      <c r="R482" s="7" t="s">
        <v>1013</v>
      </c>
      <c r="S482" s="3" t="s">
        <v>83</v>
      </c>
    </row>
    <row r="483" spans="1:23" x14ac:dyDescent="0.25">
      <c r="A483" s="10">
        <v>46052</v>
      </c>
      <c r="B483" s="2" t="s">
        <v>1010</v>
      </c>
      <c r="C483" s="2" t="s">
        <v>95</v>
      </c>
      <c r="D483" s="2" t="s">
        <v>1011</v>
      </c>
      <c r="E483" s="3" t="s">
        <v>76</v>
      </c>
      <c r="G483" s="4" t="s">
        <v>48</v>
      </c>
      <c r="H483" s="22" t="s">
        <v>49</v>
      </c>
      <c r="I483" s="22"/>
      <c r="J483" s="22">
        <f>I482</f>
        <v>10565</v>
      </c>
      <c r="K483" s="22">
        <f t="shared" si="6"/>
        <v>10565</v>
      </c>
      <c r="L483" s="17"/>
      <c r="M483" s="26"/>
    </row>
    <row r="484" spans="1:23" ht="24" x14ac:dyDescent="0.25">
      <c r="A484" s="10">
        <v>46052</v>
      </c>
      <c r="B484" s="2" t="s">
        <v>1014</v>
      </c>
      <c r="C484" s="2" t="s">
        <v>95</v>
      </c>
      <c r="D484" s="2" t="s">
        <v>1015</v>
      </c>
      <c r="E484" s="3" t="s">
        <v>222</v>
      </c>
      <c r="F484" s="4">
        <v>350</v>
      </c>
      <c r="G484" s="4" t="s">
        <v>739</v>
      </c>
      <c r="H484" s="22" t="s">
        <v>78</v>
      </c>
      <c r="I484" s="22">
        <v>350</v>
      </c>
      <c r="J484" s="22"/>
      <c r="K484" s="22">
        <f t="shared" si="6"/>
        <v>350</v>
      </c>
      <c r="L484" s="17"/>
      <c r="M484" s="26" t="s">
        <v>581</v>
      </c>
      <c r="N484" s="1" t="s">
        <v>1016</v>
      </c>
    </row>
    <row r="485" spans="1:23" x14ac:dyDescent="0.25">
      <c r="A485" s="10">
        <v>46052</v>
      </c>
      <c r="B485" s="2" t="s">
        <v>1014</v>
      </c>
      <c r="C485" s="2" t="s">
        <v>95</v>
      </c>
      <c r="D485" s="2" t="s">
        <v>1015</v>
      </c>
      <c r="E485" s="3" t="s">
        <v>222</v>
      </c>
      <c r="G485" s="4" t="s">
        <v>48</v>
      </c>
      <c r="H485" s="22" t="s">
        <v>49</v>
      </c>
      <c r="I485" s="22"/>
      <c r="J485" s="22">
        <f>I484</f>
        <v>350</v>
      </c>
      <c r="K485" s="22">
        <f t="shared" si="6"/>
        <v>350</v>
      </c>
      <c r="L485" s="17"/>
      <c r="M485" s="26"/>
    </row>
    <row r="486" spans="1:23" ht="24" x14ac:dyDescent="0.25">
      <c r="A486" s="10">
        <v>46052</v>
      </c>
      <c r="B486" s="2" t="s">
        <v>1017</v>
      </c>
      <c r="C486" s="2" t="s">
        <v>1018</v>
      </c>
      <c r="D486" s="2" t="s">
        <v>1019</v>
      </c>
      <c r="E486" s="3" t="s">
        <v>1020</v>
      </c>
      <c r="F486" s="4">
        <v>133127</v>
      </c>
      <c r="G486" s="4" t="s">
        <v>28</v>
      </c>
      <c r="H486" s="22"/>
      <c r="I486" s="22"/>
      <c r="J486" s="22"/>
      <c r="K486" s="22">
        <f t="shared" si="6"/>
        <v>0</v>
      </c>
      <c r="L486" s="17"/>
      <c r="M486" s="23" t="s">
        <v>41</v>
      </c>
      <c r="N486" s="1" t="s">
        <v>1021</v>
      </c>
    </row>
    <row r="487" spans="1:23" ht="24" x14ac:dyDescent="0.25">
      <c r="A487" s="10">
        <v>46052</v>
      </c>
      <c r="B487" s="2" t="s">
        <v>1022</v>
      </c>
      <c r="C487" s="2" t="s">
        <v>1023</v>
      </c>
      <c r="D487" s="2" t="s">
        <v>1024</v>
      </c>
      <c r="E487" s="3" t="s">
        <v>1025</v>
      </c>
      <c r="F487" s="4">
        <v>156897.44</v>
      </c>
      <c r="G487" s="4" t="s">
        <v>28</v>
      </c>
      <c r="H487" s="22"/>
      <c r="I487" s="22"/>
      <c r="J487" s="22"/>
      <c r="K487" s="22">
        <f t="shared" si="6"/>
        <v>0</v>
      </c>
      <c r="L487" s="17"/>
      <c r="M487" s="23" t="s">
        <v>41</v>
      </c>
      <c r="N487" s="1" t="s">
        <v>1026</v>
      </c>
    </row>
    <row r="488" spans="1:23" ht="24" x14ac:dyDescent="0.25">
      <c r="A488" s="10">
        <v>46052</v>
      </c>
      <c r="B488" s="2" t="s">
        <v>1027</v>
      </c>
      <c r="C488" s="2" t="s">
        <v>95</v>
      </c>
      <c r="D488" s="2" t="s">
        <v>1028</v>
      </c>
      <c r="E488" s="3" t="s">
        <v>1029</v>
      </c>
      <c r="F488" s="4">
        <v>10000</v>
      </c>
      <c r="G488" s="4" t="s">
        <v>1030</v>
      </c>
      <c r="H488" s="22" t="s">
        <v>379</v>
      </c>
      <c r="I488" s="22">
        <f>10000</f>
        <v>10000</v>
      </c>
      <c r="J488" s="22"/>
      <c r="K488" s="22">
        <f t="shared" si="6"/>
        <v>10000</v>
      </c>
      <c r="L488" s="17">
        <v>10000</v>
      </c>
      <c r="M488" s="23" t="s">
        <v>41</v>
      </c>
      <c r="N488" s="1" t="s">
        <v>1031</v>
      </c>
      <c r="O488" s="7" t="s">
        <v>668</v>
      </c>
      <c r="Q488" s="7" t="s">
        <v>81</v>
      </c>
      <c r="R488" s="7" t="s">
        <v>1032</v>
      </c>
      <c r="S488" s="3" t="s">
        <v>83</v>
      </c>
      <c r="T488" s="3" t="s">
        <v>1033</v>
      </c>
    </row>
    <row r="489" spans="1:23" x14ac:dyDescent="0.25">
      <c r="A489" s="10">
        <v>46052</v>
      </c>
      <c r="B489" s="2" t="s">
        <v>1027</v>
      </c>
      <c r="C489" s="2" t="s">
        <v>95</v>
      </c>
      <c r="D489" s="2" t="s">
        <v>1028</v>
      </c>
      <c r="E489" s="3" t="s">
        <v>1029</v>
      </c>
      <c r="G489" s="4" t="s">
        <v>48</v>
      </c>
      <c r="H489" s="22" t="s">
        <v>49</v>
      </c>
      <c r="I489" s="22"/>
      <c r="J489" s="22">
        <f>I488</f>
        <v>10000</v>
      </c>
      <c r="K489" s="22">
        <f t="shared" si="6"/>
        <v>10000</v>
      </c>
      <c r="L489" s="17"/>
      <c r="M489" s="26"/>
    </row>
    <row r="490" spans="1:23" ht="24" x14ac:dyDescent="0.25">
      <c r="A490" s="10">
        <v>46052</v>
      </c>
      <c r="B490" s="2" t="s">
        <v>1034</v>
      </c>
      <c r="C490" s="2" t="s">
        <v>95</v>
      </c>
      <c r="D490" s="2" t="s">
        <v>1035</v>
      </c>
      <c r="E490" s="3" t="s">
        <v>1036</v>
      </c>
      <c r="F490" s="4">
        <v>30000</v>
      </c>
      <c r="G490" s="4" t="s">
        <v>1030</v>
      </c>
      <c r="H490" s="22" t="s">
        <v>379</v>
      </c>
      <c r="I490" s="22">
        <v>30000</v>
      </c>
      <c r="J490" s="22"/>
      <c r="K490" s="22">
        <f t="shared" si="6"/>
        <v>30000</v>
      </c>
      <c r="L490" s="17"/>
      <c r="M490" s="29" t="s">
        <v>99</v>
      </c>
      <c r="N490" s="1" t="s">
        <v>1037</v>
      </c>
      <c r="O490" s="24" t="s">
        <v>1038</v>
      </c>
      <c r="P490" s="24"/>
      <c r="T490" s="3" t="s">
        <v>1033</v>
      </c>
      <c r="W490" s="9" t="s">
        <v>1039</v>
      </c>
    </row>
    <row r="491" spans="1:23" x14ac:dyDescent="0.25">
      <c r="A491" s="10">
        <v>46052</v>
      </c>
      <c r="B491" s="2" t="s">
        <v>1034</v>
      </c>
      <c r="C491" s="2" t="s">
        <v>95</v>
      </c>
      <c r="D491" s="2" t="s">
        <v>1035</v>
      </c>
      <c r="E491" s="3" t="s">
        <v>1036</v>
      </c>
      <c r="G491" s="4" t="s">
        <v>48</v>
      </c>
      <c r="H491" s="22" t="s">
        <v>49</v>
      </c>
      <c r="I491" s="22"/>
      <c r="J491" s="22">
        <f>I490</f>
        <v>30000</v>
      </c>
      <c r="K491" s="22">
        <f t="shared" si="6"/>
        <v>30000</v>
      </c>
      <c r="L491" s="17"/>
      <c r="M491" s="26"/>
    </row>
    <row r="492" spans="1:23" ht="24" x14ac:dyDescent="0.25">
      <c r="A492" s="10">
        <v>46052</v>
      </c>
      <c r="B492" s="2" t="s">
        <v>1040</v>
      </c>
      <c r="C492" s="2" t="s">
        <v>1041</v>
      </c>
      <c r="D492" s="2" t="s">
        <v>1042</v>
      </c>
      <c r="E492" s="3" t="s">
        <v>307</v>
      </c>
      <c r="F492" s="4">
        <v>36150</v>
      </c>
      <c r="G492" s="4" t="s">
        <v>626</v>
      </c>
      <c r="H492" s="22"/>
      <c r="I492" s="22"/>
      <c r="J492" s="22"/>
      <c r="K492" s="22">
        <f t="shared" si="6"/>
        <v>0</v>
      </c>
      <c r="L492" s="17"/>
      <c r="M492" s="26" t="s">
        <v>581</v>
      </c>
      <c r="N492" s="1" t="s">
        <v>1043</v>
      </c>
    </row>
    <row r="493" spans="1:23" ht="24" x14ac:dyDescent="0.25">
      <c r="A493" s="10">
        <v>46052</v>
      </c>
      <c r="B493" s="2" t="s">
        <v>1044</v>
      </c>
      <c r="C493" s="2" t="s">
        <v>1045</v>
      </c>
      <c r="D493" s="2" t="s">
        <v>1046</v>
      </c>
      <c r="E493" s="3" t="s">
        <v>1047</v>
      </c>
      <c r="F493" s="4">
        <v>909</v>
      </c>
      <c r="G493" s="4" t="s">
        <v>268</v>
      </c>
      <c r="H493" s="22"/>
      <c r="I493" s="22"/>
      <c r="J493" s="22"/>
      <c r="K493" s="22">
        <f t="shared" si="6"/>
        <v>0</v>
      </c>
      <c r="L493" s="17"/>
      <c r="M493" s="26" t="s">
        <v>581</v>
      </c>
      <c r="N493" s="1" t="s">
        <v>1048</v>
      </c>
    </row>
    <row r="494" spans="1:23" ht="24" x14ac:dyDescent="0.25">
      <c r="A494" s="10">
        <v>46052</v>
      </c>
      <c r="B494" s="2" t="s">
        <v>1049</v>
      </c>
      <c r="C494" s="2" t="s">
        <v>1050</v>
      </c>
      <c r="D494" s="2" t="s">
        <v>1051</v>
      </c>
      <c r="E494" s="3" t="s">
        <v>562</v>
      </c>
      <c r="F494" s="4">
        <v>9187.7999999999993</v>
      </c>
      <c r="G494" s="4" t="s">
        <v>268</v>
      </c>
      <c r="H494" s="22"/>
      <c r="I494" s="22"/>
      <c r="J494" s="22"/>
      <c r="K494" s="22">
        <f t="shared" si="6"/>
        <v>0</v>
      </c>
      <c r="L494" s="17"/>
      <c r="M494" s="26" t="s">
        <v>581</v>
      </c>
      <c r="N494" s="1" t="s">
        <v>1052</v>
      </c>
    </row>
    <row r="495" spans="1:23" ht="24" x14ac:dyDescent="0.25">
      <c r="A495" s="10">
        <v>46052</v>
      </c>
      <c r="B495" s="2" t="s">
        <v>1053</v>
      </c>
      <c r="C495" s="2" t="s">
        <v>1054</v>
      </c>
      <c r="D495" s="2" t="s">
        <v>1055</v>
      </c>
      <c r="E495" s="3" t="s">
        <v>1056</v>
      </c>
      <c r="F495" s="4">
        <v>41250</v>
      </c>
      <c r="G495" s="4" t="s">
        <v>268</v>
      </c>
      <c r="H495" s="22"/>
      <c r="I495" s="22"/>
      <c r="J495" s="22"/>
      <c r="K495" s="22">
        <f t="shared" ref="K495:K558" si="7">ABS(I495-J495)</f>
        <v>0</v>
      </c>
      <c r="L495" s="17"/>
      <c r="M495" s="29" t="s">
        <v>99</v>
      </c>
      <c r="N495" s="1" t="s">
        <v>1057</v>
      </c>
      <c r="O495" s="24" t="s">
        <v>1058</v>
      </c>
    </row>
    <row r="496" spans="1:23" ht="36" x14ac:dyDescent="0.25">
      <c r="A496" s="10">
        <v>46052</v>
      </c>
      <c r="B496" s="2" t="s">
        <v>1059</v>
      </c>
      <c r="C496" s="2" t="s">
        <v>1060</v>
      </c>
      <c r="D496" s="2" t="s">
        <v>1055</v>
      </c>
      <c r="E496" s="3" t="s">
        <v>717</v>
      </c>
      <c r="F496" s="4">
        <v>11287.8</v>
      </c>
      <c r="G496" s="4" t="s">
        <v>268</v>
      </c>
      <c r="H496" s="22"/>
      <c r="I496" s="22"/>
      <c r="J496" s="22"/>
      <c r="K496" s="22">
        <f t="shared" si="7"/>
        <v>0</v>
      </c>
      <c r="L496" s="17"/>
      <c r="M496" s="26" t="s">
        <v>581</v>
      </c>
      <c r="N496" s="1" t="s">
        <v>1061</v>
      </c>
    </row>
    <row r="497" spans="1:20" ht="24" x14ac:dyDescent="0.25">
      <c r="A497" s="10">
        <v>46052</v>
      </c>
      <c r="B497" s="2" t="s">
        <v>1062</v>
      </c>
      <c r="C497" s="2" t="s">
        <v>1063</v>
      </c>
      <c r="D497" s="2" t="s">
        <v>1055</v>
      </c>
      <c r="E497" s="3" t="s">
        <v>553</v>
      </c>
      <c r="F497" s="4">
        <v>2630</v>
      </c>
      <c r="G497" s="4" t="s">
        <v>268</v>
      </c>
      <c r="H497" s="22"/>
      <c r="I497" s="22"/>
      <c r="J497" s="22"/>
      <c r="K497" s="22">
        <f t="shared" si="7"/>
        <v>0</v>
      </c>
      <c r="L497" s="17"/>
      <c r="M497" s="26" t="s">
        <v>581</v>
      </c>
      <c r="N497" s="1" t="s">
        <v>1064</v>
      </c>
    </row>
    <row r="498" spans="1:20" ht="36" x14ac:dyDescent="0.25">
      <c r="A498" s="10">
        <v>46052</v>
      </c>
      <c r="B498" s="2" t="s">
        <v>1065</v>
      </c>
      <c r="C498" s="2" t="s">
        <v>1066</v>
      </c>
      <c r="D498" s="2" t="s">
        <v>1067</v>
      </c>
      <c r="E498" s="3" t="s">
        <v>1068</v>
      </c>
      <c r="F498" s="4">
        <v>28874.92</v>
      </c>
      <c r="G498" s="4" t="s">
        <v>268</v>
      </c>
      <c r="H498" s="22"/>
      <c r="I498" s="22"/>
      <c r="J498" s="22"/>
      <c r="K498" s="22">
        <f t="shared" si="7"/>
        <v>0</v>
      </c>
      <c r="L498" s="17"/>
      <c r="M498" s="23" t="s">
        <v>41</v>
      </c>
      <c r="N498" s="1" t="s">
        <v>1069</v>
      </c>
    </row>
    <row r="499" spans="1:20" ht="25.2" customHeight="1" x14ac:dyDescent="0.25">
      <c r="A499" s="10">
        <v>46052</v>
      </c>
      <c r="B499" s="2" t="s">
        <v>1070</v>
      </c>
      <c r="C499" s="2" t="s">
        <v>1071</v>
      </c>
      <c r="D499" s="2" t="s">
        <v>1067</v>
      </c>
      <c r="E499" s="3" t="s">
        <v>1072</v>
      </c>
      <c r="F499" s="4">
        <v>13650</v>
      </c>
      <c r="G499" s="4" t="s">
        <v>268</v>
      </c>
      <c r="H499" s="22"/>
      <c r="I499" s="22"/>
      <c r="J499" s="22"/>
      <c r="K499" s="22">
        <f t="shared" si="7"/>
        <v>0</v>
      </c>
      <c r="L499" s="17"/>
      <c r="M499" s="26" t="s">
        <v>581</v>
      </c>
      <c r="N499" s="44" t="s">
        <v>1073</v>
      </c>
    </row>
    <row r="500" spans="1:20" ht="24" x14ac:dyDescent="0.25">
      <c r="A500" s="10">
        <v>46052</v>
      </c>
      <c r="B500" s="2" t="s">
        <v>1074</v>
      </c>
      <c r="E500" s="3" t="s">
        <v>371</v>
      </c>
      <c r="F500" s="4">
        <v>106488.83</v>
      </c>
      <c r="G500" s="4" t="s">
        <v>98</v>
      </c>
      <c r="H500" s="22"/>
      <c r="I500" s="22"/>
      <c r="J500" s="22"/>
      <c r="K500" s="22">
        <f t="shared" si="7"/>
        <v>0</v>
      </c>
      <c r="L500" s="17"/>
      <c r="M500" s="23" t="s">
        <v>41</v>
      </c>
      <c r="N500" s="1" t="s">
        <v>1075</v>
      </c>
    </row>
    <row r="501" spans="1:20" ht="24" x14ac:dyDescent="0.25">
      <c r="A501" s="10">
        <v>46052</v>
      </c>
      <c r="B501" s="2" t="s">
        <v>1076</v>
      </c>
      <c r="C501" s="2" t="s">
        <v>470</v>
      </c>
      <c r="D501" s="2" t="s">
        <v>1077</v>
      </c>
      <c r="E501" s="3" t="s">
        <v>472</v>
      </c>
      <c r="F501" s="4">
        <v>12077.69</v>
      </c>
      <c r="G501" s="4" t="s">
        <v>48</v>
      </c>
      <c r="H501" s="22"/>
      <c r="I501" s="22"/>
      <c r="J501" s="22"/>
      <c r="K501" s="22">
        <f t="shared" si="7"/>
        <v>0</v>
      </c>
      <c r="L501" s="17">
        <v>12077.69</v>
      </c>
      <c r="M501" s="23" t="s">
        <v>41</v>
      </c>
      <c r="N501" s="1" t="s">
        <v>1078</v>
      </c>
      <c r="O501" s="7" t="s">
        <v>116</v>
      </c>
      <c r="Q501" s="7" t="s">
        <v>81</v>
      </c>
    </row>
    <row r="502" spans="1:20" x14ac:dyDescent="0.25">
      <c r="A502" s="10">
        <v>46052</v>
      </c>
      <c r="B502" s="2" t="s">
        <v>1079</v>
      </c>
      <c r="E502" s="3" t="s">
        <v>27</v>
      </c>
      <c r="F502" s="4">
        <v>18577.689999999999</v>
      </c>
      <c r="G502" s="4" t="s">
        <v>48</v>
      </c>
      <c r="H502" s="22"/>
      <c r="I502" s="22"/>
      <c r="J502" s="22"/>
      <c r="K502" s="22">
        <f t="shared" si="7"/>
        <v>0</v>
      </c>
      <c r="L502" s="17"/>
      <c r="M502" s="26" t="s">
        <v>41</v>
      </c>
      <c r="N502" s="1" t="s">
        <v>1080</v>
      </c>
    </row>
    <row r="503" spans="1:20" x14ac:dyDescent="0.25">
      <c r="A503" s="10">
        <v>46052</v>
      </c>
      <c r="B503" s="2" t="s">
        <v>1081</v>
      </c>
      <c r="E503" s="3" t="s">
        <v>1082</v>
      </c>
      <c r="F503" s="4">
        <v>80538.320000000007</v>
      </c>
      <c r="H503" s="22"/>
      <c r="I503" s="22"/>
      <c r="J503" s="22"/>
      <c r="K503" s="22">
        <f t="shared" si="7"/>
        <v>0</v>
      </c>
      <c r="L503" s="17"/>
      <c r="N503" s="1" t="s">
        <v>1083</v>
      </c>
    </row>
    <row r="504" spans="1:20" x14ac:dyDescent="0.25">
      <c r="A504" s="10">
        <v>46052</v>
      </c>
      <c r="B504" s="2" t="s">
        <v>1084</v>
      </c>
      <c r="E504" s="3" t="s">
        <v>398</v>
      </c>
      <c r="F504" s="4">
        <v>400000</v>
      </c>
      <c r="G504" s="4" t="s">
        <v>167</v>
      </c>
      <c r="H504" s="22"/>
      <c r="I504" s="22"/>
      <c r="J504" s="22"/>
      <c r="K504" s="22">
        <f t="shared" si="7"/>
        <v>0</v>
      </c>
      <c r="L504" s="17">
        <v>400000</v>
      </c>
      <c r="M504" s="23" t="s">
        <v>41</v>
      </c>
      <c r="N504" s="1" t="s">
        <v>1085</v>
      </c>
      <c r="O504" s="7" t="s">
        <v>116</v>
      </c>
      <c r="P504" s="7" t="s">
        <v>81</v>
      </c>
      <c r="R504" s="7" t="s">
        <v>1086</v>
      </c>
      <c r="S504" s="3" t="s">
        <v>1087</v>
      </c>
      <c r="T504" s="3" t="s">
        <v>1088</v>
      </c>
    </row>
    <row r="505" spans="1:20" x14ac:dyDescent="0.25">
      <c r="A505" s="10">
        <v>46052</v>
      </c>
      <c r="B505" s="2" t="s">
        <v>1089</v>
      </c>
      <c r="E505" s="3" t="s">
        <v>27</v>
      </c>
      <c r="F505" s="4">
        <v>12069.8</v>
      </c>
      <c r="G505" s="4" t="s">
        <v>48</v>
      </c>
      <c r="H505" s="22"/>
      <c r="I505" s="22"/>
      <c r="J505" s="22"/>
      <c r="K505" s="22">
        <f t="shared" si="7"/>
        <v>0</v>
      </c>
      <c r="L505" s="17"/>
      <c r="M505" s="23"/>
      <c r="N505" s="1" t="s">
        <v>1080</v>
      </c>
    </row>
    <row r="506" spans="1:20" x14ac:dyDescent="0.25">
      <c r="A506" s="10">
        <v>46052</v>
      </c>
      <c r="B506" s="2" t="s">
        <v>1090</v>
      </c>
      <c r="E506" s="3" t="s">
        <v>27</v>
      </c>
      <c r="F506" s="4">
        <v>33480</v>
      </c>
      <c r="G506" s="4" t="s">
        <v>326</v>
      </c>
      <c r="H506" s="22"/>
      <c r="I506" s="22"/>
      <c r="J506" s="22"/>
      <c r="K506" s="22">
        <f t="shared" si="7"/>
        <v>0</v>
      </c>
      <c r="L506" s="17"/>
      <c r="M506" s="23"/>
      <c r="N506" s="1" t="s">
        <v>1091</v>
      </c>
    </row>
    <row r="507" spans="1:20" x14ac:dyDescent="0.25">
      <c r="A507" s="10">
        <v>46055</v>
      </c>
      <c r="B507" s="2" t="s">
        <v>1092</v>
      </c>
      <c r="C507" s="2" t="s">
        <v>1093</v>
      </c>
      <c r="E507" s="3" t="s">
        <v>27</v>
      </c>
      <c r="F507" s="4">
        <v>2300000</v>
      </c>
      <c r="G507" s="4" t="s">
        <v>48</v>
      </c>
      <c r="H507" s="22"/>
      <c r="I507" s="22"/>
      <c r="J507" s="22"/>
      <c r="K507" s="22">
        <f t="shared" si="7"/>
        <v>0</v>
      </c>
      <c r="L507" s="17"/>
      <c r="M507" s="23" t="s">
        <v>41</v>
      </c>
      <c r="N507" s="1" t="s">
        <v>1094</v>
      </c>
      <c r="O507" s="7" t="s">
        <v>143</v>
      </c>
      <c r="Q507" s="25" t="s">
        <v>1095</v>
      </c>
      <c r="R507" s="7" t="s">
        <v>1096</v>
      </c>
      <c r="S507" s="3" t="s">
        <v>145</v>
      </c>
      <c r="T507" s="3" t="s">
        <v>324</v>
      </c>
    </row>
    <row r="508" spans="1:20" ht="36" x14ac:dyDescent="0.25">
      <c r="A508" s="10">
        <v>46055</v>
      </c>
      <c r="B508" s="2" t="s">
        <v>1097</v>
      </c>
      <c r="E508" s="3" t="s">
        <v>1098</v>
      </c>
      <c r="F508" s="4">
        <f>54000+143696</f>
        <v>197696</v>
      </c>
      <c r="G508" s="4" t="s">
        <v>110</v>
      </c>
      <c r="H508" s="22"/>
      <c r="I508" s="22"/>
      <c r="J508" s="22"/>
      <c r="K508" s="22">
        <f t="shared" si="7"/>
        <v>0</v>
      </c>
      <c r="L508" s="17"/>
      <c r="M508" s="23" t="s">
        <v>41</v>
      </c>
      <c r="N508" s="1" t="s">
        <v>1099</v>
      </c>
      <c r="Q508" s="25"/>
    </row>
    <row r="509" spans="1:20" x14ac:dyDescent="0.25">
      <c r="A509" s="10">
        <v>46055</v>
      </c>
      <c r="B509" s="2" t="s">
        <v>1100</v>
      </c>
      <c r="E509" s="3" t="s">
        <v>614</v>
      </c>
      <c r="F509" s="4">
        <v>459877.71</v>
      </c>
      <c r="G509" s="4" t="s">
        <v>167</v>
      </c>
      <c r="H509" s="22"/>
      <c r="I509" s="22"/>
      <c r="J509" s="22"/>
      <c r="K509" s="22">
        <f t="shared" si="7"/>
        <v>0</v>
      </c>
      <c r="L509" s="17"/>
      <c r="M509" s="23" t="s">
        <v>41</v>
      </c>
      <c r="N509" s="1" t="s">
        <v>1101</v>
      </c>
    </row>
    <row r="510" spans="1:20" ht="24" x14ac:dyDescent="0.25">
      <c r="A510" s="10">
        <v>46055</v>
      </c>
      <c r="B510" s="2" t="s">
        <v>1102</v>
      </c>
      <c r="C510" s="2" t="s">
        <v>376</v>
      </c>
      <c r="D510" s="31" t="s">
        <v>483</v>
      </c>
      <c r="E510" s="3" t="s">
        <v>1103</v>
      </c>
      <c r="F510" s="4">
        <v>50000</v>
      </c>
      <c r="G510" s="4" t="s">
        <v>48</v>
      </c>
      <c r="H510" s="22"/>
      <c r="I510" s="22"/>
      <c r="J510" s="22"/>
      <c r="K510" s="22">
        <f t="shared" si="7"/>
        <v>0</v>
      </c>
      <c r="L510" s="17">
        <v>50000</v>
      </c>
      <c r="M510" s="23" t="s">
        <v>41</v>
      </c>
      <c r="N510" s="1" t="s">
        <v>1104</v>
      </c>
    </row>
    <row r="511" spans="1:20" ht="24" x14ac:dyDescent="0.25">
      <c r="A511" s="10">
        <v>46055</v>
      </c>
      <c r="B511" s="2" t="s">
        <v>1105</v>
      </c>
      <c r="C511" s="2" t="s">
        <v>95</v>
      </c>
      <c r="D511" s="2" t="s">
        <v>1106</v>
      </c>
      <c r="E511" s="3" t="s">
        <v>76</v>
      </c>
      <c r="F511" s="4">
        <f>5000+12000</f>
        <v>17000</v>
      </c>
      <c r="G511" s="4" t="s">
        <v>77</v>
      </c>
      <c r="H511" s="22"/>
      <c r="I511" s="22"/>
      <c r="J511" s="22"/>
      <c r="K511" s="22">
        <f t="shared" si="7"/>
        <v>0</v>
      </c>
      <c r="L511" s="17">
        <v>17000</v>
      </c>
      <c r="M511" s="23" t="s">
        <v>41</v>
      </c>
      <c r="N511" s="1" t="s">
        <v>1107</v>
      </c>
    </row>
    <row r="512" spans="1:20" x14ac:dyDescent="0.25">
      <c r="A512" s="10">
        <v>46055</v>
      </c>
      <c r="B512" s="2" t="s">
        <v>1108</v>
      </c>
      <c r="D512" s="31" t="s">
        <v>483</v>
      </c>
      <c r="E512" s="3" t="s">
        <v>1109</v>
      </c>
      <c r="F512" s="4">
        <v>8125</v>
      </c>
      <c r="G512" s="4" t="s">
        <v>1110</v>
      </c>
      <c r="H512" s="22"/>
      <c r="I512" s="22"/>
      <c r="J512" s="22"/>
      <c r="K512" s="22">
        <f t="shared" si="7"/>
        <v>0</v>
      </c>
      <c r="L512" s="17">
        <v>8125</v>
      </c>
      <c r="M512" s="23" t="s">
        <v>41</v>
      </c>
      <c r="N512" s="1" t="s">
        <v>1111</v>
      </c>
    </row>
    <row r="513" spans="1:20" x14ac:dyDescent="0.25">
      <c r="A513" s="10">
        <v>46055</v>
      </c>
      <c r="B513" s="2" t="s">
        <v>1112</v>
      </c>
      <c r="E513" s="3" t="s">
        <v>27</v>
      </c>
      <c r="F513" s="4">
        <v>210000</v>
      </c>
      <c r="G513" s="4" t="s">
        <v>48</v>
      </c>
      <c r="H513" s="22"/>
      <c r="I513" s="22"/>
      <c r="J513" s="22"/>
      <c r="K513" s="22">
        <f t="shared" si="7"/>
        <v>0</v>
      </c>
      <c r="L513" s="17"/>
      <c r="M513" s="23" t="s">
        <v>41</v>
      </c>
      <c r="N513" s="1" t="s">
        <v>1113</v>
      </c>
    </row>
    <row r="514" spans="1:20" x14ac:dyDescent="0.25">
      <c r="A514" s="10">
        <v>46055</v>
      </c>
      <c r="B514" s="2" t="s">
        <v>1114</v>
      </c>
      <c r="E514" s="3" t="s">
        <v>398</v>
      </c>
      <c r="F514" s="4">
        <v>50000</v>
      </c>
      <c r="G514" s="3" t="s">
        <v>262</v>
      </c>
      <c r="H514" s="34"/>
      <c r="I514" s="34"/>
      <c r="J514" s="34"/>
      <c r="K514" s="22">
        <f t="shared" si="7"/>
        <v>0</v>
      </c>
      <c r="L514" s="17">
        <v>50000</v>
      </c>
      <c r="M514" s="23" t="s">
        <v>41</v>
      </c>
      <c r="N514" s="1" t="s">
        <v>1115</v>
      </c>
      <c r="O514" s="7" t="s">
        <v>116</v>
      </c>
      <c r="P514" s="7" t="s">
        <v>81</v>
      </c>
      <c r="R514" s="7" t="s">
        <v>1116</v>
      </c>
      <c r="S514" s="3" t="s">
        <v>83</v>
      </c>
      <c r="T514" s="3" t="s">
        <v>1117</v>
      </c>
    </row>
    <row r="515" spans="1:20" x14ac:dyDescent="0.25">
      <c r="A515" s="10">
        <v>46055</v>
      </c>
      <c r="B515" s="2" t="s">
        <v>1118</v>
      </c>
      <c r="C515" s="2" t="s">
        <v>396</v>
      </c>
      <c r="D515" s="2" t="s">
        <v>1119</v>
      </c>
      <c r="E515" s="3" t="s">
        <v>398</v>
      </c>
      <c r="F515" s="4">
        <v>395589.36</v>
      </c>
      <c r="G515" s="4" t="s">
        <v>167</v>
      </c>
      <c r="H515" s="22"/>
      <c r="I515" s="22"/>
      <c r="J515" s="22"/>
      <c r="K515" s="22">
        <f t="shared" si="7"/>
        <v>0</v>
      </c>
      <c r="L515" s="17">
        <v>395589.36</v>
      </c>
      <c r="M515" s="23" t="s">
        <v>41</v>
      </c>
      <c r="N515" s="1" t="s">
        <v>1120</v>
      </c>
      <c r="O515" s="7" t="s">
        <v>116</v>
      </c>
      <c r="P515" s="7" t="s">
        <v>81</v>
      </c>
      <c r="R515" s="7" t="s">
        <v>1116</v>
      </c>
      <c r="S515" s="3" t="s">
        <v>83</v>
      </c>
      <c r="T515" s="3" t="s">
        <v>1117</v>
      </c>
    </row>
    <row r="516" spans="1:20" ht="24" x14ac:dyDescent="0.25">
      <c r="A516" s="10">
        <v>46055</v>
      </c>
      <c r="B516" s="2" t="s">
        <v>1121</v>
      </c>
      <c r="E516" s="3" t="s">
        <v>27</v>
      </c>
      <c r="F516" s="4">
        <v>65000</v>
      </c>
      <c r="G516" s="4" t="s">
        <v>48</v>
      </c>
      <c r="H516" s="22"/>
      <c r="I516" s="22"/>
      <c r="J516" s="22"/>
      <c r="K516" s="22">
        <f t="shared" si="7"/>
        <v>0</v>
      </c>
      <c r="L516" s="17"/>
      <c r="M516" s="23" t="s">
        <v>41</v>
      </c>
      <c r="N516" s="1" t="s">
        <v>1122</v>
      </c>
      <c r="O516" s="7" t="s">
        <v>116</v>
      </c>
      <c r="Q516" s="7" t="s">
        <v>81</v>
      </c>
      <c r="R516" s="7" t="s">
        <v>1116</v>
      </c>
      <c r="S516" s="3" t="s">
        <v>83</v>
      </c>
      <c r="T516" s="3" t="s">
        <v>1117</v>
      </c>
    </row>
    <row r="517" spans="1:20" x14ac:dyDescent="0.25">
      <c r="A517" s="10">
        <v>46055</v>
      </c>
      <c r="B517" s="2" t="s">
        <v>1123</v>
      </c>
      <c r="C517" s="2" t="s">
        <v>310</v>
      </c>
      <c r="E517" s="3" t="s">
        <v>371</v>
      </c>
      <c r="F517" s="4">
        <v>300000</v>
      </c>
      <c r="G517" s="3" t="s">
        <v>98</v>
      </c>
      <c r="H517" s="34"/>
      <c r="I517" s="34"/>
      <c r="J517" s="34"/>
      <c r="K517" s="22">
        <f t="shared" si="7"/>
        <v>0</v>
      </c>
      <c r="L517" s="32"/>
      <c r="M517" s="23" t="s">
        <v>41</v>
      </c>
      <c r="N517" s="1" t="s">
        <v>1124</v>
      </c>
      <c r="O517" s="7" t="s">
        <v>1125</v>
      </c>
      <c r="Q517" s="7" t="s">
        <v>81</v>
      </c>
      <c r="R517" s="7" t="s">
        <v>1116</v>
      </c>
      <c r="S517" s="3" t="s">
        <v>83</v>
      </c>
      <c r="T517" s="3" t="s">
        <v>1117</v>
      </c>
    </row>
    <row r="518" spans="1:20" x14ac:dyDescent="0.25">
      <c r="A518" s="10">
        <v>46055</v>
      </c>
      <c r="B518" s="2" t="s">
        <v>1126</v>
      </c>
      <c r="E518" s="3" t="s">
        <v>27</v>
      </c>
      <c r="F518" s="4">
        <v>179820.93</v>
      </c>
      <c r="G518" s="4" t="s">
        <v>48</v>
      </c>
      <c r="H518" s="22"/>
      <c r="I518" s="22"/>
      <c r="J518" s="22"/>
      <c r="K518" s="22">
        <f t="shared" si="7"/>
        <v>0</v>
      </c>
      <c r="L518" s="17"/>
      <c r="M518" s="23" t="s">
        <v>41</v>
      </c>
      <c r="N518" s="1" t="s">
        <v>1127</v>
      </c>
      <c r="O518" s="7" t="s">
        <v>116</v>
      </c>
      <c r="Q518" s="7" t="s">
        <v>81</v>
      </c>
      <c r="R518" s="7" t="s">
        <v>1116</v>
      </c>
      <c r="S518" s="3" t="s">
        <v>83</v>
      </c>
      <c r="T518" s="3" t="s">
        <v>1117</v>
      </c>
    </row>
    <row r="519" spans="1:20" ht="24" x14ac:dyDescent="0.25">
      <c r="A519" s="10">
        <v>46055</v>
      </c>
      <c r="B519" s="2" t="s">
        <v>1128</v>
      </c>
      <c r="C519" s="2" t="s">
        <v>1129</v>
      </c>
      <c r="D519" s="2" t="s">
        <v>1130</v>
      </c>
      <c r="E519" s="3" t="s">
        <v>1131</v>
      </c>
      <c r="F519" s="4">
        <v>27901.599999999999</v>
      </c>
      <c r="G519" s="4" t="s">
        <v>378</v>
      </c>
      <c r="H519" s="22"/>
      <c r="I519" s="22"/>
      <c r="J519" s="22"/>
      <c r="K519" s="22">
        <f t="shared" si="7"/>
        <v>0</v>
      </c>
      <c r="L519" s="17"/>
      <c r="M519" s="23" t="s">
        <v>41</v>
      </c>
      <c r="N519" s="1" t="s">
        <v>1132</v>
      </c>
    </row>
    <row r="520" spans="1:20" ht="24" x14ac:dyDescent="0.25">
      <c r="A520" s="10">
        <v>46055</v>
      </c>
      <c r="B520" s="2" t="s">
        <v>1133</v>
      </c>
      <c r="C520" s="2" t="s">
        <v>1129</v>
      </c>
      <c r="D520" s="2" t="s">
        <v>1130</v>
      </c>
      <c r="E520" s="3" t="s">
        <v>1131</v>
      </c>
      <c r="F520" s="4">
        <v>49773.86</v>
      </c>
      <c r="G520" s="3" t="s">
        <v>383</v>
      </c>
      <c r="H520" s="34"/>
      <c r="I520" s="34"/>
      <c r="J520" s="34"/>
      <c r="K520" s="22">
        <f t="shared" si="7"/>
        <v>0</v>
      </c>
      <c r="L520" s="32"/>
      <c r="M520" s="23" t="s">
        <v>41</v>
      </c>
      <c r="N520" s="1" t="s">
        <v>1132</v>
      </c>
    </row>
    <row r="521" spans="1:20" x14ac:dyDescent="0.25">
      <c r="A521" s="10">
        <v>46055</v>
      </c>
      <c r="B521" s="2" t="s">
        <v>1134</v>
      </c>
      <c r="C521" s="2" t="s">
        <v>95</v>
      </c>
      <c r="D521" s="2" t="s">
        <v>1135</v>
      </c>
      <c r="E521" s="3" t="s">
        <v>76</v>
      </c>
      <c r="F521" s="4">
        <v>5100</v>
      </c>
      <c r="G521" s="4" t="s">
        <v>128</v>
      </c>
      <c r="H521" s="22" t="s">
        <v>78</v>
      </c>
      <c r="I521" s="22">
        <v>5100</v>
      </c>
      <c r="J521" s="22"/>
      <c r="K521" s="22">
        <f t="shared" si="7"/>
        <v>5100</v>
      </c>
      <c r="L521" s="17">
        <v>5100</v>
      </c>
      <c r="M521" s="23" t="s">
        <v>41</v>
      </c>
      <c r="N521" s="1" t="s">
        <v>1136</v>
      </c>
      <c r="O521" s="28" t="s">
        <v>80</v>
      </c>
      <c r="P521" s="28"/>
    </row>
    <row r="522" spans="1:20" x14ac:dyDescent="0.25">
      <c r="A522" s="10">
        <v>46055</v>
      </c>
      <c r="B522" s="2" t="s">
        <v>1134</v>
      </c>
      <c r="C522" s="2" t="s">
        <v>95</v>
      </c>
      <c r="D522" s="2" t="s">
        <v>1135</v>
      </c>
      <c r="E522" s="3" t="s">
        <v>76</v>
      </c>
      <c r="G522" s="4" t="s">
        <v>48</v>
      </c>
      <c r="H522" s="22" t="s">
        <v>49</v>
      </c>
      <c r="I522" s="22"/>
      <c r="J522" s="22">
        <f>I521</f>
        <v>5100</v>
      </c>
      <c r="K522" s="22">
        <f t="shared" si="7"/>
        <v>5100</v>
      </c>
      <c r="L522" s="17"/>
    </row>
    <row r="523" spans="1:20" ht="24" x14ac:dyDescent="0.25">
      <c r="A523" s="10">
        <v>46055</v>
      </c>
      <c r="B523" s="2" t="s">
        <v>1137</v>
      </c>
      <c r="C523" s="2" t="s">
        <v>1138</v>
      </c>
      <c r="D523" s="2" t="s">
        <v>1139</v>
      </c>
      <c r="E523" s="3" t="s">
        <v>833</v>
      </c>
      <c r="F523" s="4">
        <v>1327.75</v>
      </c>
      <c r="G523" s="4" t="s">
        <v>1140</v>
      </c>
      <c r="H523" s="22" t="s">
        <v>834</v>
      </c>
      <c r="I523" s="22">
        <v>1327.75</v>
      </c>
      <c r="J523" s="22"/>
      <c r="K523" s="22">
        <f t="shared" si="7"/>
        <v>1327.75</v>
      </c>
      <c r="L523" s="17"/>
      <c r="M523" s="23" t="s">
        <v>41</v>
      </c>
      <c r="N523" s="1" t="s">
        <v>1141</v>
      </c>
    </row>
    <row r="524" spans="1:20" x14ac:dyDescent="0.25">
      <c r="A524" s="10">
        <v>46055</v>
      </c>
      <c r="B524" s="2" t="s">
        <v>1137</v>
      </c>
      <c r="C524" s="2" t="s">
        <v>1138</v>
      </c>
      <c r="D524" s="2" t="s">
        <v>1139</v>
      </c>
      <c r="E524" s="3" t="s">
        <v>833</v>
      </c>
      <c r="G524" s="4" t="s">
        <v>48</v>
      </c>
      <c r="H524" s="22" t="s">
        <v>49</v>
      </c>
      <c r="I524" s="22"/>
      <c r="J524" s="22">
        <f>I523</f>
        <v>1327.75</v>
      </c>
      <c r="K524" s="22">
        <f t="shared" si="7"/>
        <v>1327.75</v>
      </c>
      <c r="L524" s="17"/>
    </row>
    <row r="525" spans="1:20" ht="24" x14ac:dyDescent="0.25">
      <c r="A525" s="10">
        <v>46055</v>
      </c>
      <c r="B525" s="2" t="s">
        <v>1142</v>
      </c>
      <c r="C525" s="2" t="s">
        <v>1143</v>
      </c>
      <c r="D525" s="2" t="s">
        <v>1144</v>
      </c>
      <c r="E525" s="3" t="s">
        <v>123</v>
      </c>
      <c r="F525" s="4">
        <v>2925</v>
      </c>
      <c r="G525" s="4" t="s">
        <v>28</v>
      </c>
      <c r="H525" s="22" t="s">
        <v>40</v>
      </c>
      <c r="I525" s="22">
        <v>2925</v>
      </c>
      <c r="J525" s="22"/>
      <c r="K525" s="22">
        <f t="shared" si="7"/>
        <v>2925</v>
      </c>
      <c r="L525" s="17"/>
      <c r="M525" s="23" t="s">
        <v>41</v>
      </c>
      <c r="N525" s="1" t="s">
        <v>1145</v>
      </c>
    </row>
    <row r="526" spans="1:20" x14ac:dyDescent="0.25">
      <c r="A526" s="10">
        <v>46055</v>
      </c>
      <c r="B526" s="2" t="s">
        <v>1142</v>
      </c>
      <c r="C526" s="2" t="s">
        <v>1143</v>
      </c>
      <c r="D526" s="2" t="s">
        <v>1144</v>
      </c>
      <c r="E526" s="3" t="s">
        <v>123</v>
      </c>
      <c r="G526" s="4" t="s">
        <v>48</v>
      </c>
      <c r="H526" s="22" t="s">
        <v>49</v>
      </c>
      <c r="I526" s="22"/>
      <c r="J526" s="22">
        <f>I525</f>
        <v>2925</v>
      </c>
      <c r="K526" s="22">
        <f t="shared" si="7"/>
        <v>2925</v>
      </c>
      <c r="L526" s="17"/>
    </row>
    <row r="527" spans="1:20" ht="24" x14ac:dyDescent="0.25">
      <c r="A527" s="10">
        <v>46055</v>
      </c>
      <c r="B527" s="2" t="s">
        <v>1146</v>
      </c>
      <c r="C527" s="2" t="s">
        <v>1147</v>
      </c>
      <c r="D527" s="2" t="s">
        <v>1148</v>
      </c>
      <c r="E527" s="3" t="s">
        <v>123</v>
      </c>
      <c r="F527" s="4">
        <v>1990</v>
      </c>
      <c r="G527" s="4" t="s">
        <v>28</v>
      </c>
      <c r="H527" s="22" t="s">
        <v>40</v>
      </c>
      <c r="I527" s="22">
        <v>1990</v>
      </c>
      <c r="J527" s="22"/>
      <c r="K527" s="22">
        <f t="shared" si="7"/>
        <v>1990</v>
      </c>
      <c r="L527" s="17"/>
      <c r="M527" s="23" t="s">
        <v>41</v>
      </c>
      <c r="N527" s="1" t="s">
        <v>1149</v>
      </c>
    </row>
    <row r="528" spans="1:20" x14ac:dyDescent="0.25">
      <c r="A528" s="10">
        <v>46055</v>
      </c>
      <c r="B528" s="2" t="s">
        <v>1146</v>
      </c>
      <c r="C528" s="2" t="s">
        <v>1147</v>
      </c>
      <c r="D528" s="2" t="s">
        <v>1148</v>
      </c>
      <c r="E528" s="3" t="s">
        <v>123</v>
      </c>
      <c r="G528" s="4" t="s">
        <v>48</v>
      </c>
      <c r="H528" s="22" t="s">
        <v>49</v>
      </c>
      <c r="I528" s="22"/>
      <c r="J528" s="22">
        <f>I527</f>
        <v>1990</v>
      </c>
      <c r="K528" s="22">
        <f t="shared" si="7"/>
        <v>1990</v>
      </c>
      <c r="L528" s="17"/>
    </row>
    <row r="529" spans="1:20" ht="24" x14ac:dyDescent="0.25">
      <c r="A529" s="10">
        <v>46055</v>
      </c>
      <c r="B529" s="2" t="s">
        <v>1150</v>
      </c>
      <c r="C529" s="2" t="s">
        <v>1151</v>
      </c>
      <c r="D529" s="2" t="s">
        <v>1152</v>
      </c>
      <c r="E529" s="3" t="s">
        <v>307</v>
      </c>
      <c r="F529" s="4">
        <f>(14400/1.12)+(14400/1.12*0.12)-(14400/1.12*0.01)</f>
        <v>14271.428571428569</v>
      </c>
      <c r="G529" s="4" t="s">
        <v>28</v>
      </c>
      <c r="H529" s="22" t="s">
        <v>40</v>
      </c>
      <c r="I529" s="22">
        <f>14400/1.12</f>
        <v>12857.142857142855</v>
      </c>
      <c r="J529" s="22"/>
      <c r="K529" s="22">
        <f t="shared" si="7"/>
        <v>12857.142857142855</v>
      </c>
      <c r="L529" s="17"/>
      <c r="M529" s="23" t="s">
        <v>41</v>
      </c>
      <c r="N529" s="1" t="s">
        <v>1153</v>
      </c>
    </row>
    <row r="530" spans="1:20" x14ac:dyDescent="0.25">
      <c r="A530" s="10">
        <v>46055</v>
      </c>
      <c r="B530" s="2" t="s">
        <v>1150</v>
      </c>
      <c r="C530" s="2" t="s">
        <v>1151</v>
      </c>
      <c r="D530" s="2" t="s">
        <v>1152</v>
      </c>
      <c r="E530" s="3" t="s">
        <v>307</v>
      </c>
      <c r="G530" s="4" t="s">
        <v>28</v>
      </c>
      <c r="H530" s="22" t="s">
        <v>104</v>
      </c>
      <c r="I530" s="22">
        <f>I529*0.12</f>
        <v>1542.8571428571427</v>
      </c>
      <c r="J530" s="22"/>
      <c r="K530" s="22">
        <f t="shared" si="7"/>
        <v>1542.8571428571427</v>
      </c>
      <c r="L530" s="17"/>
    </row>
    <row r="531" spans="1:20" x14ac:dyDescent="0.25">
      <c r="A531" s="10">
        <v>46055</v>
      </c>
      <c r="B531" s="2" t="s">
        <v>1150</v>
      </c>
      <c r="C531" s="2" t="s">
        <v>1151</v>
      </c>
      <c r="D531" s="2" t="s">
        <v>1152</v>
      </c>
      <c r="E531" s="3" t="s">
        <v>307</v>
      </c>
      <c r="G531" s="4" t="s">
        <v>28</v>
      </c>
      <c r="H531" s="22" t="s">
        <v>105</v>
      </c>
      <c r="I531" s="22"/>
      <c r="J531" s="22">
        <f>I529*0.01</f>
        <v>128.57142857142856</v>
      </c>
      <c r="K531" s="22">
        <f t="shared" si="7"/>
        <v>128.57142857142856</v>
      </c>
      <c r="L531" s="17"/>
    </row>
    <row r="532" spans="1:20" x14ac:dyDescent="0.25">
      <c r="A532" s="10">
        <v>46055</v>
      </c>
      <c r="B532" s="2" t="s">
        <v>1150</v>
      </c>
      <c r="C532" s="2" t="s">
        <v>1151</v>
      </c>
      <c r="D532" s="2" t="s">
        <v>1152</v>
      </c>
      <c r="E532" s="3" t="s">
        <v>307</v>
      </c>
      <c r="G532" s="4" t="s">
        <v>48</v>
      </c>
      <c r="H532" s="22" t="s">
        <v>49</v>
      </c>
      <c r="I532" s="22"/>
      <c r="J532" s="22">
        <f>I529+I530-J531</f>
        <v>14271.428571428569</v>
      </c>
      <c r="K532" s="22">
        <f t="shared" si="7"/>
        <v>14271.428571428569</v>
      </c>
      <c r="L532" s="17"/>
    </row>
    <row r="533" spans="1:20" ht="24" x14ac:dyDescent="0.25">
      <c r="A533" s="10">
        <v>46055</v>
      </c>
      <c r="B533" s="2" t="s">
        <v>1154</v>
      </c>
      <c r="C533" s="2" t="s">
        <v>95</v>
      </c>
      <c r="D533" s="2" t="s">
        <v>1155</v>
      </c>
      <c r="E533" s="3" t="s">
        <v>1068</v>
      </c>
      <c r="F533" s="4">
        <v>1452.83</v>
      </c>
      <c r="G533" s="4" t="s">
        <v>48</v>
      </c>
      <c r="H533" s="22" t="s">
        <v>809</v>
      </c>
      <c r="I533" s="22">
        <v>1452.83</v>
      </c>
      <c r="J533" s="22"/>
      <c r="K533" s="22">
        <f t="shared" si="7"/>
        <v>1452.83</v>
      </c>
      <c r="L533" s="17"/>
      <c r="M533" s="23" t="s">
        <v>41</v>
      </c>
      <c r="N533" s="1" t="s">
        <v>1156</v>
      </c>
      <c r="O533" s="7" t="s">
        <v>1157</v>
      </c>
    </row>
    <row r="534" spans="1:20" x14ac:dyDescent="0.25">
      <c r="A534" s="10">
        <v>46055</v>
      </c>
      <c r="B534" s="2" t="s">
        <v>1154</v>
      </c>
      <c r="C534" s="2" t="s">
        <v>95</v>
      </c>
      <c r="D534" s="2" t="s">
        <v>1155</v>
      </c>
      <c r="E534" s="3" t="s">
        <v>1068</v>
      </c>
      <c r="G534" s="4" t="s">
        <v>48</v>
      </c>
      <c r="H534" s="22" t="s">
        <v>49</v>
      </c>
      <c r="I534" s="22"/>
      <c r="J534" s="22">
        <f>I533</f>
        <v>1452.83</v>
      </c>
      <c r="K534" s="22">
        <f t="shared" si="7"/>
        <v>1452.83</v>
      </c>
      <c r="L534" s="17"/>
    </row>
    <row r="535" spans="1:20" ht="24" x14ac:dyDescent="0.25">
      <c r="A535" s="10">
        <v>46056</v>
      </c>
      <c r="B535" s="2" t="s">
        <v>1158</v>
      </c>
      <c r="C535" s="2" t="s">
        <v>1159</v>
      </c>
      <c r="D535" s="2" t="s">
        <v>1160</v>
      </c>
      <c r="E535" s="3" t="s">
        <v>692</v>
      </c>
      <c r="F535" s="4">
        <v>3773.69</v>
      </c>
      <c r="G535" s="4" t="s">
        <v>110</v>
      </c>
      <c r="H535" s="22" t="s">
        <v>828</v>
      </c>
      <c r="I535" s="22">
        <f>3773.69</f>
        <v>3773.69</v>
      </c>
      <c r="J535" s="22"/>
      <c r="K535" s="22">
        <f t="shared" si="7"/>
        <v>3773.69</v>
      </c>
      <c r="L535" s="17"/>
      <c r="M535" s="23" t="s">
        <v>41</v>
      </c>
      <c r="N535" s="1" t="s">
        <v>1161</v>
      </c>
    </row>
    <row r="536" spans="1:20" x14ac:dyDescent="0.25">
      <c r="A536" s="10">
        <v>46056</v>
      </c>
      <c r="B536" s="2" t="s">
        <v>1158</v>
      </c>
      <c r="C536" s="2" t="s">
        <v>1159</v>
      </c>
      <c r="D536" s="2" t="s">
        <v>1160</v>
      </c>
      <c r="E536" s="3" t="s">
        <v>692</v>
      </c>
      <c r="G536" s="4" t="s">
        <v>48</v>
      </c>
      <c r="H536" s="22" t="s">
        <v>49</v>
      </c>
      <c r="I536" s="22"/>
      <c r="J536" s="22">
        <f>I535</f>
        <v>3773.69</v>
      </c>
      <c r="K536" s="22">
        <f t="shared" si="7"/>
        <v>3773.69</v>
      </c>
      <c r="L536" s="17"/>
    </row>
    <row r="537" spans="1:20" ht="24" x14ac:dyDescent="0.25">
      <c r="A537" s="10">
        <v>46057</v>
      </c>
      <c r="B537" s="2" t="s">
        <v>1162</v>
      </c>
      <c r="C537" s="2" t="s">
        <v>470</v>
      </c>
      <c r="D537" s="2" t="s">
        <v>1163</v>
      </c>
      <c r="E537" s="3" t="s">
        <v>472</v>
      </c>
      <c r="F537" s="4">
        <v>20858.900000000001</v>
      </c>
      <c r="G537" s="4" t="s">
        <v>48</v>
      </c>
      <c r="H537" s="22"/>
      <c r="I537" s="22"/>
      <c r="J537" s="22"/>
      <c r="K537" s="22">
        <f t="shared" si="7"/>
        <v>0</v>
      </c>
      <c r="L537" s="17">
        <v>20858.900000000001</v>
      </c>
      <c r="M537" s="23" t="s">
        <v>41</v>
      </c>
      <c r="N537" s="1" t="s">
        <v>1164</v>
      </c>
      <c r="O537" s="7" t="s">
        <v>116</v>
      </c>
      <c r="Q537" s="7" t="s">
        <v>81</v>
      </c>
      <c r="R537" s="7" t="s">
        <v>1165</v>
      </c>
      <c r="S537" s="3" t="s">
        <v>83</v>
      </c>
      <c r="T537" s="3" t="s">
        <v>1166</v>
      </c>
    </row>
    <row r="538" spans="1:20" ht="24" x14ac:dyDescent="0.25">
      <c r="A538" s="10">
        <v>46057</v>
      </c>
      <c r="B538" s="2" t="s">
        <v>1167</v>
      </c>
      <c r="C538" s="2" t="s">
        <v>1168</v>
      </c>
      <c r="D538" s="2" t="s">
        <v>1169</v>
      </c>
      <c r="E538" s="3" t="s">
        <v>1170</v>
      </c>
      <c r="F538" s="4">
        <f>(147937/1.12)+(147937/1.12*0.12)-(147937/1.12*0.01)</f>
        <v>146616.13392857142</v>
      </c>
      <c r="G538" s="4" t="s">
        <v>110</v>
      </c>
      <c r="H538" s="22" t="s">
        <v>40</v>
      </c>
      <c r="I538" s="22">
        <f>147937/1.12</f>
        <v>132086.60714285713</v>
      </c>
      <c r="J538" s="22"/>
      <c r="K538" s="22">
        <f t="shared" si="7"/>
        <v>132086.60714285713</v>
      </c>
      <c r="L538" s="17"/>
      <c r="M538" s="23" t="s">
        <v>41</v>
      </c>
      <c r="N538" s="1" t="s">
        <v>1171</v>
      </c>
      <c r="Q538" s="7" t="s">
        <v>81</v>
      </c>
      <c r="R538" s="7" t="s">
        <v>532</v>
      </c>
    </row>
    <row r="539" spans="1:20" x14ac:dyDescent="0.25">
      <c r="A539" s="10">
        <v>46057</v>
      </c>
      <c r="B539" s="2" t="s">
        <v>1167</v>
      </c>
      <c r="C539" s="2" t="s">
        <v>1168</v>
      </c>
      <c r="D539" s="2" t="s">
        <v>1169</v>
      </c>
      <c r="E539" s="3" t="s">
        <v>1170</v>
      </c>
      <c r="G539" s="4" t="s">
        <v>110</v>
      </c>
      <c r="H539" s="22" t="s">
        <v>104</v>
      </c>
      <c r="I539" s="22">
        <f>I538*0.12</f>
        <v>15850.392857142855</v>
      </c>
      <c r="J539" s="22"/>
      <c r="K539" s="22">
        <f t="shared" si="7"/>
        <v>15850.392857142855</v>
      </c>
      <c r="L539" s="17"/>
    </row>
    <row r="540" spans="1:20" x14ac:dyDescent="0.25">
      <c r="A540" s="10">
        <v>46057</v>
      </c>
      <c r="B540" s="2" t="s">
        <v>1167</v>
      </c>
      <c r="C540" s="2" t="s">
        <v>1168</v>
      </c>
      <c r="D540" s="2" t="s">
        <v>1169</v>
      </c>
      <c r="E540" s="3" t="s">
        <v>1170</v>
      </c>
      <c r="G540" s="4" t="s">
        <v>110</v>
      </c>
      <c r="H540" s="22" t="s">
        <v>105</v>
      </c>
      <c r="I540" s="22"/>
      <c r="J540" s="22">
        <f>I538*0.01</f>
        <v>1320.8660714285713</v>
      </c>
      <c r="K540" s="22">
        <f t="shared" si="7"/>
        <v>1320.8660714285713</v>
      </c>
      <c r="L540" s="17"/>
    </row>
    <row r="541" spans="1:20" x14ac:dyDescent="0.25">
      <c r="A541" s="10">
        <v>46057</v>
      </c>
      <c r="B541" s="2" t="s">
        <v>1167</v>
      </c>
      <c r="C541" s="2" t="s">
        <v>1168</v>
      </c>
      <c r="D541" s="2" t="s">
        <v>1169</v>
      </c>
      <c r="E541" s="3" t="s">
        <v>1170</v>
      </c>
      <c r="G541" s="4" t="s">
        <v>48</v>
      </c>
      <c r="H541" s="22" t="s">
        <v>49</v>
      </c>
      <c r="I541" s="22"/>
      <c r="J541" s="22">
        <f>I538+I539-J540</f>
        <v>146616.13392857142</v>
      </c>
      <c r="K541" s="22">
        <f t="shared" si="7"/>
        <v>146616.13392857142</v>
      </c>
      <c r="L541" s="17"/>
    </row>
    <row r="542" spans="1:20" ht="24" x14ac:dyDescent="0.25">
      <c r="A542" s="10">
        <v>46057</v>
      </c>
      <c r="B542" s="2" t="s">
        <v>1172</v>
      </c>
      <c r="C542" s="2" t="s">
        <v>1173</v>
      </c>
      <c r="D542" s="2" t="s">
        <v>1169</v>
      </c>
      <c r="E542" s="3" t="s">
        <v>1174</v>
      </c>
      <c r="F542" s="4">
        <f>(2114/1.12)+(2114/1.12*0.12)-(2114/1.12*0.01)</f>
        <v>2095.1249999999995</v>
      </c>
      <c r="G542" s="4" t="s">
        <v>110</v>
      </c>
      <c r="H542" s="22" t="s">
        <v>40</v>
      </c>
      <c r="I542" s="22">
        <f>2114/1.12</f>
        <v>1887.4999999999998</v>
      </c>
      <c r="J542" s="22"/>
      <c r="K542" s="22">
        <f t="shared" si="7"/>
        <v>1887.4999999999998</v>
      </c>
      <c r="L542" s="17"/>
      <c r="M542" s="23" t="s">
        <v>41</v>
      </c>
      <c r="N542" s="1" t="s">
        <v>1175</v>
      </c>
      <c r="Q542" s="7" t="s">
        <v>81</v>
      </c>
      <c r="R542" s="7" t="s">
        <v>532</v>
      </c>
    </row>
    <row r="543" spans="1:20" x14ac:dyDescent="0.25">
      <c r="A543" s="10">
        <v>46057</v>
      </c>
      <c r="B543" s="2" t="s">
        <v>1172</v>
      </c>
      <c r="C543" s="2" t="s">
        <v>1173</v>
      </c>
      <c r="D543" s="2" t="s">
        <v>1169</v>
      </c>
      <c r="E543" s="3" t="s">
        <v>1174</v>
      </c>
      <c r="G543" s="4" t="s">
        <v>110</v>
      </c>
      <c r="H543" s="22" t="s">
        <v>104</v>
      </c>
      <c r="I543" s="22">
        <f>I542*0.12</f>
        <v>226.49999999999997</v>
      </c>
      <c r="J543" s="22"/>
      <c r="K543" s="22">
        <f t="shared" si="7"/>
        <v>226.49999999999997</v>
      </c>
      <c r="L543" s="17"/>
    </row>
    <row r="544" spans="1:20" x14ac:dyDescent="0.25">
      <c r="A544" s="10">
        <v>46057</v>
      </c>
      <c r="B544" s="2" t="s">
        <v>1172</v>
      </c>
      <c r="C544" s="2" t="s">
        <v>1173</v>
      </c>
      <c r="D544" s="2" t="s">
        <v>1169</v>
      </c>
      <c r="E544" s="3" t="s">
        <v>1174</v>
      </c>
      <c r="G544" s="4" t="s">
        <v>110</v>
      </c>
      <c r="H544" s="22" t="s">
        <v>105</v>
      </c>
      <c r="I544" s="22"/>
      <c r="J544" s="22">
        <f>I542*0.01</f>
        <v>18.874999999999996</v>
      </c>
      <c r="K544" s="22">
        <f t="shared" si="7"/>
        <v>18.874999999999996</v>
      </c>
      <c r="L544" s="17"/>
    </row>
    <row r="545" spans="1:20" x14ac:dyDescent="0.25">
      <c r="A545" s="10">
        <v>46057</v>
      </c>
      <c r="B545" s="2" t="s">
        <v>1172</v>
      </c>
      <c r="C545" s="2" t="s">
        <v>1173</v>
      </c>
      <c r="D545" s="2" t="s">
        <v>1169</v>
      </c>
      <c r="E545" s="3" t="s">
        <v>1174</v>
      </c>
      <c r="G545" s="4" t="s">
        <v>48</v>
      </c>
      <c r="H545" s="22" t="s">
        <v>49</v>
      </c>
      <c r="I545" s="22"/>
      <c r="J545" s="22">
        <f>I542+I543-J544</f>
        <v>2095.1249999999995</v>
      </c>
      <c r="K545" s="22">
        <f t="shared" si="7"/>
        <v>2095.1249999999995</v>
      </c>
      <c r="L545" s="17"/>
    </row>
    <row r="546" spans="1:20" ht="24" x14ac:dyDescent="0.25">
      <c r="A546" s="10">
        <v>46057</v>
      </c>
      <c r="B546" s="2" t="s">
        <v>1176</v>
      </c>
      <c r="C546" s="2" t="s">
        <v>1177</v>
      </c>
      <c r="D546" s="2" t="s">
        <v>1169</v>
      </c>
      <c r="E546" s="3" t="s">
        <v>1178</v>
      </c>
      <c r="F546" s="4">
        <f>(19350/1.12)+(19350/1.12*0.12)-(19350/1.12*0.01)</f>
        <v>19177.232142857141</v>
      </c>
      <c r="G546" s="4" t="s">
        <v>110</v>
      </c>
      <c r="H546" s="22" t="s">
        <v>40</v>
      </c>
      <c r="I546" s="22">
        <f>19350/1.12</f>
        <v>17276.785714285714</v>
      </c>
      <c r="J546" s="22"/>
      <c r="K546" s="22">
        <f t="shared" si="7"/>
        <v>17276.785714285714</v>
      </c>
      <c r="L546" s="32"/>
      <c r="M546" s="23" t="s">
        <v>41</v>
      </c>
      <c r="N546" s="1" t="s">
        <v>1179</v>
      </c>
      <c r="Q546" s="7" t="s">
        <v>81</v>
      </c>
      <c r="R546" s="7" t="s">
        <v>532</v>
      </c>
    </row>
    <row r="547" spans="1:20" x14ac:dyDescent="0.25">
      <c r="A547" s="10">
        <v>46057</v>
      </c>
      <c r="B547" s="2" t="s">
        <v>1176</v>
      </c>
      <c r="C547" s="2" t="s">
        <v>1177</v>
      </c>
      <c r="D547" s="2" t="s">
        <v>1169</v>
      </c>
      <c r="E547" s="3" t="s">
        <v>1178</v>
      </c>
      <c r="G547" s="4" t="s">
        <v>110</v>
      </c>
      <c r="H547" s="22" t="s">
        <v>104</v>
      </c>
      <c r="I547" s="22">
        <f>I546*0.12</f>
        <v>2073.2142857142858</v>
      </c>
      <c r="J547" s="22"/>
      <c r="K547" s="22">
        <f t="shared" si="7"/>
        <v>2073.2142857142858</v>
      </c>
      <c r="L547" s="32"/>
    </row>
    <row r="548" spans="1:20" x14ac:dyDescent="0.25">
      <c r="A548" s="10">
        <v>46057</v>
      </c>
      <c r="B548" s="2" t="s">
        <v>1176</v>
      </c>
      <c r="C548" s="2" t="s">
        <v>1177</v>
      </c>
      <c r="D548" s="2" t="s">
        <v>1169</v>
      </c>
      <c r="E548" s="3" t="s">
        <v>1178</v>
      </c>
      <c r="G548" s="4" t="s">
        <v>110</v>
      </c>
      <c r="H548" s="22" t="s">
        <v>105</v>
      </c>
      <c r="I548" s="22"/>
      <c r="J548" s="22">
        <f>I546*0.01</f>
        <v>172.76785714285714</v>
      </c>
      <c r="K548" s="22">
        <f t="shared" si="7"/>
        <v>172.76785714285714</v>
      </c>
      <c r="L548" s="32"/>
    </row>
    <row r="549" spans="1:20" x14ac:dyDescent="0.25">
      <c r="A549" s="10">
        <v>46057</v>
      </c>
      <c r="B549" s="2" t="s">
        <v>1176</v>
      </c>
      <c r="C549" s="2" t="s">
        <v>1177</v>
      </c>
      <c r="D549" s="2" t="s">
        <v>1169</v>
      </c>
      <c r="E549" s="3" t="s">
        <v>1178</v>
      </c>
      <c r="G549" s="4" t="s">
        <v>48</v>
      </c>
      <c r="H549" s="22" t="s">
        <v>49</v>
      </c>
      <c r="I549" s="22"/>
      <c r="J549" s="22">
        <f>I546+I547-J548</f>
        <v>19177.232142857141</v>
      </c>
      <c r="K549" s="22">
        <f t="shared" si="7"/>
        <v>19177.232142857141</v>
      </c>
      <c r="L549" s="32"/>
    </row>
    <row r="550" spans="1:20" ht="48" x14ac:dyDescent="0.25">
      <c r="A550" s="10">
        <v>46058</v>
      </c>
      <c r="B550" s="2" t="s">
        <v>1180</v>
      </c>
      <c r="C550" s="2" t="s">
        <v>147</v>
      </c>
      <c r="D550" s="2" t="s">
        <v>1181</v>
      </c>
      <c r="E550" s="3" t="s">
        <v>1182</v>
      </c>
      <c r="F550" s="4">
        <v>3100</v>
      </c>
      <c r="G550" s="4" t="s">
        <v>48</v>
      </c>
      <c r="H550" s="22" t="s">
        <v>78</v>
      </c>
      <c r="I550" s="22">
        <v>3100</v>
      </c>
      <c r="J550" s="22"/>
      <c r="K550" s="22">
        <f t="shared" si="7"/>
        <v>3100</v>
      </c>
      <c r="L550" s="17">
        <v>3100</v>
      </c>
      <c r="M550" s="23" t="s">
        <v>41</v>
      </c>
      <c r="N550" s="1" t="s">
        <v>1183</v>
      </c>
      <c r="P550" s="7" t="s">
        <v>81</v>
      </c>
      <c r="R550" s="7" t="s">
        <v>1184</v>
      </c>
      <c r="S550" s="3" t="s">
        <v>83</v>
      </c>
      <c r="T550" s="3" t="s">
        <v>1185</v>
      </c>
    </row>
    <row r="551" spans="1:20" x14ac:dyDescent="0.25">
      <c r="A551" s="10">
        <v>46058</v>
      </c>
      <c r="B551" s="2" t="s">
        <v>1180</v>
      </c>
      <c r="C551" s="2" t="s">
        <v>147</v>
      </c>
      <c r="D551" s="2" t="s">
        <v>1181</v>
      </c>
      <c r="E551" s="3" t="s">
        <v>1182</v>
      </c>
      <c r="G551" s="4" t="s">
        <v>48</v>
      </c>
      <c r="H551" s="22" t="s">
        <v>81</v>
      </c>
      <c r="I551" s="22"/>
      <c r="J551" s="22">
        <f>I550</f>
        <v>3100</v>
      </c>
      <c r="K551" s="22">
        <f t="shared" si="7"/>
        <v>3100</v>
      </c>
      <c r="L551" s="17"/>
    </row>
    <row r="552" spans="1:20" x14ac:dyDescent="0.25">
      <c r="A552" s="10">
        <v>46058</v>
      </c>
      <c r="B552" s="2" t="s">
        <v>1180</v>
      </c>
      <c r="C552" s="2" t="s">
        <v>147</v>
      </c>
      <c r="D552" s="2" t="s">
        <v>1181</v>
      </c>
      <c r="E552" s="3" t="s">
        <v>1182</v>
      </c>
      <c r="G552" s="4" t="s">
        <v>48</v>
      </c>
      <c r="H552" s="22" t="s">
        <v>1186</v>
      </c>
      <c r="I552" s="22">
        <v>572.86</v>
      </c>
      <c r="J552" s="22"/>
      <c r="K552" s="22">
        <f t="shared" si="7"/>
        <v>572.86</v>
      </c>
      <c r="L552" s="17"/>
    </row>
    <row r="553" spans="1:20" x14ac:dyDescent="0.25">
      <c r="A553" s="10">
        <v>46058</v>
      </c>
      <c r="B553" s="2" t="s">
        <v>1180</v>
      </c>
      <c r="C553" s="2" t="s">
        <v>147</v>
      </c>
      <c r="D553" s="2" t="s">
        <v>1181</v>
      </c>
      <c r="E553" s="3" t="s">
        <v>1182</v>
      </c>
      <c r="G553" s="4" t="s">
        <v>48</v>
      </c>
      <c r="H553" s="22" t="s">
        <v>899</v>
      </c>
      <c r="I553" s="22">
        <v>2339.29</v>
      </c>
      <c r="J553" s="22"/>
      <c r="K553" s="22">
        <f t="shared" si="7"/>
        <v>2339.29</v>
      </c>
      <c r="L553" s="17"/>
    </row>
    <row r="554" spans="1:20" x14ac:dyDescent="0.25">
      <c r="A554" s="10">
        <v>46058</v>
      </c>
      <c r="B554" s="2" t="s">
        <v>1180</v>
      </c>
      <c r="C554" s="2" t="s">
        <v>147</v>
      </c>
      <c r="D554" s="2" t="s">
        <v>1181</v>
      </c>
      <c r="E554" s="3" t="s">
        <v>1182</v>
      </c>
      <c r="G554" s="4" t="s">
        <v>48</v>
      </c>
      <c r="H554" s="22" t="s">
        <v>1187</v>
      </c>
      <c r="I554" s="22">
        <v>189.85</v>
      </c>
      <c r="J554" s="22"/>
      <c r="K554" s="22">
        <f t="shared" si="7"/>
        <v>189.85</v>
      </c>
      <c r="L554" s="17"/>
    </row>
    <row r="555" spans="1:20" x14ac:dyDescent="0.25">
      <c r="A555" s="10">
        <v>46058</v>
      </c>
      <c r="B555" s="2" t="s">
        <v>1180</v>
      </c>
      <c r="C555" s="2" t="s">
        <v>147</v>
      </c>
      <c r="D555" s="2" t="s">
        <v>1181</v>
      </c>
      <c r="E555" s="3" t="s">
        <v>1182</v>
      </c>
      <c r="G555" s="4" t="s">
        <v>48</v>
      </c>
      <c r="H555" s="22" t="s">
        <v>78</v>
      </c>
      <c r="I555" s="22"/>
      <c r="J555" s="22">
        <v>3100</v>
      </c>
      <c r="K555" s="22">
        <f t="shared" si="7"/>
        <v>3100</v>
      </c>
      <c r="L555" s="17"/>
    </row>
    <row r="556" spans="1:20" x14ac:dyDescent="0.25">
      <c r="A556" s="10">
        <v>46058</v>
      </c>
      <c r="B556" s="2" t="s">
        <v>1180</v>
      </c>
      <c r="C556" s="2" t="s">
        <v>147</v>
      </c>
      <c r="D556" s="2" t="s">
        <v>1181</v>
      </c>
      <c r="E556" s="3" t="s">
        <v>1182</v>
      </c>
      <c r="G556" s="4" t="s">
        <v>48</v>
      </c>
      <c r="H556" s="22" t="s">
        <v>240</v>
      </c>
      <c r="I556" s="22"/>
      <c r="J556" s="22">
        <f>I552+I553+I554-J555</f>
        <v>2</v>
      </c>
      <c r="K556" s="22">
        <f t="shared" si="7"/>
        <v>2</v>
      </c>
      <c r="L556" s="17"/>
    </row>
    <row r="557" spans="1:20" ht="24" x14ac:dyDescent="0.25">
      <c r="A557" s="10">
        <v>46058</v>
      </c>
      <c r="B557" s="2" t="s">
        <v>1188</v>
      </c>
      <c r="C557" s="2" t="s">
        <v>95</v>
      </c>
      <c r="D557" s="2" t="s">
        <v>1189</v>
      </c>
      <c r="E557" s="3" t="s">
        <v>76</v>
      </c>
      <c r="F557" s="4">
        <v>5000</v>
      </c>
      <c r="G557" s="4" t="s">
        <v>77</v>
      </c>
      <c r="H557" s="22" t="s">
        <v>78</v>
      </c>
      <c r="I557" s="22">
        <v>5000</v>
      </c>
      <c r="J557" s="22"/>
      <c r="K557" s="22">
        <f t="shared" si="7"/>
        <v>5000</v>
      </c>
      <c r="L557" s="17">
        <v>5000</v>
      </c>
      <c r="M557" s="23" t="s">
        <v>41</v>
      </c>
      <c r="N557" s="1" t="s">
        <v>1190</v>
      </c>
    </row>
    <row r="558" spans="1:20" x14ac:dyDescent="0.25">
      <c r="A558" s="10">
        <v>46058</v>
      </c>
      <c r="B558" s="2" t="s">
        <v>1188</v>
      </c>
      <c r="C558" s="2" t="s">
        <v>95</v>
      </c>
      <c r="D558" s="2" t="s">
        <v>1189</v>
      </c>
      <c r="E558" s="3" t="s">
        <v>76</v>
      </c>
      <c r="G558" s="4" t="s">
        <v>48</v>
      </c>
      <c r="H558" s="22" t="s">
        <v>81</v>
      </c>
      <c r="I558" s="22"/>
      <c r="J558" s="22">
        <f>I557</f>
        <v>5000</v>
      </c>
      <c r="K558" s="22">
        <f t="shared" si="7"/>
        <v>5000</v>
      </c>
      <c r="L558" s="17"/>
    </row>
    <row r="559" spans="1:20" x14ac:dyDescent="0.25">
      <c r="A559" s="10">
        <v>46058</v>
      </c>
      <c r="B559" s="2" t="s">
        <v>1191</v>
      </c>
      <c r="C559" s="2" t="s">
        <v>95</v>
      </c>
      <c r="D559" s="2" t="s">
        <v>1192</v>
      </c>
      <c r="E559" s="3" t="s">
        <v>1193</v>
      </c>
      <c r="F559" s="4">
        <v>12000</v>
      </c>
      <c r="G559" s="4" t="s">
        <v>77</v>
      </c>
      <c r="H559" s="22" t="s">
        <v>809</v>
      </c>
      <c r="I559" s="22">
        <v>12000</v>
      </c>
      <c r="J559" s="22"/>
      <c r="K559" s="22">
        <f t="shared" ref="K559:K622" si="8">ABS(I559-J559)</f>
        <v>12000</v>
      </c>
      <c r="L559" s="17">
        <v>12000</v>
      </c>
      <c r="M559" s="23" t="s">
        <v>41</v>
      </c>
      <c r="N559" s="1" t="s">
        <v>1194</v>
      </c>
      <c r="O559" s="30" t="s">
        <v>1195</v>
      </c>
      <c r="P559" s="30"/>
      <c r="Q559" s="7" t="s">
        <v>81</v>
      </c>
      <c r="R559" s="7" t="s">
        <v>1196</v>
      </c>
      <c r="S559" s="3" t="s">
        <v>83</v>
      </c>
      <c r="T559" s="3" t="s">
        <v>1197</v>
      </c>
    </row>
    <row r="560" spans="1:20" x14ac:dyDescent="0.25">
      <c r="A560" s="10">
        <v>46058</v>
      </c>
      <c r="B560" s="2" t="s">
        <v>1191</v>
      </c>
      <c r="C560" s="2" t="s">
        <v>95</v>
      </c>
      <c r="D560" s="2" t="s">
        <v>1192</v>
      </c>
      <c r="E560" s="3" t="s">
        <v>1193</v>
      </c>
      <c r="G560" s="4" t="s">
        <v>48</v>
      </c>
      <c r="H560" s="22" t="s">
        <v>49</v>
      </c>
      <c r="I560" s="22"/>
      <c r="J560" s="22">
        <f>I559</f>
        <v>12000</v>
      </c>
      <c r="K560" s="22">
        <f t="shared" si="8"/>
        <v>12000</v>
      </c>
      <c r="L560" s="17"/>
    </row>
    <row r="561" spans="1:20" ht="24" x14ac:dyDescent="0.25">
      <c r="A561" s="10">
        <v>46058</v>
      </c>
      <c r="B561" s="2" t="s">
        <v>1198</v>
      </c>
      <c r="C561" s="2" t="s">
        <v>95</v>
      </c>
      <c r="D561" s="2" t="s">
        <v>1199</v>
      </c>
      <c r="E561" s="3" t="s">
        <v>1200</v>
      </c>
      <c r="F561" s="4">
        <v>5000</v>
      </c>
      <c r="G561" s="4" t="s">
        <v>48</v>
      </c>
      <c r="H561" s="22"/>
      <c r="I561" s="22"/>
      <c r="J561" s="22"/>
      <c r="K561" s="22">
        <f t="shared" si="8"/>
        <v>0</v>
      </c>
      <c r="L561" s="17">
        <v>5000</v>
      </c>
      <c r="M561" s="23" t="s">
        <v>41</v>
      </c>
      <c r="N561" s="1" t="s">
        <v>1201</v>
      </c>
      <c r="O561" s="7" t="s">
        <v>1202</v>
      </c>
      <c r="Q561" s="7" t="s">
        <v>81</v>
      </c>
      <c r="R561" s="7" t="s">
        <v>286</v>
      </c>
      <c r="S561" s="3" t="s">
        <v>83</v>
      </c>
      <c r="T561" s="3" t="s">
        <v>1203</v>
      </c>
    </row>
    <row r="562" spans="1:20" ht="24" x14ac:dyDescent="0.25">
      <c r="A562" s="10">
        <v>46058</v>
      </c>
      <c r="B562" s="2" t="s">
        <v>1204</v>
      </c>
      <c r="E562" s="3" t="s">
        <v>27</v>
      </c>
      <c r="F562" s="4">
        <v>500000</v>
      </c>
      <c r="G562" s="4" t="s">
        <v>48</v>
      </c>
      <c r="H562" s="34"/>
      <c r="I562" s="34"/>
      <c r="J562" s="34"/>
      <c r="K562" s="22">
        <f t="shared" si="8"/>
        <v>0</v>
      </c>
      <c r="L562" s="32"/>
      <c r="M562" s="23" t="s">
        <v>41</v>
      </c>
      <c r="N562" s="1" t="s">
        <v>1205</v>
      </c>
      <c r="O562" s="7" t="s">
        <v>143</v>
      </c>
      <c r="Q562" s="25" t="s">
        <v>1206</v>
      </c>
      <c r="R562" s="7" t="s">
        <v>1184</v>
      </c>
      <c r="S562" s="3" t="s">
        <v>1207</v>
      </c>
      <c r="T562" s="3" t="s">
        <v>1208</v>
      </c>
    </row>
    <row r="563" spans="1:20" ht="36" x14ac:dyDescent="0.25">
      <c r="A563" s="10">
        <v>46058</v>
      </c>
      <c r="B563" s="2" t="s">
        <v>1209</v>
      </c>
      <c r="E563" s="3" t="s">
        <v>27</v>
      </c>
      <c r="F563" s="4">
        <v>600000</v>
      </c>
      <c r="G563" s="4" t="s">
        <v>48</v>
      </c>
      <c r="H563" s="22"/>
      <c r="I563" s="22"/>
      <c r="J563" s="22"/>
      <c r="K563" s="22">
        <f t="shared" si="8"/>
        <v>0</v>
      </c>
      <c r="L563" s="17"/>
      <c r="M563" s="23" t="s">
        <v>41</v>
      </c>
      <c r="N563" s="1" t="s">
        <v>1210</v>
      </c>
      <c r="O563" s="7" t="s">
        <v>143</v>
      </c>
      <c r="Q563" s="25" t="s">
        <v>1211</v>
      </c>
      <c r="R563" s="7" t="s">
        <v>1184</v>
      </c>
      <c r="S563" s="3" t="s">
        <v>1207</v>
      </c>
      <c r="T563" s="3" t="s">
        <v>1208</v>
      </c>
    </row>
    <row r="564" spans="1:20" ht="24" x14ac:dyDescent="0.25">
      <c r="A564" s="10">
        <v>46058</v>
      </c>
      <c r="B564" s="2" t="s">
        <v>1212</v>
      </c>
      <c r="C564" s="2" t="s">
        <v>95</v>
      </c>
      <c r="D564" s="2" t="s">
        <v>1213</v>
      </c>
      <c r="E564" s="3" t="s">
        <v>76</v>
      </c>
      <c r="F564" s="4">
        <v>11320</v>
      </c>
      <c r="G564" s="4" t="s">
        <v>77</v>
      </c>
      <c r="H564" s="22" t="s">
        <v>78</v>
      </c>
      <c r="I564" s="22">
        <v>11320</v>
      </c>
      <c r="J564" s="22"/>
      <c r="K564" s="22">
        <f t="shared" si="8"/>
        <v>11320</v>
      </c>
      <c r="L564" s="17">
        <v>11320</v>
      </c>
      <c r="M564" s="23" t="s">
        <v>41</v>
      </c>
      <c r="N564" s="1" t="s">
        <v>1214</v>
      </c>
    </row>
    <row r="565" spans="1:20" x14ac:dyDescent="0.25">
      <c r="A565" s="10">
        <v>46058</v>
      </c>
      <c r="B565" s="2" t="s">
        <v>1212</v>
      </c>
      <c r="C565" s="2" t="s">
        <v>95</v>
      </c>
      <c r="D565" s="2" t="s">
        <v>1213</v>
      </c>
      <c r="E565" s="3" t="s">
        <v>76</v>
      </c>
      <c r="G565" s="4" t="s">
        <v>48</v>
      </c>
      <c r="H565" s="22" t="s">
        <v>49</v>
      </c>
      <c r="I565" s="22"/>
      <c r="J565" s="22">
        <f>I564</f>
        <v>11320</v>
      </c>
      <c r="K565" s="22">
        <f t="shared" si="8"/>
        <v>11320</v>
      </c>
      <c r="L565" s="17"/>
    </row>
    <row r="566" spans="1:20" ht="24" x14ac:dyDescent="0.25">
      <c r="A566" s="10">
        <v>46058</v>
      </c>
      <c r="B566" s="2" t="s">
        <v>1215</v>
      </c>
      <c r="C566" s="2" t="s">
        <v>1216</v>
      </c>
      <c r="D566" s="2" t="s">
        <v>1217</v>
      </c>
      <c r="E566" s="3" t="s">
        <v>114</v>
      </c>
      <c r="F566" s="4">
        <f>6600-(6600*0.05)</f>
        <v>6270</v>
      </c>
      <c r="G566" s="4" t="s">
        <v>110</v>
      </c>
      <c r="H566" s="22" t="s">
        <v>40</v>
      </c>
      <c r="I566" s="22">
        <v>6000</v>
      </c>
      <c r="J566" s="22"/>
      <c r="K566" s="22">
        <f t="shared" si="8"/>
        <v>6000</v>
      </c>
      <c r="L566" s="17"/>
      <c r="M566" s="23" t="s">
        <v>41</v>
      </c>
      <c r="N566" s="1" t="s">
        <v>1218</v>
      </c>
      <c r="Q566" s="7" t="s">
        <v>81</v>
      </c>
      <c r="R566" s="7" t="s">
        <v>532</v>
      </c>
    </row>
    <row r="567" spans="1:20" x14ac:dyDescent="0.25">
      <c r="A567" s="10">
        <v>46058</v>
      </c>
      <c r="B567" s="2" t="s">
        <v>1215</v>
      </c>
      <c r="C567" s="2" t="s">
        <v>1216</v>
      </c>
      <c r="D567" s="2" t="s">
        <v>1217</v>
      </c>
      <c r="E567" s="3" t="s">
        <v>114</v>
      </c>
      <c r="G567" s="4" t="s">
        <v>110</v>
      </c>
      <c r="H567" s="22" t="s">
        <v>105</v>
      </c>
      <c r="I567" s="22"/>
      <c r="J567" s="22">
        <f>I566*0.05</f>
        <v>300</v>
      </c>
      <c r="K567" s="22">
        <f t="shared" si="8"/>
        <v>300</v>
      </c>
      <c r="L567" s="17"/>
    </row>
    <row r="568" spans="1:20" x14ac:dyDescent="0.25">
      <c r="A568" s="10">
        <v>46058</v>
      </c>
      <c r="B568" s="2" t="s">
        <v>1215</v>
      </c>
      <c r="C568" s="2" t="s">
        <v>1216</v>
      </c>
      <c r="D568" s="2" t="s">
        <v>1217</v>
      </c>
      <c r="E568" s="3" t="s">
        <v>114</v>
      </c>
      <c r="G568" s="4" t="s">
        <v>48</v>
      </c>
      <c r="H568" s="22" t="s">
        <v>49</v>
      </c>
      <c r="I568" s="22"/>
      <c r="J568" s="22">
        <f>I566-J567</f>
        <v>5700</v>
      </c>
      <c r="K568" s="22">
        <f t="shared" si="8"/>
        <v>5700</v>
      </c>
      <c r="L568" s="17"/>
    </row>
    <row r="569" spans="1:20" ht="24" x14ac:dyDescent="0.25">
      <c r="A569" s="10">
        <v>46058</v>
      </c>
      <c r="B569" s="2" t="s">
        <v>1219</v>
      </c>
      <c r="C569" s="2" t="s">
        <v>1220</v>
      </c>
      <c r="D569" s="2" t="s">
        <v>1221</v>
      </c>
      <c r="E569" s="3" t="s">
        <v>1222</v>
      </c>
      <c r="F569" s="4">
        <f>(6900/1.12)+(6900/1.12*0.12)-(6900/1.12*0.01)</f>
        <v>6838.3928571428569</v>
      </c>
      <c r="G569" s="4" t="s">
        <v>128</v>
      </c>
      <c r="H569" s="22" t="s">
        <v>40</v>
      </c>
      <c r="I569" s="22">
        <f>6900/1.12</f>
        <v>6160.7142857142853</v>
      </c>
      <c r="J569" s="22"/>
      <c r="K569" s="22">
        <f t="shared" si="8"/>
        <v>6160.7142857142853</v>
      </c>
      <c r="L569" s="17">
        <v>6838.39</v>
      </c>
      <c r="M569" s="23" t="s">
        <v>41</v>
      </c>
      <c r="N569" s="1" t="s">
        <v>1223</v>
      </c>
      <c r="O569" s="7" t="s">
        <v>1224</v>
      </c>
      <c r="Q569" s="7" t="s">
        <v>81</v>
      </c>
      <c r="R569" s="7" t="s">
        <v>1225</v>
      </c>
      <c r="S569" s="3" t="s">
        <v>83</v>
      </c>
    </row>
    <row r="570" spans="1:20" x14ac:dyDescent="0.25">
      <c r="A570" s="10">
        <v>46058</v>
      </c>
      <c r="B570" s="2" t="s">
        <v>1219</v>
      </c>
      <c r="C570" s="2" t="s">
        <v>1220</v>
      </c>
      <c r="D570" s="2" t="s">
        <v>1221</v>
      </c>
      <c r="E570" s="3" t="s">
        <v>1222</v>
      </c>
      <c r="G570" s="4" t="s">
        <v>128</v>
      </c>
      <c r="H570" s="22" t="s">
        <v>104</v>
      </c>
      <c r="I570" s="22">
        <f>I569*0.12</f>
        <v>739.28571428571422</v>
      </c>
      <c r="J570" s="22"/>
      <c r="K570" s="22">
        <f t="shared" si="8"/>
        <v>739.28571428571422</v>
      </c>
      <c r="L570" s="17"/>
    </row>
    <row r="571" spans="1:20" x14ac:dyDescent="0.25">
      <c r="A571" s="10">
        <v>46058</v>
      </c>
      <c r="B571" s="2" t="s">
        <v>1219</v>
      </c>
      <c r="C571" s="2" t="s">
        <v>1220</v>
      </c>
      <c r="D571" s="2" t="s">
        <v>1221</v>
      </c>
      <c r="E571" s="3" t="s">
        <v>1222</v>
      </c>
      <c r="G571" s="4" t="s">
        <v>128</v>
      </c>
      <c r="H571" s="22" t="s">
        <v>105</v>
      </c>
      <c r="I571" s="22"/>
      <c r="J571" s="22">
        <f>I569*0.01</f>
        <v>61.607142857142854</v>
      </c>
      <c r="K571" s="22">
        <f t="shared" si="8"/>
        <v>61.607142857142854</v>
      </c>
      <c r="L571" s="17"/>
    </row>
    <row r="572" spans="1:20" x14ac:dyDescent="0.25">
      <c r="A572" s="10">
        <v>46058</v>
      </c>
      <c r="B572" s="2" t="s">
        <v>1219</v>
      </c>
      <c r="C572" s="2" t="s">
        <v>1220</v>
      </c>
      <c r="D572" s="2" t="s">
        <v>1221</v>
      </c>
      <c r="E572" s="3" t="s">
        <v>1222</v>
      </c>
      <c r="G572" s="4" t="s">
        <v>48</v>
      </c>
      <c r="H572" s="22" t="s">
        <v>49</v>
      </c>
      <c r="I572" s="22"/>
      <c r="J572" s="22">
        <f>I569+I570-J571</f>
        <v>6838.3928571428569</v>
      </c>
      <c r="K572" s="22">
        <f t="shared" si="8"/>
        <v>6838.3928571428569</v>
      </c>
      <c r="L572" s="17"/>
    </row>
    <row r="573" spans="1:20" ht="36" x14ac:dyDescent="0.25">
      <c r="A573" s="10">
        <v>46058</v>
      </c>
      <c r="B573" s="2" t="s">
        <v>1226</v>
      </c>
      <c r="C573" s="2" t="s">
        <v>1227</v>
      </c>
      <c r="D573" s="2" t="s">
        <v>561</v>
      </c>
      <c r="E573" s="3" t="s">
        <v>1047</v>
      </c>
      <c r="F573" s="4">
        <f>(1435/1.12)+(1435/1.12*0.12)-(1435/1.12*0.01)</f>
        <v>1422.1874999999998</v>
      </c>
      <c r="G573" s="4" t="s">
        <v>128</v>
      </c>
      <c r="H573" s="22" t="s">
        <v>40</v>
      </c>
      <c r="I573" s="22">
        <f>1435/1.12</f>
        <v>1281.2499999999998</v>
      </c>
      <c r="J573" s="22"/>
      <c r="K573" s="22">
        <f t="shared" si="8"/>
        <v>1281.2499999999998</v>
      </c>
      <c r="L573" s="17"/>
      <c r="M573" s="23" t="s">
        <v>41</v>
      </c>
      <c r="N573" s="1" t="s">
        <v>1228</v>
      </c>
    </row>
    <row r="574" spans="1:20" x14ac:dyDescent="0.25">
      <c r="A574" s="10">
        <v>46058</v>
      </c>
      <c r="B574" s="2" t="s">
        <v>1226</v>
      </c>
      <c r="C574" s="2" t="s">
        <v>1227</v>
      </c>
      <c r="D574" s="2" t="s">
        <v>561</v>
      </c>
      <c r="E574" s="3" t="s">
        <v>1047</v>
      </c>
      <c r="G574" s="4" t="s">
        <v>128</v>
      </c>
      <c r="H574" s="22" t="s">
        <v>104</v>
      </c>
      <c r="I574" s="22">
        <f>I573*0.12</f>
        <v>153.74999999999997</v>
      </c>
      <c r="J574" s="22"/>
      <c r="K574" s="22">
        <f t="shared" si="8"/>
        <v>153.74999999999997</v>
      </c>
      <c r="L574" s="17"/>
    </row>
    <row r="575" spans="1:20" x14ac:dyDescent="0.25">
      <c r="A575" s="10">
        <v>46058</v>
      </c>
      <c r="B575" s="2" t="s">
        <v>1226</v>
      </c>
      <c r="C575" s="2" t="s">
        <v>1227</v>
      </c>
      <c r="D575" s="2" t="s">
        <v>561</v>
      </c>
      <c r="E575" s="3" t="s">
        <v>1047</v>
      </c>
      <c r="G575" s="4" t="s">
        <v>128</v>
      </c>
      <c r="H575" s="22" t="s">
        <v>105</v>
      </c>
      <c r="I575" s="22"/>
      <c r="J575" s="22">
        <f>I573*0.01</f>
        <v>12.812499999999998</v>
      </c>
      <c r="K575" s="22">
        <f t="shared" si="8"/>
        <v>12.812499999999998</v>
      </c>
      <c r="L575" s="17"/>
    </row>
    <row r="576" spans="1:20" x14ac:dyDescent="0.25">
      <c r="A576" s="10">
        <v>46058</v>
      </c>
      <c r="B576" s="2" t="s">
        <v>1226</v>
      </c>
      <c r="C576" s="2" t="s">
        <v>1227</v>
      </c>
      <c r="D576" s="2" t="s">
        <v>561</v>
      </c>
      <c r="E576" s="3" t="s">
        <v>1047</v>
      </c>
      <c r="G576" s="4" t="s">
        <v>48</v>
      </c>
      <c r="H576" s="22" t="s">
        <v>49</v>
      </c>
      <c r="I576" s="22"/>
      <c r="J576" s="22">
        <f>I573+I574-J575</f>
        <v>1422.1874999999998</v>
      </c>
      <c r="K576" s="22">
        <f t="shared" si="8"/>
        <v>1422.1874999999998</v>
      </c>
      <c r="L576" s="17"/>
    </row>
    <row r="577" spans="1:20" ht="24" x14ac:dyDescent="0.25">
      <c r="A577" s="10">
        <v>46058</v>
      </c>
      <c r="B577" s="2" t="s">
        <v>1229</v>
      </c>
      <c r="C577" s="2" t="s">
        <v>1230</v>
      </c>
      <c r="D577" s="2" t="s">
        <v>884</v>
      </c>
      <c r="E577" s="3" t="s">
        <v>109</v>
      </c>
      <c r="F577" s="4">
        <v>1270</v>
      </c>
      <c r="G577" s="3" t="s">
        <v>28</v>
      </c>
      <c r="H577" s="22" t="s">
        <v>40</v>
      </c>
      <c r="I577" s="22">
        <v>1270</v>
      </c>
      <c r="J577" s="34"/>
      <c r="K577" s="22">
        <f t="shared" si="8"/>
        <v>1270</v>
      </c>
      <c r="L577" s="17">
        <v>1270</v>
      </c>
      <c r="M577" s="23" t="s">
        <v>41</v>
      </c>
      <c r="N577" s="1" t="s">
        <v>1231</v>
      </c>
      <c r="O577" s="7" t="s">
        <v>116</v>
      </c>
      <c r="P577" s="7" t="s">
        <v>81</v>
      </c>
      <c r="R577" s="7" t="s">
        <v>1232</v>
      </c>
      <c r="S577" s="3" t="s">
        <v>83</v>
      </c>
      <c r="T577" s="3" t="s">
        <v>1233</v>
      </c>
    </row>
    <row r="578" spans="1:20" x14ac:dyDescent="0.25">
      <c r="A578" s="10">
        <v>46058</v>
      </c>
      <c r="B578" s="2" t="s">
        <v>1229</v>
      </c>
      <c r="C578" s="2" t="s">
        <v>1230</v>
      </c>
      <c r="D578" s="2" t="s">
        <v>884</v>
      </c>
      <c r="E578" s="3" t="s">
        <v>109</v>
      </c>
      <c r="G578" s="4" t="s">
        <v>48</v>
      </c>
      <c r="H578" s="22" t="s">
        <v>49</v>
      </c>
      <c r="I578" s="34"/>
      <c r="J578" s="35">
        <f>I577</f>
        <v>1270</v>
      </c>
      <c r="K578" s="22">
        <f t="shared" si="8"/>
        <v>1270</v>
      </c>
      <c r="L578" s="32"/>
    </row>
    <row r="579" spans="1:20" ht="24" x14ac:dyDescent="0.25">
      <c r="A579" s="10">
        <v>46058</v>
      </c>
      <c r="B579" s="2" t="s">
        <v>1234</v>
      </c>
      <c r="C579" s="2" t="s">
        <v>1235</v>
      </c>
      <c r="D579" s="2" t="s">
        <v>1236</v>
      </c>
      <c r="E579" s="3" t="s">
        <v>123</v>
      </c>
      <c r="F579" s="4">
        <f>(15200/1.12)+(15200/1.12*0.12)-(15200/1.12*0.01)</f>
        <v>15064.285714285714</v>
      </c>
      <c r="G579" s="3" t="s">
        <v>28</v>
      </c>
      <c r="H579" s="22" t="s">
        <v>40</v>
      </c>
      <c r="I579" s="22">
        <f>15200/1.12</f>
        <v>13571.428571428571</v>
      </c>
      <c r="J579" s="22"/>
      <c r="K579" s="22">
        <f t="shared" si="8"/>
        <v>13571.428571428571</v>
      </c>
      <c r="L579" s="17">
        <v>15064.29</v>
      </c>
      <c r="M579" s="23" t="s">
        <v>41</v>
      </c>
      <c r="N579" s="1" t="s">
        <v>1237</v>
      </c>
      <c r="O579" s="7" t="s">
        <v>1238</v>
      </c>
      <c r="P579" s="7" t="s">
        <v>81</v>
      </c>
      <c r="R579" s="7" t="s">
        <v>1232</v>
      </c>
      <c r="S579" s="3" t="s">
        <v>83</v>
      </c>
      <c r="T579" s="3" t="s">
        <v>1233</v>
      </c>
    </row>
    <row r="580" spans="1:20" x14ac:dyDescent="0.25">
      <c r="A580" s="10">
        <v>46058</v>
      </c>
      <c r="B580" s="2" t="s">
        <v>1234</v>
      </c>
      <c r="C580" s="2" t="s">
        <v>1235</v>
      </c>
      <c r="D580" s="2" t="s">
        <v>1236</v>
      </c>
      <c r="E580" s="3" t="s">
        <v>123</v>
      </c>
      <c r="G580" s="3" t="s">
        <v>28</v>
      </c>
      <c r="H580" s="22" t="s">
        <v>104</v>
      </c>
      <c r="I580" s="22">
        <f>I579*0.12</f>
        <v>1628.5714285714284</v>
      </c>
      <c r="J580" s="22"/>
      <c r="K580" s="22">
        <f t="shared" si="8"/>
        <v>1628.5714285714284</v>
      </c>
      <c r="L580" s="17"/>
    </row>
    <row r="581" spans="1:20" x14ac:dyDescent="0.25">
      <c r="A581" s="10">
        <v>46058</v>
      </c>
      <c r="B581" s="2" t="s">
        <v>1234</v>
      </c>
      <c r="C581" s="2" t="s">
        <v>1235</v>
      </c>
      <c r="D581" s="2" t="s">
        <v>1236</v>
      </c>
      <c r="E581" s="3" t="s">
        <v>123</v>
      </c>
      <c r="G581" s="3" t="s">
        <v>28</v>
      </c>
      <c r="H581" s="22" t="s">
        <v>105</v>
      </c>
      <c r="I581" s="22"/>
      <c r="J581" s="22">
        <f>I579*0.01</f>
        <v>135.71428571428572</v>
      </c>
      <c r="K581" s="22">
        <f t="shared" si="8"/>
        <v>135.71428571428572</v>
      </c>
      <c r="L581" s="17"/>
    </row>
    <row r="582" spans="1:20" x14ac:dyDescent="0.25">
      <c r="A582" s="10">
        <v>46058</v>
      </c>
      <c r="B582" s="2" t="s">
        <v>1234</v>
      </c>
      <c r="C582" s="2" t="s">
        <v>1235</v>
      </c>
      <c r="D582" s="2" t="s">
        <v>1236</v>
      </c>
      <c r="E582" s="3" t="s">
        <v>123</v>
      </c>
      <c r="G582" s="4" t="s">
        <v>48</v>
      </c>
      <c r="H582" s="22" t="s">
        <v>49</v>
      </c>
      <c r="I582" s="22"/>
      <c r="J582" s="22">
        <f>I579+I580-J581</f>
        <v>15064.285714285714</v>
      </c>
      <c r="K582" s="22">
        <f t="shared" si="8"/>
        <v>15064.285714285714</v>
      </c>
      <c r="L582" s="17"/>
    </row>
    <row r="583" spans="1:20" ht="24" x14ac:dyDescent="0.25">
      <c r="A583" s="10">
        <v>46058</v>
      </c>
      <c r="B583" s="2" t="s">
        <v>1239</v>
      </c>
      <c r="C583" s="2" t="s">
        <v>1240</v>
      </c>
      <c r="D583" s="2" t="s">
        <v>1241</v>
      </c>
      <c r="E583" s="3" t="s">
        <v>562</v>
      </c>
      <c r="F583" s="4">
        <f>(3160/1.12)+(3160/1.12*0.12)-(3160/1.12*0.01)</f>
        <v>3131.7857142857138</v>
      </c>
      <c r="G583" s="3" t="s">
        <v>28</v>
      </c>
      <c r="H583" s="22" t="s">
        <v>40</v>
      </c>
      <c r="I583" s="22">
        <f>3160/1.12</f>
        <v>2821.4285714285711</v>
      </c>
      <c r="J583" s="22"/>
      <c r="K583" s="22">
        <f t="shared" si="8"/>
        <v>2821.4285714285711</v>
      </c>
      <c r="L583" s="17">
        <v>3131.79</v>
      </c>
      <c r="M583" s="23" t="s">
        <v>41</v>
      </c>
      <c r="N583" s="1" t="s">
        <v>1242</v>
      </c>
      <c r="O583" s="7" t="s">
        <v>116</v>
      </c>
      <c r="P583" s="7" t="s">
        <v>81</v>
      </c>
      <c r="R583" s="7" t="s">
        <v>1232</v>
      </c>
      <c r="S583" s="3" t="s">
        <v>83</v>
      </c>
      <c r="T583" s="3" t="s">
        <v>1233</v>
      </c>
    </row>
    <row r="584" spans="1:20" x14ac:dyDescent="0.25">
      <c r="A584" s="10">
        <v>46058</v>
      </c>
      <c r="B584" s="2" t="s">
        <v>1239</v>
      </c>
      <c r="C584" s="2" t="s">
        <v>1240</v>
      </c>
      <c r="D584" s="2" t="s">
        <v>1241</v>
      </c>
      <c r="E584" s="3" t="s">
        <v>562</v>
      </c>
      <c r="G584" s="3" t="s">
        <v>28</v>
      </c>
      <c r="H584" s="22" t="s">
        <v>104</v>
      </c>
      <c r="I584" s="22">
        <f>I583*0.12</f>
        <v>338.5714285714285</v>
      </c>
      <c r="J584" s="22"/>
      <c r="K584" s="22">
        <f t="shared" si="8"/>
        <v>338.5714285714285</v>
      </c>
      <c r="L584" s="17"/>
    </row>
    <row r="585" spans="1:20" x14ac:dyDescent="0.25">
      <c r="A585" s="10">
        <v>46058</v>
      </c>
      <c r="B585" s="2" t="s">
        <v>1239</v>
      </c>
      <c r="C585" s="2" t="s">
        <v>1240</v>
      </c>
      <c r="D585" s="2" t="s">
        <v>1241</v>
      </c>
      <c r="E585" s="3" t="s">
        <v>562</v>
      </c>
      <c r="G585" s="3" t="s">
        <v>28</v>
      </c>
      <c r="H585" s="22" t="s">
        <v>105</v>
      </c>
      <c r="I585" s="22"/>
      <c r="J585" s="22">
        <f>I583*0.01</f>
        <v>28.214285714285712</v>
      </c>
      <c r="K585" s="22">
        <f t="shared" si="8"/>
        <v>28.214285714285712</v>
      </c>
      <c r="L585" s="17"/>
    </row>
    <row r="586" spans="1:20" x14ac:dyDescent="0.25">
      <c r="A586" s="10">
        <v>46058</v>
      </c>
      <c r="B586" s="2" t="s">
        <v>1239</v>
      </c>
      <c r="C586" s="2" t="s">
        <v>1240</v>
      </c>
      <c r="D586" s="2" t="s">
        <v>1241</v>
      </c>
      <c r="E586" s="3" t="s">
        <v>562</v>
      </c>
      <c r="G586" s="4" t="s">
        <v>48</v>
      </c>
      <c r="H586" s="22" t="s">
        <v>49</v>
      </c>
      <c r="I586" s="22"/>
      <c r="J586" s="22">
        <f>I583+I584-J585</f>
        <v>3131.7857142857138</v>
      </c>
      <c r="K586" s="22">
        <f t="shared" si="8"/>
        <v>3131.7857142857138</v>
      </c>
      <c r="L586" s="17"/>
    </row>
    <row r="587" spans="1:20" ht="36" x14ac:dyDescent="0.25">
      <c r="A587" s="10">
        <v>46058</v>
      </c>
      <c r="B587" s="2" t="s">
        <v>1243</v>
      </c>
      <c r="C587" s="2" t="s">
        <v>1244</v>
      </c>
      <c r="D587" s="2" t="s">
        <v>1245</v>
      </c>
      <c r="E587" s="3" t="s">
        <v>455</v>
      </c>
      <c r="F587" s="4">
        <f>(119005.5/1.12)+(119005.5/1.12*0.12)-(119005.5/1.12*0.01)</f>
        <v>117942.95089285714</v>
      </c>
      <c r="G587" s="3" t="s">
        <v>28</v>
      </c>
      <c r="H587" s="22" t="s">
        <v>40</v>
      </c>
      <c r="I587" s="22">
        <f>119005.5/1.12</f>
        <v>106254.91071428571</v>
      </c>
      <c r="J587" s="22"/>
      <c r="K587" s="22">
        <f t="shared" si="8"/>
        <v>106254.91071428571</v>
      </c>
      <c r="L587" s="17"/>
      <c r="M587" s="29" t="s">
        <v>99</v>
      </c>
      <c r="N587" s="1" t="s">
        <v>1246</v>
      </c>
      <c r="O587" s="24" t="s">
        <v>1247</v>
      </c>
      <c r="P587" s="24"/>
      <c r="Q587" s="24" t="s">
        <v>1248</v>
      </c>
    </row>
    <row r="588" spans="1:20" x14ac:dyDescent="0.25">
      <c r="A588" s="10">
        <v>46058</v>
      </c>
      <c r="B588" s="2" t="s">
        <v>1243</v>
      </c>
      <c r="C588" s="2" t="s">
        <v>1244</v>
      </c>
      <c r="D588" s="2" t="s">
        <v>1245</v>
      </c>
      <c r="E588" s="3" t="s">
        <v>455</v>
      </c>
      <c r="G588" s="3" t="s">
        <v>28</v>
      </c>
      <c r="H588" s="22" t="s">
        <v>104</v>
      </c>
      <c r="I588" s="22">
        <f>I587*0.12</f>
        <v>12750.589285714284</v>
      </c>
      <c r="J588" s="22"/>
      <c r="K588" s="22">
        <f t="shared" si="8"/>
        <v>12750.589285714284</v>
      </c>
      <c r="L588" s="17"/>
    </row>
    <row r="589" spans="1:20" x14ac:dyDescent="0.25">
      <c r="A589" s="10">
        <v>46058</v>
      </c>
      <c r="B589" s="2" t="s">
        <v>1243</v>
      </c>
      <c r="C589" s="2" t="s">
        <v>1244</v>
      </c>
      <c r="D589" s="2" t="s">
        <v>1245</v>
      </c>
      <c r="E589" s="3" t="s">
        <v>455</v>
      </c>
      <c r="G589" s="3" t="s">
        <v>28</v>
      </c>
      <c r="H589" s="22" t="s">
        <v>105</v>
      </c>
      <c r="I589" s="22"/>
      <c r="J589" s="22">
        <f>I587*0.01</f>
        <v>1062.5491071428571</v>
      </c>
      <c r="K589" s="22">
        <f t="shared" si="8"/>
        <v>1062.5491071428571</v>
      </c>
      <c r="L589" s="17"/>
    </row>
    <row r="590" spans="1:20" x14ac:dyDescent="0.25">
      <c r="A590" s="10">
        <v>46058</v>
      </c>
      <c r="B590" s="2" t="s">
        <v>1243</v>
      </c>
      <c r="C590" s="2" t="s">
        <v>1244</v>
      </c>
      <c r="D590" s="2" t="s">
        <v>1245</v>
      </c>
      <c r="E590" s="3" t="s">
        <v>455</v>
      </c>
      <c r="G590" s="4" t="s">
        <v>48</v>
      </c>
      <c r="H590" s="22" t="s">
        <v>49</v>
      </c>
      <c r="I590" s="22"/>
      <c r="J590" s="22">
        <f>I587+I588-J589</f>
        <v>117942.95089285714</v>
      </c>
      <c r="K590" s="22">
        <f t="shared" si="8"/>
        <v>117942.95089285714</v>
      </c>
      <c r="L590" s="17"/>
    </row>
    <row r="591" spans="1:20" ht="36" x14ac:dyDescent="0.25">
      <c r="A591" s="10">
        <v>46058</v>
      </c>
      <c r="B591" s="2" t="s">
        <v>1249</v>
      </c>
      <c r="C591" s="2" t="s">
        <v>1250</v>
      </c>
      <c r="D591" s="2" t="s">
        <v>1245</v>
      </c>
      <c r="E591" s="3" t="s">
        <v>680</v>
      </c>
      <c r="F591" s="4">
        <f>8210-(8210*0.01)</f>
        <v>8127.9</v>
      </c>
      <c r="G591" s="3" t="s">
        <v>28</v>
      </c>
      <c r="H591" s="22" t="s">
        <v>40</v>
      </c>
      <c r="I591" s="22">
        <v>8210</v>
      </c>
      <c r="J591" s="22"/>
      <c r="K591" s="22">
        <f t="shared" si="8"/>
        <v>8210</v>
      </c>
      <c r="L591" s="17"/>
      <c r="M591" s="29" t="s">
        <v>99</v>
      </c>
      <c r="N591" s="1" t="s">
        <v>1251</v>
      </c>
      <c r="O591" s="24" t="s">
        <v>1252</v>
      </c>
      <c r="P591" s="24"/>
      <c r="Q591" s="24" t="s">
        <v>1253</v>
      </c>
    </row>
    <row r="592" spans="1:20" x14ac:dyDescent="0.25">
      <c r="A592" s="10">
        <v>46058</v>
      </c>
      <c r="B592" s="2" t="s">
        <v>1249</v>
      </c>
      <c r="C592" s="2" t="s">
        <v>1250</v>
      </c>
      <c r="D592" s="2" t="s">
        <v>1245</v>
      </c>
      <c r="E592" s="3" t="s">
        <v>680</v>
      </c>
      <c r="G592" s="3" t="s">
        <v>28</v>
      </c>
      <c r="H592" s="22" t="s">
        <v>105</v>
      </c>
      <c r="I592" s="22"/>
      <c r="J592" s="22">
        <f>I591*0.01</f>
        <v>82.100000000000009</v>
      </c>
      <c r="K592" s="22">
        <f t="shared" si="8"/>
        <v>82.100000000000009</v>
      </c>
      <c r="L592" s="17"/>
    </row>
    <row r="593" spans="1:23" x14ac:dyDescent="0.25">
      <c r="A593" s="10">
        <v>46058</v>
      </c>
      <c r="B593" s="2" t="s">
        <v>1249</v>
      </c>
      <c r="C593" s="2" t="s">
        <v>1250</v>
      </c>
      <c r="D593" s="2" t="s">
        <v>1245</v>
      </c>
      <c r="E593" s="3" t="s">
        <v>680</v>
      </c>
      <c r="G593" s="4" t="s">
        <v>48</v>
      </c>
      <c r="H593" s="22" t="s">
        <v>49</v>
      </c>
      <c r="I593" s="22"/>
      <c r="J593" s="22">
        <f>I591-J592</f>
        <v>8127.9</v>
      </c>
      <c r="K593" s="22">
        <f t="shared" si="8"/>
        <v>8127.9</v>
      </c>
      <c r="L593" s="17"/>
    </row>
    <row r="594" spans="1:23" ht="24" x14ac:dyDescent="0.25">
      <c r="A594" s="10">
        <v>46058</v>
      </c>
      <c r="B594" s="2" t="s">
        <v>1254</v>
      </c>
      <c r="E594" s="3" t="s">
        <v>351</v>
      </c>
      <c r="F594" s="4">
        <v>500000</v>
      </c>
      <c r="G594" s="4" t="s">
        <v>167</v>
      </c>
      <c r="H594" s="22" t="s">
        <v>1255</v>
      </c>
      <c r="I594" s="22">
        <v>500000</v>
      </c>
      <c r="J594" s="22"/>
      <c r="K594" s="22">
        <f t="shared" si="8"/>
        <v>500000</v>
      </c>
      <c r="L594" s="17">
        <v>500000</v>
      </c>
      <c r="M594" s="23" t="s">
        <v>41</v>
      </c>
      <c r="N594" s="1" t="s">
        <v>1256</v>
      </c>
      <c r="O594" s="24" t="s">
        <v>1257</v>
      </c>
      <c r="P594" s="24"/>
      <c r="Q594" s="25" t="s">
        <v>1258</v>
      </c>
      <c r="R594" s="7" t="s">
        <v>286</v>
      </c>
      <c r="S594" s="3" t="s">
        <v>962</v>
      </c>
      <c r="T594" s="3" t="s">
        <v>1259</v>
      </c>
    </row>
    <row r="595" spans="1:23" x14ac:dyDescent="0.25">
      <c r="A595" s="10">
        <v>46058</v>
      </c>
      <c r="B595" s="2" t="s">
        <v>1254</v>
      </c>
      <c r="E595" s="3" t="s">
        <v>351</v>
      </c>
      <c r="G595" s="4" t="s">
        <v>383</v>
      </c>
      <c r="H595" s="22" t="s">
        <v>964</v>
      </c>
      <c r="I595" s="22"/>
      <c r="J595" s="22">
        <f>I594</f>
        <v>500000</v>
      </c>
      <c r="K595" s="22">
        <f t="shared" si="8"/>
        <v>500000</v>
      </c>
      <c r="L595" s="17"/>
      <c r="M595" s="23"/>
      <c r="O595" s="24"/>
      <c r="P595" s="24"/>
      <c r="Q595" s="25"/>
    </row>
    <row r="596" spans="1:23" ht="24" x14ac:dyDescent="0.25">
      <c r="A596" s="10">
        <v>46058</v>
      </c>
      <c r="B596" s="2" t="s">
        <v>1260</v>
      </c>
      <c r="C596" s="2" t="s">
        <v>1261</v>
      </c>
      <c r="D596" s="2" t="s">
        <v>1262</v>
      </c>
      <c r="E596" s="3" t="s">
        <v>1047</v>
      </c>
      <c r="F596" s="4">
        <f>(48700/1.12)+(48700/1.12*0.12)-(48700/1.12*0.01)</f>
        <v>48265.178571428572</v>
      </c>
      <c r="G596" s="3" t="s">
        <v>28</v>
      </c>
      <c r="H596" s="22" t="s">
        <v>40</v>
      </c>
      <c r="I596" s="22">
        <f>48700/1.12</f>
        <v>43482.142857142855</v>
      </c>
      <c r="J596" s="22"/>
      <c r="K596" s="22">
        <f t="shared" si="8"/>
        <v>43482.142857142855</v>
      </c>
      <c r="L596" s="17">
        <v>48265.18</v>
      </c>
      <c r="M596" s="23" t="s">
        <v>41</v>
      </c>
      <c r="N596" s="1" t="s">
        <v>1263</v>
      </c>
      <c r="O596" s="7" t="s">
        <v>1195</v>
      </c>
      <c r="W596" s="9" t="s">
        <v>1264</v>
      </c>
    </row>
    <row r="597" spans="1:23" x14ac:dyDescent="0.25">
      <c r="A597" s="10">
        <v>46058</v>
      </c>
      <c r="B597" s="2" t="s">
        <v>1260</v>
      </c>
      <c r="C597" s="2" t="s">
        <v>1261</v>
      </c>
      <c r="D597" s="2" t="s">
        <v>1262</v>
      </c>
      <c r="E597" s="3" t="s">
        <v>1047</v>
      </c>
      <c r="G597" s="3" t="s">
        <v>28</v>
      </c>
      <c r="H597" s="22" t="s">
        <v>104</v>
      </c>
      <c r="I597" s="22">
        <f>I596*0.12</f>
        <v>5217.8571428571422</v>
      </c>
      <c r="J597" s="22"/>
      <c r="K597" s="22">
        <f t="shared" si="8"/>
        <v>5217.8571428571422</v>
      </c>
      <c r="L597" s="17"/>
    </row>
    <row r="598" spans="1:23" x14ac:dyDescent="0.25">
      <c r="A598" s="10">
        <v>46058</v>
      </c>
      <c r="B598" s="2" t="s">
        <v>1260</v>
      </c>
      <c r="C598" s="2" t="s">
        <v>1261</v>
      </c>
      <c r="D598" s="2" t="s">
        <v>1262</v>
      </c>
      <c r="E598" s="3" t="s">
        <v>1047</v>
      </c>
      <c r="G598" s="3" t="s">
        <v>28</v>
      </c>
      <c r="H598" s="22" t="s">
        <v>105</v>
      </c>
      <c r="I598" s="22"/>
      <c r="J598" s="22">
        <f>I596*0.01</f>
        <v>434.82142857142856</v>
      </c>
      <c r="K598" s="22">
        <f t="shared" si="8"/>
        <v>434.82142857142856</v>
      </c>
      <c r="L598" s="17"/>
    </row>
    <row r="599" spans="1:23" x14ac:dyDescent="0.25">
      <c r="A599" s="10">
        <v>46058</v>
      </c>
      <c r="B599" s="2" t="s">
        <v>1260</v>
      </c>
      <c r="C599" s="2" t="s">
        <v>1261</v>
      </c>
      <c r="D599" s="2" t="s">
        <v>1262</v>
      </c>
      <c r="E599" s="3" t="s">
        <v>1047</v>
      </c>
      <c r="G599" s="4" t="s">
        <v>48</v>
      </c>
      <c r="H599" s="22" t="s">
        <v>49</v>
      </c>
      <c r="I599" s="22"/>
      <c r="J599" s="22">
        <f>I596+I597-J598</f>
        <v>48265.178571428572</v>
      </c>
      <c r="K599" s="22">
        <f t="shared" si="8"/>
        <v>48265.178571428572</v>
      </c>
      <c r="L599" s="17"/>
    </row>
    <row r="600" spans="1:23" ht="24" x14ac:dyDescent="0.25">
      <c r="A600" s="10">
        <v>46059</v>
      </c>
      <c r="B600" s="2" t="s">
        <v>1265</v>
      </c>
      <c r="D600" s="31" t="s">
        <v>180</v>
      </c>
      <c r="E600" s="3" t="s">
        <v>181</v>
      </c>
      <c r="F600" s="4">
        <v>200000</v>
      </c>
      <c r="G600" s="4" t="s">
        <v>167</v>
      </c>
      <c r="H600" s="22" t="s">
        <v>168</v>
      </c>
      <c r="I600" s="22">
        <v>200000</v>
      </c>
      <c r="J600" s="22"/>
      <c r="K600" s="22">
        <f t="shared" si="8"/>
        <v>200000</v>
      </c>
      <c r="L600" s="17">
        <v>200000</v>
      </c>
      <c r="M600" s="23" t="s">
        <v>41</v>
      </c>
      <c r="N600" s="1" t="s">
        <v>1266</v>
      </c>
      <c r="O600" s="7" t="s">
        <v>183</v>
      </c>
      <c r="P600" s="7" t="s">
        <v>81</v>
      </c>
      <c r="R600" s="7" t="s">
        <v>286</v>
      </c>
      <c r="S600" s="3" t="s">
        <v>83</v>
      </c>
      <c r="T600" s="3" t="s">
        <v>1267</v>
      </c>
    </row>
    <row r="601" spans="1:23" x14ac:dyDescent="0.25">
      <c r="A601" s="10">
        <v>46059</v>
      </c>
      <c r="B601" s="2" t="s">
        <v>1265</v>
      </c>
      <c r="D601" s="31" t="s">
        <v>180</v>
      </c>
      <c r="E601" s="3" t="s">
        <v>181</v>
      </c>
      <c r="H601" s="22" t="s">
        <v>81</v>
      </c>
      <c r="I601" s="22"/>
      <c r="J601" s="22">
        <f>I600</f>
        <v>200000</v>
      </c>
      <c r="K601" s="22">
        <f t="shared" si="8"/>
        <v>200000</v>
      </c>
      <c r="L601" s="17"/>
      <c r="M601" s="23"/>
    </row>
    <row r="602" spans="1:23" ht="24" x14ac:dyDescent="0.25">
      <c r="A602" s="10">
        <v>46059</v>
      </c>
      <c r="B602" s="2" t="s">
        <v>1268</v>
      </c>
      <c r="D602" s="31" t="s">
        <v>165</v>
      </c>
      <c r="E602" s="3" t="s">
        <v>166</v>
      </c>
      <c r="F602" s="4">
        <v>150000</v>
      </c>
      <c r="G602" s="4" t="s">
        <v>167</v>
      </c>
      <c r="H602" s="22"/>
      <c r="I602" s="22"/>
      <c r="J602" s="22"/>
      <c r="K602" s="22">
        <f t="shared" si="8"/>
        <v>0</v>
      </c>
      <c r="L602" s="17"/>
      <c r="M602" s="23" t="s">
        <v>41</v>
      </c>
      <c r="N602" s="1" t="s">
        <v>1269</v>
      </c>
      <c r="O602" s="7" t="s">
        <v>285</v>
      </c>
      <c r="P602" s="7" t="s">
        <v>81</v>
      </c>
      <c r="R602" s="7" t="s">
        <v>286</v>
      </c>
      <c r="S602" s="3" t="s">
        <v>83</v>
      </c>
      <c r="T602" s="3" t="s">
        <v>1267</v>
      </c>
    </row>
    <row r="603" spans="1:23" ht="24" x14ac:dyDescent="0.25">
      <c r="A603" s="10">
        <v>46059</v>
      </c>
      <c r="B603" s="2" t="s">
        <v>1270</v>
      </c>
      <c r="C603" s="2" t="s">
        <v>164</v>
      </c>
      <c r="D603" s="31" t="s">
        <v>189</v>
      </c>
      <c r="E603" s="3" t="s">
        <v>175</v>
      </c>
      <c r="F603" s="4">
        <v>140000</v>
      </c>
      <c r="G603" s="4" t="s">
        <v>167</v>
      </c>
      <c r="H603" s="22"/>
      <c r="I603" s="22"/>
      <c r="J603" s="22"/>
      <c r="K603" s="22">
        <f t="shared" si="8"/>
        <v>0</v>
      </c>
      <c r="L603" s="17"/>
      <c r="M603" s="23" t="s">
        <v>41</v>
      </c>
      <c r="N603" s="1" t="s">
        <v>1271</v>
      </c>
      <c r="O603" s="7" t="s">
        <v>183</v>
      </c>
      <c r="P603" s="7" t="s">
        <v>81</v>
      </c>
      <c r="R603" s="7" t="s">
        <v>286</v>
      </c>
      <c r="S603" s="3" t="s">
        <v>83</v>
      </c>
      <c r="T603" s="3" t="s">
        <v>1267</v>
      </c>
    </row>
    <row r="604" spans="1:23" ht="24" x14ac:dyDescent="0.25">
      <c r="A604" s="10">
        <v>46059</v>
      </c>
      <c r="B604" s="2" t="s">
        <v>1272</v>
      </c>
      <c r="C604" s="2" t="s">
        <v>173</v>
      </c>
      <c r="D604" s="31" t="s">
        <v>174</v>
      </c>
      <c r="E604" s="3" t="s">
        <v>175</v>
      </c>
      <c r="F604" s="4">
        <v>60000</v>
      </c>
      <c r="G604" s="4" t="s">
        <v>167</v>
      </c>
      <c r="H604" s="22"/>
      <c r="I604" s="22"/>
      <c r="J604" s="22"/>
      <c r="K604" s="22">
        <f t="shared" si="8"/>
        <v>0</v>
      </c>
      <c r="L604" s="17"/>
      <c r="M604" s="23" t="s">
        <v>41</v>
      </c>
      <c r="N604" s="1" t="s">
        <v>1273</v>
      </c>
    </row>
    <row r="605" spans="1:23" x14ac:dyDescent="0.25">
      <c r="A605" s="10">
        <v>46059</v>
      </c>
      <c r="B605" s="2" t="s">
        <v>1274</v>
      </c>
      <c r="E605" s="3" t="s">
        <v>398</v>
      </c>
      <c r="F605" s="4">
        <v>50000</v>
      </c>
      <c r="G605" s="4" t="s">
        <v>167</v>
      </c>
      <c r="H605" s="22"/>
      <c r="I605" s="22"/>
      <c r="J605" s="22"/>
      <c r="K605" s="22">
        <f t="shared" si="8"/>
        <v>0</v>
      </c>
      <c r="L605" s="17">
        <v>50000</v>
      </c>
      <c r="M605" s="23" t="s">
        <v>41</v>
      </c>
      <c r="N605" s="1" t="s">
        <v>1275</v>
      </c>
      <c r="O605" s="7" t="s">
        <v>1276</v>
      </c>
      <c r="P605" s="7" t="s">
        <v>81</v>
      </c>
      <c r="R605" s="7" t="s">
        <v>286</v>
      </c>
      <c r="S605" s="3" t="s">
        <v>83</v>
      </c>
      <c r="T605" s="3" t="s">
        <v>1267</v>
      </c>
    </row>
    <row r="606" spans="1:23" x14ac:dyDescent="0.25">
      <c r="A606" s="10">
        <v>46059</v>
      </c>
      <c r="B606" s="2" t="s">
        <v>1277</v>
      </c>
      <c r="E606" s="3" t="s">
        <v>27</v>
      </c>
      <c r="F606" s="4">
        <v>200000</v>
      </c>
      <c r="G606" s="4" t="s">
        <v>48</v>
      </c>
      <c r="H606" s="22"/>
      <c r="I606" s="22"/>
      <c r="J606" s="22"/>
      <c r="K606" s="22">
        <f t="shared" si="8"/>
        <v>0</v>
      </c>
      <c r="L606" s="17"/>
      <c r="M606" s="23" t="s">
        <v>41</v>
      </c>
      <c r="N606" s="1" t="s">
        <v>1278</v>
      </c>
    </row>
    <row r="607" spans="1:23" ht="24" x14ac:dyDescent="0.25">
      <c r="A607" s="10">
        <v>46059</v>
      </c>
      <c r="B607" s="2" t="s">
        <v>1279</v>
      </c>
      <c r="E607" s="3" t="s">
        <v>27</v>
      </c>
      <c r="F607" s="4">
        <v>32000</v>
      </c>
      <c r="G607" s="4" t="s">
        <v>48</v>
      </c>
      <c r="H607" s="22"/>
      <c r="I607" s="22"/>
      <c r="J607" s="22"/>
      <c r="K607" s="22">
        <f t="shared" si="8"/>
        <v>0</v>
      </c>
      <c r="L607" s="17"/>
      <c r="M607" s="23" t="s">
        <v>41</v>
      </c>
      <c r="N607" s="1" t="s">
        <v>1280</v>
      </c>
    </row>
    <row r="608" spans="1:23" ht="36" x14ac:dyDescent="0.25">
      <c r="A608" s="10">
        <v>46059</v>
      </c>
      <c r="B608" s="2" t="s">
        <v>1281</v>
      </c>
      <c r="E608" s="3" t="s">
        <v>27</v>
      </c>
      <c r="F608" s="4">
        <v>183986.4</v>
      </c>
      <c r="G608" s="4" t="s">
        <v>48</v>
      </c>
      <c r="H608" s="22"/>
      <c r="I608" s="22"/>
      <c r="J608" s="22"/>
      <c r="K608" s="22">
        <f t="shared" si="8"/>
        <v>0</v>
      </c>
      <c r="L608" s="17"/>
      <c r="M608" s="23" t="s">
        <v>41</v>
      </c>
      <c r="N608" s="1" t="s">
        <v>1282</v>
      </c>
    </row>
    <row r="609" spans="1:20" ht="24" x14ac:dyDescent="0.25">
      <c r="A609" s="10">
        <v>46059</v>
      </c>
      <c r="B609" s="2" t="s">
        <v>1283</v>
      </c>
      <c r="E609" s="3" t="s">
        <v>27</v>
      </c>
      <c r="F609" s="4">
        <v>1799.65</v>
      </c>
      <c r="G609" s="4" t="s">
        <v>48</v>
      </c>
      <c r="H609" s="22"/>
      <c r="I609" s="22"/>
      <c r="J609" s="22"/>
      <c r="K609" s="22">
        <f t="shared" si="8"/>
        <v>0</v>
      </c>
      <c r="L609" s="17"/>
      <c r="M609" s="23" t="s">
        <v>41</v>
      </c>
      <c r="N609" s="1" t="s">
        <v>1284</v>
      </c>
    </row>
    <row r="610" spans="1:20" ht="24" x14ac:dyDescent="0.25">
      <c r="A610" s="10">
        <v>46059</v>
      </c>
      <c r="B610" s="2" t="s">
        <v>1285</v>
      </c>
      <c r="C610" s="2" t="s">
        <v>1286</v>
      </c>
      <c r="D610" s="2" t="s">
        <v>1287</v>
      </c>
      <c r="E610" s="3" t="s">
        <v>692</v>
      </c>
      <c r="F610" s="4">
        <v>286</v>
      </c>
      <c r="G610" s="4" t="s">
        <v>28</v>
      </c>
      <c r="H610" s="22" t="s">
        <v>828</v>
      </c>
      <c r="I610" s="22">
        <v>286</v>
      </c>
      <c r="J610" s="22"/>
      <c r="K610" s="22">
        <f t="shared" si="8"/>
        <v>286</v>
      </c>
      <c r="L610" s="17">
        <v>286</v>
      </c>
      <c r="M610" s="23" t="s">
        <v>41</v>
      </c>
      <c r="N610" s="1" t="s">
        <v>1288</v>
      </c>
    </row>
    <row r="611" spans="1:20" x14ac:dyDescent="0.25">
      <c r="A611" s="10">
        <v>46059</v>
      </c>
      <c r="B611" s="2" t="s">
        <v>1285</v>
      </c>
      <c r="C611" s="2" t="s">
        <v>1286</v>
      </c>
      <c r="D611" s="2" t="s">
        <v>1287</v>
      </c>
      <c r="E611" s="3" t="s">
        <v>692</v>
      </c>
      <c r="G611" s="4" t="s">
        <v>48</v>
      </c>
      <c r="H611" s="22" t="s">
        <v>49</v>
      </c>
      <c r="I611" s="22"/>
      <c r="J611" s="22">
        <f>I610</f>
        <v>286</v>
      </c>
      <c r="K611" s="22">
        <f t="shared" si="8"/>
        <v>286</v>
      </c>
      <c r="L611" s="17"/>
    </row>
    <row r="612" spans="1:20" ht="24" x14ac:dyDescent="0.25">
      <c r="A612" s="10">
        <v>46059</v>
      </c>
      <c r="B612" s="2" t="s">
        <v>1289</v>
      </c>
      <c r="C612" s="2" t="s">
        <v>1290</v>
      </c>
      <c r="D612" s="2" t="s">
        <v>1291</v>
      </c>
      <c r="E612" s="3" t="s">
        <v>692</v>
      </c>
      <c r="F612" s="4">
        <v>1021</v>
      </c>
      <c r="G612" s="4" t="s">
        <v>265</v>
      </c>
      <c r="H612" s="22" t="s">
        <v>828</v>
      </c>
      <c r="I612" s="22">
        <v>1021</v>
      </c>
      <c r="J612" s="22"/>
      <c r="K612" s="22">
        <f t="shared" si="8"/>
        <v>1021</v>
      </c>
      <c r="L612" s="17"/>
      <c r="M612" s="23" t="s">
        <v>41</v>
      </c>
      <c r="N612" s="1" t="s">
        <v>1292</v>
      </c>
      <c r="Q612" s="7" t="s">
        <v>81</v>
      </c>
      <c r="R612" s="7" t="s">
        <v>532</v>
      </c>
    </row>
    <row r="613" spans="1:20" x14ac:dyDescent="0.25">
      <c r="A613" s="10">
        <v>46059</v>
      </c>
      <c r="B613" s="2" t="s">
        <v>1289</v>
      </c>
      <c r="C613" s="2" t="s">
        <v>1290</v>
      </c>
      <c r="D613" s="2" t="s">
        <v>1291</v>
      </c>
      <c r="E613" s="3" t="s">
        <v>692</v>
      </c>
      <c r="G613" s="4" t="s">
        <v>48</v>
      </c>
      <c r="H613" s="22" t="s">
        <v>49</v>
      </c>
      <c r="I613" s="22"/>
      <c r="J613" s="22">
        <f>I612</f>
        <v>1021</v>
      </c>
      <c r="K613" s="22">
        <f t="shared" si="8"/>
        <v>1021</v>
      </c>
      <c r="L613" s="17"/>
    </row>
    <row r="614" spans="1:20" ht="24" x14ac:dyDescent="0.25">
      <c r="A614" s="10">
        <v>46059</v>
      </c>
      <c r="B614" s="2" t="s">
        <v>1293</v>
      </c>
      <c r="C614" s="2" t="s">
        <v>1294</v>
      </c>
      <c r="D614" s="2" t="s">
        <v>1295</v>
      </c>
      <c r="E614" s="3" t="s">
        <v>833</v>
      </c>
      <c r="F614" s="4">
        <v>20412.169999999998</v>
      </c>
      <c r="G614" s="4" t="s">
        <v>28</v>
      </c>
      <c r="H614" s="22" t="s">
        <v>834</v>
      </c>
      <c r="I614" s="22">
        <v>20412.169999999998</v>
      </c>
      <c r="J614" s="22"/>
      <c r="K614" s="22">
        <f t="shared" si="8"/>
        <v>20412.169999999998</v>
      </c>
      <c r="L614" s="32"/>
      <c r="M614" s="23" t="s">
        <v>41</v>
      </c>
      <c r="N614" s="1" t="s">
        <v>1296</v>
      </c>
    </row>
    <row r="615" spans="1:20" x14ac:dyDescent="0.25">
      <c r="A615" s="10">
        <v>46059</v>
      </c>
      <c r="B615" s="2" t="s">
        <v>1293</v>
      </c>
      <c r="C615" s="2" t="s">
        <v>1294</v>
      </c>
      <c r="D615" s="2" t="s">
        <v>1295</v>
      </c>
      <c r="E615" s="3" t="s">
        <v>833</v>
      </c>
      <c r="G615" s="4" t="s">
        <v>48</v>
      </c>
      <c r="H615" s="22" t="s">
        <v>49</v>
      </c>
      <c r="I615" s="22"/>
      <c r="J615" s="22">
        <f>I614</f>
        <v>20412.169999999998</v>
      </c>
      <c r="K615" s="22">
        <f t="shared" si="8"/>
        <v>20412.169999999998</v>
      </c>
      <c r="L615" s="32"/>
    </row>
    <row r="616" spans="1:20" x14ac:dyDescent="0.25">
      <c r="A616" s="10">
        <v>46062</v>
      </c>
      <c r="B616" s="2" t="s">
        <v>1297</v>
      </c>
      <c r="E616" s="3" t="s">
        <v>195</v>
      </c>
      <c r="F616" s="4">
        <v>300000</v>
      </c>
      <c r="G616" s="4" t="s">
        <v>167</v>
      </c>
      <c r="H616" s="22"/>
      <c r="I616" s="22"/>
      <c r="J616" s="22"/>
      <c r="K616" s="22">
        <f t="shared" si="8"/>
        <v>0</v>
      </c>
      <c r="L616" s="17"/>
      <c r="M616" s="23" t="s">
        <v>41</v>
      </c>
      <c r="N616" s="1" t="s">
        <v>1298</v>
      </c>
      <c r="O616" s="7" t="s">
        <v>313</v>
      </c>
      <c r="Q616" s="7">
        <v>2000000151</v>
      </c>
      <c r="R616" s="7" t="s">
        <v>1299</v>
      </c>
      <c r="S616" s="3" t="s">
        <v>1300</v>
      </c>
      <c r="T616" s="3" t="s">
        <v>1301</v>
      </c>
    </row>
    <row r="617" spans="1:20" x14ac:dyDescent="0.25">
      <c r="A617" s="10">
        <v>46062</v>
      </c>
      <c r="B617" s="2" t="s">
        <v>1302</v>
      </c>
      <c r="E617" s="3" t="s">
        <v>27</v>
      </c>
      <c r="F617" s="4">
        <v>1800000</v>
      </c>
      <c r="G617" s="4" t="s">
        <v>48</v>
      </c>
      <c r="H617" s="22"/>
      <c r="I617" s="22"/>
      <c r="J617" s="22"/>
      <c r="K617" s="22">
        <f t="shared" si="8"/>
        <v>0</v>
      </c>
      <c r="L617" s="17"/>
      <c r="M617" s="23" t="s">
        <v>41</v>
      </c>
      <c r="N617" s="1" t="s">
        <v>1303</v>
      </c>
    </row>
    <row r="618" spans="1:20" ht="24" x14ac:dyDescent="0.25">
      <c r="A618" s="10">
        <v>46062</v>
      </c>
      <c r="B618" s="2" t="s">
        <v>1304</v>
      </c>
      <c r="E618" s="3" t="s">
        <v>27</v>
      </c>
      <c r="F618" s="4">
        <v>961290</v>
      </c>
      <c r="G618" s="4" t="s">
        <v>48</v>
      </c>
      <c r="H618" s="34"/>
      <c r="I618" s="34"/>
      <c r="J618" s="34"/>
      <c r="K618" s="22">
        <f t="shared" si="8"/>
        <v>0</v>
      </c>
      <c r="L618" s="32"/>
      <c r="M618" s="23" t="s">
        <v>41</v>
      </c>
      <c r="N618" s="1" t="s">
        <v>1305</v>
      </c>
    </row>
    <row r="619" spans="1:20" ht="24" x14ac:dyDescent="0.25">
      <c r="A619" s="10">
        <v>46062</v>
      </c>
      <c r="B619" s="2" t="s">
        <v>1306</v>
      </c>
      <c r="E619" s="3" t="s">
        <v>27</v>
      </c>
      <c r="F619" s="4">
        <v>132240</v>
      </c>
      <c r="G619" s="4" t="s">
        <v>48</v>
      </c>
      <c r="H619" s="22"/>
      <c r="I619" s="22"/>
      <c r="J619" s="22"/>
      <c r="K619" s="22">
        <f t="shared" si="8"/>
        <v>0</v>
      </c>
      <c r="L619" s="17"/>
      <c r="M619" s="23" t="s">
        <v>41</v>
      </c>
      <c r="N619" s="1" t="s">
        <v>1305</v>
      </c>
    </row>
    <row r="620" spans="1:20" x14ac:dyDescent="0.25">
      <c r="A620" s="10">
        <v>46062</v>
      </c>
      <c r="B620" s="2" t="s">
        <v>1307</v>
      </c>
      <c r="E620" s="3" t="s">
        <v>467</v>
      </c>
      <c r="F620" s="4">
        <v>12000</v>
      </c>
      <c r="G620" s="4" t="s">
        <v>28</v>
      </c>
      <c r="H620" s="22" t="s">
        <v>781</v>
      </c>
      <c r="I620" s="22">
        <v>12000</v>
      </c>
      <c r="J620" s="22"/>
      <c r="K620" s="22">
        <f t="shared" si="8"/>
        <v>12000</v>
      </c>
      <c r="L620" s="17">
        <v>12000</v>
      </c>
      <c r="M620" s="23" t="s">
        <v>41</v>
      </c>
      <c r="N620" s="1" t="s">
        <v>1308</v>
      </c>
    </row>
    <row r="621" spans="1:20" x14ac:dyDescent="0.25">
      <c r="A621" s="10">
        <v>46062</v>
      </c>
      <c r="B621" s="2" t="s">
        <v>1307</v>
      </c>
      <c r="E621" s="3" t="s">
        <v>467</v>
      </c>
      <c r="G621" s="4" t="s">
        <v>48</v>
      </c>
      <c r="H621" s="22" t="s">
        <v>81</v>
      </c>
      <c r="I621" s="22"/>
      <c r="J621" s="22">
        <f>I620</f>
        <v>12000</v>
      </c>
      <c r="K621" s="22">
        <f t="shared" si="8"/>
        <v>12000</v>
      </c>
      <c r="L621" s="17"/>
    </row>
    <row r="622" spans="1:20" x14ac:dyDescent="0.25">
      <c r="A622" s="10">
        <v>46062</v>
      </c>
      <c r="B622" s="2" t="s">
        <v>1309</v>
      </c>
      <c r="E622" s="3" t="s">
        <v>934</v>
      </c>
      <c r="F622" s="4">
        <v>10530</v>
      </c>
      <c r="G622" s="4" t="s">
        <v>28</v>
      </c>
      <c r="H622" s="22" t="s">
        <v>802</v>
      </c>
      <c r="I622" s="22">
        <v>10530</v>
      </c>
      <c r="J622" s="22"/>
      <c r="K622" s="22">
        <f t="shared" si="8"/>
        <v>10530</v>
      </c>
      <c r="L622" s="17"/>
      <c r="M622" s="23" t="s">
        <v>41</v>
      </c>
      <c r="N622" s="1" t="s">
        <v>1310</v>
      </c>
    </row>
    <row r="623" spans="1:20" x14ac:dyDescent="0.25">
      <c r="A623" s="10">
        <v>46062</v>
      </c>
      <c r="B623" s="2" t="s">
        <v>1309</v>
      </c>
      <c r="E623" s="3" t="s">
        <v>934</v>
      </c>
      <c r="G623" s="4" t="s">
        <v>48</v>
      </c>
      <c r="H623" s="22" t="s">
        <v>81</v>
      </c>
      <c r="I623" s="22"/>
      <c r="J623" s="22">
        <v>10530</v>
      </c>
      <c r="K623" s="22">
        <f t="shared" ref="K623:K703" si="9">ABS(I623-J623)</f>
        <v>10530</v>
      </c>
      <c r="L623" s="17"/>
    </row>
    <row r="624" spans="1:20" ht="24" x14ac:dyDescent="0.25">
      <c r="A624" s="10">
        <v>46062</v>
      </c>
      <c r="B624" s="2" t="s">
        <v>1311</v>
      </c>
      <c r="E624" s="3" t="s">
        <v>1098</v>
      </c>
      <c r="F624" s="4">
        <v>22668</v>
      </c>
      <c r="G624" s="4" t="s">
        <v>110</v>
      </c>
      <c r="H624" s="22" t="s">
        <v>802</v>
      </c>
      <c r="I624" s="22">
        <v>22668</v>
      </c>
      <c r="J624" s="22"/>
      <c r="K624" s="22">
        <f t="shared" si="9"/>
        <v>22668</v>
      </c>
      <c r="L624" s="17"/>
      <c r="M624" s="23" t="s">
        <v>41</v>
      </c>
      <c r="N624" s="1" t="s">
        <v>1312</v>
      </c>
      <c r="Q624" s="7" t="s">
        <v>81</v>
      </c>
      <c r="R624" s="7" t="s">
        <v>532</v>
      </c>
    </row>
    <row r="625" spans="1:23" x14ac:dyDescent="0.25">
      <c r="A625" s="10">
        <v>46062</v>
      </c>
      <c r="B625" s="2" t="s">
        <v>1311</v>
      </c>
      <c r="E625" s="3" t="s">
        <v>1098</v>
      </c>
      <c r="G625" s="4" t="s">
        <v>48</v>
      </c>
      <c r="H625" s="22" t="s">
        <v>81</v>
      </c>
      <c r="I625" s="22"/>
      <c r="J625" s="22">
        <f>I624</f>
        <v>22668</v>
      </c>
      <c r="K625" s="22">
        <f t="shared" si="9"/>
        <v>22668</v>
      </c>
      <c r="L625" s="17"/>
    </row>
    <row r="626" spans="1:23" x14ac:dyDescent="0.25">
      <c r="A626" s="10">
        <v>46062</v>
      </c>
      <c r="B626" s="2" t="s">
        <v>1313</v>
      </c>
      <c r="E626" s="3" t="s">
        <v>1314</v>
      </c>
      <c r="F626" s="4">
        <v>20396.7</v>
      </c>
      <c r="G626" s="4" t="s">
        <v>48</v>
      </c>
      <c r="H626" s="22" t="s">
        <v>1315</v>
      </c>
      <c r="I626" s="22">
        <v>20396.7</v>
      </c>
      <c r="J626" s="22"/>
      <c r="K626" s="22">
        <f t="shared" si="9"/>
        <v>20396.7</v>
      </c>
      <c r="L626" s="17"/>
      <c r="M626" s="23" t="s">
        <v>41</v>
      </c>
      <c r="N626" s="1" t="s">
        <v>1316</v>
      </c>
    </row>
    <row r="627" spans="1:23" x14ac:dyDescent="0.25">
      <c r="A627" s="10">
        <v>46062</v>
      </c>
      <c r="B627" s="2" t="s">
        <v>1313</v>
      </c>
      <c r="E627" s="3" t="s">
        <v>1314</v>
      </c>
      <c r="G627" s="4" t="s">
        <v>48</v>
      </c>
      <c r="H627" s="22" t="s">
        <v>81</v>
      </c>
      <c r="I627" s="22"/>
      <c r="J627" s="22">
        <f>I626</f>
        <v>20396.7</v>
      </c>
      <c r="K627" s="22">
        <f t="shared" si="9"/>
        <v>20396.7</v>
      </c>
      <c r="L627" s="17"/>
    </row>
    <row r="628" spans="1:23" ht="24" x14ac:dyDescent="0.25">
      <c r="A628" s="10">
        <v>46062</v>
      </c>
      <c r="B628" s="2" t="s">
        <v>1317</v>
      </c>
      <c r="C628" s="2">
        <v>927404116</v>
      </c>
      <c r="D628" s="2" t="s">
        <v>1318</v>
      </c>
      <c r="E628" s="3" t="s">
        <v>1319</v>
      </c>
      <c r="F628" s="4">
        <f>9596+7</f>
        <v>9603</v>
      </c>
      <c r="G628" s="4" t="s">
        <v>48</v>
      </c>
      <c r="H628" s="22" t="s">
        <v>1320</v>
      </c>
      <c r="I628" s="22">
        <v>9596</v>
      </c>
      <c r="J628" s="22"/>
      <c r="K628" s="22">
        <f t="shared" si="9"/>
        <v>9596</v>
      </c>
      <c r="L628" s="17">
        <v>9603</v>
      </c>
      <c r="M628" s="23" t="s">
        <v>41</v>
      </c>
      <c r="N628" s="1" t="s">
        <v>1321</v>
      </c>
      <c r="O628" s="7" t="s">
        <v>1322</v>
      </c>
      <c r="P628" s="7" t="s">
        <v>1323</v>
      </c>
      <c r="R628" s="7" t="s">
        <v>1324</v>
      </c>
      <c r="S628" s="3" t="s">
        <v>83</v>
      </c>
      <c r="T628" s="3" t="s">
        <v>1325</v>
      </c>
      <c r="U628" s="8" t="s">
        <v>1326</v>
      </c>
    </row>
    <row r="629" spans="1:23" x14ac:dyDescent="0.25">
      <c r="A629" s="10">
        <v>46062</v>
      </c>
      <c r="B629" s="2" t="s">
        <v>1317</v>
      </c>
      <c r="C629" s="2">
        <v>927404116</v>
      </c>
      <c r="D629" s="2" t="s">
        <v>1318</v>
      </c>
      <c r="E629" s="3" t="s">
        <v>1319</v>
      </c>
      <c r="G629" s="4" t="s">
        <v>48</v>
      </c>
      <c r="H629" s="22" t="s">
        <v>47</v>
      </c>
      <c r="I629" s="22">
        <v>7</v>
      </c>
      <c r="J629" s="22"/>
      <c r="K629" s="22">
        <f t="shared" si="9"/>
        <v>7</v>
      </c>
      <c r="L629" s="17"/>
      <c r="M629" s="23"/>
    </row>
    <row r="630" spans="1:23" x14ac:dyDescent="0.25">
      <c r="A630" s="10">
        <v>46062</v>
      </c>
      <c r="B630" s="2" t="s">
        <v>1317</v>
      </c>
      <c r="C630" s="2">
        <v>927404116</v>
      </c>
      <c r="D630" s="2" t="s">
        <v>1318</v>
      </c>
      <c r="E630" s="3" t="s">
        <v>1319</v>
      </c>
      <c r="G630" s="4" t="s">
        <v>48</v>
      </c>
      <c r="H630" s="22" t="s">
        <v>49</v>
      </c>
      <c r="I630" s="22"/>
      <c r="J630" s="22">
        <f>I628+I629</f>
        <v>9603</v>
      </c>
      <c r="K630" s="22">
        <f t="shared" si="9"/>
        <v>9603</v>
      </c>
      <c r="L630" s="17"/>
      <c r="M630" s="23"/>
    </row>
    <row r="631" spans="1:23" ht="24" x14ac:dyDescent="0.25">
      <c r="A631" s="10">
        <v>46062</v>
      </c>
      <c r="B631" s="2" t="s">
        <v>1327</v>
      </c>
      <c r="C631" s="2">
        <v>929950485</v>
      </c>
      <c r="D631" s="2" t="s">
        <v>1318</v>
      </c>
      <c r="E631" s="3" t="s">
        <v>1319</v>
      </c>
      <c r="F631" s="4">
        <f>2549+20+7</f>
        <v>2576</v>
      </c>
      <c r="G631" s="3" t="s">
        <v>110</v>
      </c>
      <c r="H631" s="22" t="s">
        <v>1320</v>
      </c>
      <c r="I631" s="22">
        <v>2549</v>
      </c>
      <c r="J631" s="22"/>
      <c r="K631" s="22">
        <f>ABS(I631-J631)</f>
        <v>2549</v>
      </c>
      <c r="L631" s="17">
        <v>2576</v>
      </c>
      <c r="M631" s="23" t="s">
        <v>41</v>
      </c>
      <c r="N631" s="1" t="s">
        <v>1328</v>
      </c>
      <c r="O631" s="7" t="s">
        <v>1322</v>
      </c>
      <c r="P631" s="7" t="s">
        <v>1323</v>
      </c>
      <c r="R631" s="7" t="s">
        <v>1324</v>
      </c>
      <c r="S631" s="3" t="s">
        <v>83</v>
      </c>
      <c r="T631" s="3" t="s">
        <v>1325</v>
      </c>
      <c r="U631" s="8" t="s">
        <v>1329</v>
      </c>
    </row>
    <row r="632" spans="1:23" x14ac:dyDescent="0.25">
      <c r="A632" s="10">
        <v>46062</v>
      </c>
      <c r="B632" s="2" t="s">
        <v>1327</v>
      </c>
      <c r="C632" s="2">
        <v>929950485</v>
      </c>
      <c r="D632" s="2" t="s">
        <v>1318</v>
      </c>
      <c r="E632" s="3" t="s">
        <v>1319</v>
      </c>
      <c r="G632" s="3" t="s">
        <v>110</v>
      </c>
      <c r="H632" s="22" t="s">
        <v>47</v>
      </c>
      <c r="I632" s="22">
        <v>27</v>
      </c>
      <c r="J632" s="22"/>
      <c r="K632" s="22">
        <f>ABS(I632-J632)</f>
        <v>27</v>
      </c>
      <c r="L632" s="32"/>
      <c r="M632" s="23"/>
    </row>
    <row r="633" spans="1:23" x14ac:dyDescent="0.25">
      <c r="A633" s="10">
        <v>46062</v>
      </c>
      <c r="B633" s="2" t="s">
        <v>1327</v>
      </c>
      <c r="C633" s="2">
        <v>929950485</v>
      </c>
      <c r="D633" s="2" t="s">
        <v>1318</v>
      </c>
      <c r="E633" s="3" t="s">
        <v>1319</v>
      </c>
      <c r="G633" s="4" t="s">
        <v>48</v>
      </c>
      <c r="H633" s="22" t="s">
        <v>49</v>
      </c>
      <c r="I633" s="22"/>
      <c r="J633" s="22">
        <f>I631+I632</f>
        <v>2576</v>
      </c>
      <c r="K633" s="22">
        <f>ABS(I633-J633)</f>
        <v>2576</v>
      </c>
      <c r="L633" s="32"/>
      <c r="M633" s="23"/>
    </row>
    <row r="634" spans="1:23" ht="24" x14ac:dyDescent="0.25">
      <c r="A634" s="10">
        <v>46062</v>
      </c>
      <c r="B634" s="2" t="s">
        <v>1330</v>
      </c>
      <c r="C634" s="2" t="s">
        <v>1331</v>
      </c>
      <c r="D634" s="2" t="s">
        <v>1332</v>
      </c>
      <c r="E634" s="3" t="s">
        <v>1333</v>
      </c>
      <c r="F634" s="4">
        <v>5360.39</v>
      </c>
      <c r="G634" s="4" t="s">
        <v>98</v>
      </c>
      <c r="H634" s="22" t="s">
        <v>1320</v>
      </c>
      <c r="I634" s="22">
        <f>5360.39/2</f>
        <v>2680.1950000000002</v>
      </c>
      <c r="J634" s="22"/>
      <c r="K634" s="22">
        <f t="shared" si="9"/>
        <v>2680.1950000000002</v>
      </c>
      <c r="L634" s="17">
        <v>5360.39</v>
      </c>
      <c r="M634" s="23" t="s">
        <v>41</v>
      </c>
      <c r="N634" s="1" t="s">
        <v>1334</v>
      </c>
      <c r="O634" s="7" t="s">
        <v>1335</v>
      </c>
      <c r="P634" s="7" t="s">
        <v>81</v>
      </c>
      <c r="R634" s="7" t="s">
        <v>532</v>
      </c>
      <c r="S634" s="3" t="s">
        <v>83</v>
      </c>
      <c r="T634" s="3" t="s">
        <v>1336</v>
      </c>
      <c r="U634" s="8" t="s">
        <v>1337</v>
      </c>
    </row>
    <row r="635" spans="1:23" x14ac:dyDescent="0.25">
      <c r="A635" s="10">
        <v>46062</v>
      </c>
      <c r="B635" s="2" t="s">
        <v>1330</v>
      </c>
      <c r="C635" s="2" t="s">
        <v>1331</v>
      </c>
      <c r="D635" s="2" t="s">
        <v>1332</v>
      </c>
      <c r="E635" s="3" t="s">
        <v>1333</v>
      </c>
      <c r="G635" s="4" t="s">
        <v>262</v>
      </c>
      <c r="H635" s="22" t="s">
        <v>1320</v>
      </c>
      <c r="I635" s="22">
        <f>5360.39/2</f>
        <v>2680.1950000000002</v>
      </c>
      <c r="J635" s="22"/>
      <c r="K635" s="22">
        <f t="shared" si="9"/>
        <v>2680.1950000000002</v>
      </c>
      <c r="L635" s="17"/>
      <c r="M635" s="23"/>
    </row>
    <row r="636" spans="1:23" x14ac:dyDescent="0.25">
      <c r="A636" s="10">
        <v>46062</v>
      </c>
      <c r="B636" s="2" t="s">
        <v>1330</v>
      </c>
      <c r="C636" s="2" t="s">
        <v>1331</v>
      </c>
      <c r="D636" s="2" t="s">
        <v>1332</v>
      </c>
      <c r="E636" s="3" t="s">
        <v>1333</v>
      </c>
      <c r="G636" s="4" t="s">
        <v>48</v>
      </c>
      <c r="H636" s="22" t="s">
        <v>49</v>
      </c>
      <c r="I636" s="22"/>
      <c r="J636" s="22">
        <f>I634+I635</f>
        <v>5360.39</v>
      </c>
      <c r="K636" s="22">
        <f t="shared" si="9"/>
        <v>5360.39</v>
      </c>
      <c r="L636" s="17"/>
      <c r="M636" s="23"/>
    </row>
    <row r="637" spans="1:23" ht="24" x14ac:dyDescent="0.25">
      <c r="A637" s="10">
        <v>46062</v>
      </c>
      <c r="B637" s="2" t="s">
        <v>1338</v>
      </c>
      <c r="C637" s="2" t="s">
        <v>95</v>
      </c>
      <c r="D637" s="2" t="s">
        <v>1339</v>
      </c>
      <c r="E637" s="3" t="s">
        <v>472</v>
      </c>
      <c r="F637" s="4">
        <f>30000+18000</f>
        <v>48000</v>
      </c>
      <c r="G637" s="4" t="s">
        <v>1030</v>
      </c>
      <c r="H637" s="22"/>
      <c r="I637" s="22"/>
      <c r="J637" s="22"/>
      <c r="K637" s="22">
        <f t="shared" si="9"/>
        <v>0</v>
      </c>
      <c r="L637" s="17">
        <v>48000</v>
      </c>
      <c r="M637" s="23" t="s">
        <v>41</v>
      </c>
      <c r="N637" s="1" t="s">
        <v>1340</v>
      </c>
      <c r="W637" s="9" t="s">
        <v>1341</v>
      </c>
    </row>
    <row r="638" spans="1:23" x14ac:dyDescent="0.25">
      <c r="A638" s="10">
        <v>46062</v>
      </c>
      <c r="B638" s="2" t="s">
        <v>1342</v>
      </c>
      <c r="C638" s="2" t="s">
        <v>1343</v>
      </c>
      <c r="D638" s="2" t="s">
        <v>1344</v>
      </c>
      <c r="E638" s="3" t="s">
        <v>109</v>
      </c>
      <c r="F638" s="4">
        <v>19100</v>
      </c>
      <c r="G638" s="4" t="s">
        <v>110</v>
      </c>
      <c r="H638" s="22" t="s">
        <v>40</v>
      </c>
      <c r="I638" s="22">
        <v>19100</v>
      </c>
      <c r="J638" s="22"/>
      <c r="K638" s="22">
        <f t="shared" si="9"/>
        <v>19100</v>
      </c>
      <c r="L638" s="17"/>
      <c r="M638" s="6" t="s">
        <v>581</v>
      </c>
      <c r="N638" s="1" t="s">
        <v>1345</v>
      </c>
      <c r="O638" s="7" t="s">
        <v>1346</v>
      </c>
    </row>
    <row r="639" spans="1:23" x14ac:dyDescent="0.25">
      <c r="A639" s="10">
        <v>46062</v>
      </c>
      <c r="B639" s="2" t="s">
        <v>1342</v>
      </c>
      <c r="C639" s="2" t="s">
        <v>1343</v>
      </c>
      <c r="D639" s="2" t="s">
        <v>1344</v>
      </c>
      <c r="E639" s="3" t="s">
        <v>109</v>
      </c>
      <c r="G639" s="4" t="s">
        <v>48</v>
      </c>
      <c r="H639" s="22" t="s">
        <v>49</v>
      </c>
      <c r="I639" s="22"/>
      <c r="J639" s="22">
        <f>I638</f>
        <v>19100</v>
      </c>
      <c r="K639" s="22">
        <f t="shared" si="9"/>
        <v>19100</v>
      </c>
      <c r="L639" s="17"/>
    </row>
    <row r="640" spans="1:23" ht="24" x14ac:dyDescent="0.25">
      <c r="A640" s="10">
        <v>46062</v>
      </c>
      <c r="B640" s="2" t="s">
        <v>1347</v>
      </c>
      <c r="C640" s="2" t="s">
        <v>1348</v>
      </c>
      <c r="D640" s="2" t="s">
        <v>1349</v>
      </c>
      <c r="E640" s="3" t="s">
        <v>1350</v>
      </c>
      <c r="F640" s="4">
        <f>(9000/1.12)+(9000/1.12*0.12)-(9000/1.12*0.01)</f>
        <v>8919.6428571428569</v>
      </c>
      <c r="G640" s="4" t="s">
        <v>98</v>
      </c>
      <c r="H640" s="22" t="s">
        <v>40</v>
      </c>
      <c r="I640" s="22">
        <f>9000/1.12</f>
        <v>8035.7142857142853</v>
      </c>
      <c r="J640" s="22"/>
      <c r="K640" s="22">
        <f t="shared" si="9"/>
        <v>8035.7142857142853</v>
      </c>
      <c r="L640" s="17">
        <v>8919.64</v>
      </c>
      <c r="M640" s="23" t="s">
        <v>41</v>
      </c>
      <c r="N640" s="1" t="s">
        <v>1351</v>
      </c>
      <c r="O640" s="7" t="s">
        <v>116</v>
      </c>
      <c r="Q640" s="7" t="s">
        <v>81</v>
      </c>
      <c r="R640" s="7" t="s">
        <v>1352</v>
      </c>
      <c r="S640" s="3" t="s">
        <v>83</v>
      </c>
      <c r="T640" s="3" t="s">
        <v>1353</v>
      </c>
    </row>
    <row r="641" spans="1:20" x14ac:dyDescent="0.25">
      <c r="A641" s="10">
        <v>46062</v>
      </c>
      <c r="B641" s="2" t="s">
        <v>1347</v>
      </c>
      <c r="C641" s="2" t="s">
        <v>1348</v>
      </c>
      <c r="D641" s="2" t="s">
        <v>1349</v>
      </c>
      <c r="E641" s="3" t="s">
        <v>1350</v>
      </c>
      <c r="G641" s="4" t="s">
        <v>98</v>
      </c>
      <c r="H641" s="22" t="s">
        <v>104</v>
      </c>
      <c r="I641" s="22">
        <f>I640*0.12</f>
        <v>964.28571428571422</v>
      </c>
      <c r="J641" s="22"/>
      <c r="K641" s="22">
        <f t="shared" si="9"/>
        <v>964.28571428571422</v>
      </c>
      <c r="L641" s="17"/>
    </row>
    <row r="642" spans="1:20" x14ac:dyDescent="0.25">
      <c r="A642" s="10">
        <v>46062</v>
      </c>
      <c r="B642" s="2" t="s">
        <v>1347</v>
      </c>
      <c r="C642" s="2" t="s">
        <v>1348</v>
      </c>
      <c r="D642" s="2" t="s">
        <v>1349</v>
      </c>
      <c r="E642" s="3" t="s">
        <v>1350</v>
      </c>
      <c r="G642" s="4" t="s">
        <v>98</v>
      </c>
      <c r="H642" s="22" t="s">
        <v>105</v>
      </c>
      <c r="I642" s="22"/>
      <c r="J642" s="22">
        <f>I640*0.01</f>
        <v>80.357142857142861</v>
      </c>
      <c r="K642" s="22">
        <f t="shared" si="9"/>
        <v>80.357142857142861</v>
      </c>
      <c r="L642" s="17"/>
    </row>
    <row r="643" spans="1:20" x14ac:dyDescent="0.25">
      <c r="A643" s="10">
        <v>46062</v>
      </c>
      <c r="B643" s="2" t="s">
        <v>1347</v>
      </c>
      <c r="C643" s="2" t="s">
        <v>1348</v>
      </c>
      <c r="D643" s="2" t="s">
        <v>1349</v>
      </c>
      <c r="E643" s="3" t="s">
        <v>1350</v>
      </c>
      <c r="G643" s="4" t="s">
        <v>48</v>
      </c>
      <c r="H643" s="22" t="s">
        <v>49</v>
      </c>
      <c r="I643" s="22"/>
      <c r="J643" s="22">
        <f>I640+I641-J642</f>
        <v>8919.6428571428569</v>
      </c>
      <c r="K643" s="22">
        <f t="shared" si="9"/>
        <v>8919.6428571428569</v>
      </c>
      <c r="L643" s="17"/>
    </row>
    <row r="644" spans="1:20" ht="36" x14ac:dyDescent="0.25">
      <c r="A644" s="10">
        <v>46062</v>
      </c>
      <c r="B644" s="2" t="s">
        <v>1354</v>
      </c>
      <c r="C644" s="2" t="s">
        <v>1355</v>
      </c>
      <c r="D644" s="2" t="s">
        <v>1349</v>
      </c>
      <c r="E644" s="3" t="s">
        <v>717</v>
      </c>
      <c r="F644" s="4">
        <f>(2065.1/1.12)+(2065.1/1.12*0.12)-(2065.1/1.12*0.01)</f>
        <v>2046.6616071428571</v>
      </c>
      <c r="G644" s="4" t="s">
        <v>98</v>
      </c>
      <c r="H644" s="22" t="s">
        <v>40</v>
      </c>
      <c r="I644" s="22">
        <f>2065.1/1.12</f>
        <v>1843.8392857142856</v>
      </c>
      <c r="J644" s="22"/>
      <c r="K644" s="22">
        <f t="shared" si="9"/>
        <v>1843.8392857142856</v>
      </c>
      <c r="L644" s="17">
        <v>2046.66</v>
      </c>
      <c r="M644" s="23" t="s">
        <v>41</v>
      </c>
      <c r="N644" s="1" t="s">
        <v>1356</v>
      </c>
      <c r="O644" s="7" t="s">
        <v>116</v>
      </c>
      <c r="Q644" s="7" t="s">
        <v>81</v>
      </c>
      <c r="R644" s="7" t="s">
        <v>1352</v>
      </c>
      <c r="S644" s="3" t="s">
        <v>83</v>
      </c>
      <c r="T644" s="3" t="s">
        <v>1353</v>
      </c>
    </row>
    <row r="645" spans="1:20" x14ac:dyDescent="0.25">
      <c r="A645" s="10">
        <v>46062</v>
      </c>
      <c r="B645" s="2" t="s">
        <v>1354</v>
      </c>
      <c r="C645" s="2" t="s">
        <v>1355</v>
      </c>
      <c r="D645" s="2" t="s">
        <v>1349</v>
      </c>
      <c r="E645" s="3" t="s">
        <v>717</v>
      </c>
      <c r="G645" s="4" t="s">
        <v>98</v>
      </c>
      <c r="H645" s="22" t="s">
        <v>104</v>
      </c>
      <c r="I645" s="22">
        <f>I644*0.12</f>
        <v>221.26071428571427</v>
      </c>
      <c r="J645" s="22"/>
      <c r="K645" s="22">
        <f t="shared" si="9"/>
        <v>221.26071428571427</v>
      </c>
      <c r="L645" s="17"/>
    </row>
    <row r="646" spans="1:20" x14ac:dyDescent="0.25">
      <c r="A646" s="10">
        <v>46062</v>
      </c>
      <c r="B646" s="2" t="s">
        <v>1354</v>
      </c>
      <c r="C646" s="2" t="s">
        <v>1355</v>
      </c>
      <c r="D646" s="2" t="s">
        <v>1349</v>
      </c>
      <c r="E646" s="3" t="s">
        <v>717</v>
      </c>
      <c r="G646" s="4" t="s">
        <v>98</v>
      </c>
      <c r="H646" s="22" t="s">
        <v>105</v>
      </c>
      <c r="I646" s="22"/>
      <c r="J646" s="22">
        <f>I644*0.01</f>
        <v>18.438392857142855</v>
      </c>
      <c r="K646" s="22">
        <f t="shared" si="9"/>
        <v>18.438392857142855</v>
      </c>
      <c r="L646" s="17"/>
    </row>
    <row r="647" spans="1:20" x14ac:dyDescent="0.25">
      <c r="A647" s="10">
        <v>46062</v>
      </c>
      <c r="B647" s="2" t="s">
        <v>1354</v>
      </c>
      <c r="C647" s="2" t="s">
        <v>1355</v>
      </c>
      <c r="D647" s="2" t="s">
        <v>1349</v>
      </c>
      <c r="E647" s="3" t="s">
        <v>717</v>
      </c>
      <c r="G647" s="4" t="s">
        <v>48</v>
      </c>
      <c r="H647" s="22" t="s">
        <v>49</v>
      </c>
      <c r="I647" s="22"/>
      <c r="J647" s="22">
        <f>I644+I645-J646</f>
        <v>2046.6616071428571</v>
      </c>
      <c r="K647" s="22">
        <f t="shared" si="9"/>
        <v>2046.6616071428571</v>
      </c>
      <c r="L647" s="17"/>
    </row>
    <row r="648" spans="1:20" ht="24" x14ac:dyDescent="0.25">
      <c r="A648" s="10">
        <v>46062</v>
      </c>
      <c r="B648" s="2" t="s">
        <v>1357</v>
      </c>
      <c r="C648" s="2" t="s">
        <v>38</v>
      </c>
      <c r="E648" s="3" t="s">
        <v>39</v>
      </c>
      <c r="F648" s="4">
        <f>904403.1+2228.7</f>
        <v>906631.79999999993</v>
      </c>
      <c r="G648" s="4" t="s">
        <v>28</v>
      </c>
      <c r="H648" s="22"/>
      <c r="I648" s="22"/>
      <c r="J648" s="22"/>
      <c r="K648" s="22">
        <f t="shared" si="9"/>
        <v>0</v>
      </c>
      <c r="L648" s="17"/>
      <c r="M648" s="23" t="s">
        <v>41</v>
      </c>
      <c r="N648" s="1" t="s">
        <v>1358</v>
      </c>
    </row>
    <row r="649" spans="1:20" ht="24" x14ac:dyDescent="0.25">
      <c r="A649" s="10">
        <v>46062</v>
      </c>
      <c r="B649" s="2" t="s">
        <v>1359</v>
      </c>
      <c r="C649" s="2" t="s">
        <v>38</v>
      </c>
      <c r="E649" s="3" t="s">
        <v>39</v>
      </c>
      <c r="F649" s="4">
        <f>126927.6+2228.7</f>
        <v>129156.3</v>
      </c>
      <c r="G649" s="4" t="s">
        <v>28</v>
      </c>
      <c r="H649" s="34"/>
      <c r="I649" s="34"/>
      <c r="J649" s="34"/>
      <c r="K649" s="22">
        <f t="shared" si="9"/>
        <v>0</v>
      </c>
      <c r="L649" s="32"/>
      <c r="M649" s="23" t="s">
        <v>41</v>
      </c>
      <c r="N649" s="1" t="s">
        <v>1360</v>
      </c>
    </row>
    <row r="650" spans="1:20" x14ac:dyDescent="0.25">
      <c r="A650" s="10">
        <v>46063</v>
      </c>
      <c r="B650" s="2" t="s">
        <v>1361</v>
      </c>
      <c r="E650" s="3" t="s">
        <v>1082</v>
      </c>
      <c r="F650" s="4">
        <v>3000</v>
      </c>
      <c r="G650" s="4" t="s">
        <v>48</v>
      </c>
      <c r="H650" s="22"/>
      <c r="I650" s="22"/>
      <c r="J650" s="22"/>
      <c r="K650" s="22">
        <f t="shared" si="9"/>
        <v>0</v>
      </c>
      <c r="L650" s="17"/>
      <c r="M650" s="23" t="s">
        <v>41</v>
      </c>
      <c r="N650" s="1" t="s">
        <v>1362</v>
      </c>
      <c r="Q650" s="25"/>
    </row>
    <row r="651" spans="1:20" ht="36" x14ac:dyDescent="0.25">
      <c r="A651" s="10">
        <v>46063</v>
      </c>
      <c r="B651" s="2" t="s">
        <v>1363</v>
      </c>
      <c r="C651" s="2" t="s">
        <v>95</v>
      </c>
      <c r="D651" s="2" t="s">
        <v>1364</v>
      </c>
      <c r="E651" s="3" t="s">
        <v>149</v>
      </c>
      <c r="F651" s="4">
        <v>8000</v>
      </c>
      <c r="G651" s="4" t="s">
        <v>48</v>
      </c>
      <c r="H651" s="22" t="s">
        <v>78</v>
      </c>
      <c r="I651" s="22">
        <v>8000</v>
      </c>
      <c r="J651" s="22"/>
      <c r="K651" s="22">
        <f t="shared" si="9"/>
        <v>8000</v>
      </c>
      <c r="L651" s="17"/>
      <c r="M651" s="6" t="s">
        <v>581</v>
      </c>
      <c r="N651" s="1" t="s">
        <v>1365</v>
      </c>
    </row>
    <row r="652" spans="1:20" x14ac:dyDescent="0.25">
      <c r="A652" s="10">
        <v>46063</v>
      </c>
      <c r="B652" s="2" t="s">
        <v>1363</v>
      </c>
      <c r="C652" s="2" t="s">
        <v>95</v>
      </c>
      <c r="D652" s="2" t="s">
        <v>1364</v>
      </c>
      <c r="E652" s="3" t="s">
        <v>149</v>
      </c>
      <c r="G652" s="4" t="s">
        <v>48</v>
      </c>
      <c r="H652" s="22" t="s">
        <v>49</v>
      </c>
      <c r="I652" s="22"/>
      <c r="J652" s="22">
        <f>I651</f>
        <v>8000</v>
      </c>
      <c r="K652" s="22">
        <f t="shared" si="9"/>
        <v>8000</v>
      </c>
      <c r="L652" s="17"/>
    </row>
    <row r="653" spans="1:20" ht="24" x14ac:dyDescent="0.25">
      <c r="A653" s="10">
        <v>46063</v>
      </c>
      <c r="B653" s="2" t="s">
        <v>1366</v>
      </c>
      <c r="C653" s="2" t="s">
        <v>95</v>
      </c>
      <c r="D653" s="2" t="s">
        <v>1367</v>
      </c>
      <c r="E653" s="3" t="s">
        <v>136</v>
      </c>
      <c r="F653" s="4">
        <v>5000</v>
      </c>
      <c r="G653" s="4" t="s">
        <v>48</v>
      </c>
      <c r="H653" s="22" t="s">
        <v>78</v>
      </c>
      <c r="I653" s="22">
        <v>2500</v>
      </c>
      <c r="J653" s="22"/>
      <c r="K653" s="22">
        <f t="shared" si="9"/>
        <v>2500</v>
      </c>
      <c r="L653" s="17">
        <v>5000</v>
      </c>
      <c r="M653" s="23" t="s">
        <v>41</v>
      </c>
      <c r="N653" s="1" t="s">
        <v>1368</v>
      </c>
    </row>
    <row r="654" spans="1:20" x14ac:dyDescent="0.25">
      <c r="A654" s="10">
        <v>46063</v>
      </c>
      <c r="B654" s="2" t="s">
        <v>1366</v>
      </c>
      <c r="C654" s="2" t="s">
        <v>95</v>
      </c>
      <c r="D654" s="2" t="s">
        <v>1367</v>
      </c>
      <c r="E654" s="3" t="s">
        <v>136</v>
      </c>
      <c r="G654" s="4" t="s">
        <v>98</v>
      </c>
      <c r="H654" s="22" t="s">
        <v>78</v>
      </c>
      <c r="I654" s="22">
        <v>2500</v>
      </c>
      <c r="J654" s="22"/>
      <c r="K654" s="22">
        <f t="shared" si="9"/>
        <v>2500</v>
      </c>
      <c r="L654" s="17"/>
    </row>
    <row r="655" spans="1:20" x14ac:dyDescent="0.25">
      <c r="A655" s="10">
        <v>46063</v>
      </c>
      <c r="B655" s="2" t="s">
        <v>1366</v>
      </c>
      <c r="C655" s="2" t="s">
        <v>95</v>
      </c>
      <c r="D655" s="2" t="s">
        <v>1367</v>
      </c>
      <c r="E655" s="3" t="s">
        <v>136</v>
      </c>
      <c r="G655" s="4" t="s">
        <v>48</v>
      </c>
      <c r="H655" s="22" t="s">
        <v>49</v>
      </c>
      <c r="I655" s="22"/>
      <c r="J655" s="22">
        <f>I653+I654</f>
        <v>5000</v>
      </c>
      <c r="K655" s="22">
        <f t="shared" si="9"/>
        <v>5000</v>
      </c>
      <c r="L655" s="17"/>
    </row>
    <row r="656" spans="1:20" ht="24" x14ac:dyDescent="0.25">
      <c r="A656" s="10">
        <v>46063</v>
      </c>
      <c r="B656" s="2" t="s">
        <v>1369</v>
      </c>
      <c r="C656" s="2" t="s">
        <v>1370</v>
      </c>
      <c r="D656" s="2" t="s">
        <v>1217</v>
      </c>
      <c r="E656" s="3" t="s">
        <v>114</v>
      </c>
      <c r="F656" s="4">
        <f>13200-(13200*0.05)</f>
        <v>12540</v>
      </c>
      <c r="G656" s="4" t="s">
        <v>110</v>
      </c>
      <c r="H656" s="22"/>
      <c r="I656" s="22"/>
      <c r="J656" s="22"/>
      <c r="K656" s="22">
        <f t="shared" si="9"/>
        <v>0</v>
      </c>
      <c r="L656" s="17"/>
      <c r="M656" s="23" t="s">
        <v>41</v>
      </c>
      <c r="N656" s="1" t="s">
        <v>1371</v>
      </c>
    </row>
    <row r="657" spans="1:16" ht="36" x14ac:dyDescent="0.25">
      <c r="A657" s="10">
        <v>46063</v>
      </c>
      <c r="B657" s="2" t="s">
        <v>1372</v>
      </c>
      <c r="C657" s="2" t="s">
        <v>1373</v>
      </c>
      <c r="D657" s="2" t="s">
        <v>1374</v>
      </c>
      <c r="E657" s="3" t="s">
        <v>109</v>
      </c>
      <c r="F657" s="4">
        <v>373</v>
      </c>
      <c r="G657" s="4" t="s">
        <v>128</v>
      </c>
      <c r="H657" s="22"/>
      <c r="I657" s="22"/>
      <c r="J657" s="22"/>
      <c r="K657" s="22">
        <f t="shared" si="9"/>
        <v>0</v>
      </c>
      <c r="L657" s="17"/>
      <c r="M657" s="23" t="s">
        <v>41</v>
      </c>
      <c r="N657" s="1" t="s">
        <v>1375</v>
      </c>
      <c r="O657" s="45"/>
      <c r="P657" s="45"/>
    </row>
    <row r="658" spans="1:16" ht="24" x14ac:dyDescent="0.25">
      <c r="A658" s="10">
        <v>46063</v>
      </c>
      <c r="B658" s="2" t="s">
        <v>1376</v>
      </c>
      <c r="C658" s="2" t="s">
        <v>1377</v>
      </c>
      <c r="D658" s="2" t="s">
        <v>1378</v>
      </c>
      <c r="E658" s="3" t="s">
        <v>1174</v>
      </c>
      <c r="F658" s="4">
        <v>105</v>
      </c>
      <c r="G658" s="4" t="s">
        <v>128</v>
      </c>
      <c r="H658" s="22"/>
      <c r="I658" s="22"/>
      <c r="J658" s="22"/>
      <c r="K658" s="22">
        <f t="shared" si="9"/>
        <v>0</v>
      </c>
      <c r="L658" s="17"/>
      <c r="M658" s="23" t="s">
        <v>41</v>
      </c>
      <c r="N658" s="1" t="s">
        <v>1379</v>
      </c>
    </row>
    <row r="659" spans="1:16" ht="24" x14ac:dyDescent="0.25">
      <c r="A659" s="10">
        <v>46063</v>
      </c>
      <c r="B659" s="2" t="s">
        <v>1380</v>
      </c>
      <c r="C659" s="2" t="s">
        <v>95</v>
      </c>
      <c r="D659" s="2" t="s">
        <v>1381</v>
      </c>
      <c r="E659" s="3" t="s">
        <v>1382</v>
      </c>
      <c r="F659" s="4">
        <v>159850</v>
      </c>
      <c r="G659" s="4" t="s">
        <v>167</v>
      </c>
      <c r="H659" s="22" t="s">
        <v>809</v>
      </c>
      <c r="I659" s="22">
        <v>159850</v>
      </c>
      <c r="J659" s="22"/>
      <c r="K659" s="22">
        <f t="shared" si="9"/>
        <v>159850</v>
      </c>
      <c r="L659" s="17"/>
      <c r="M659" s="6" t="s">
        <v>581</v>
      </c>
      <c r="N659" s="1" t="s">
        <v>1383</v>
      </c>
    </row>
    <row r="660" spans="1:16" x14ac:dyDescent="0.25">
      <c r="A660" s="10">
        <v>46063</v>
      </c>
      <c r="B660" s="2" t="s">
        <v>1380</v>
      </c>
      <c r="C660" s="2" t="s">
        <v>95</v>
      </c>
      <c r="D660" s="2" t="s">
        <v>1381</v>
      </c>
      <c r="E660" s="3" t="s">
        <v>1382</v>
      </c>
      <c r="G660" s="4" t="s">
        <v>48</v>
      </c>
      <c r="H660" s="22" t="s">
        <v>49</v>
      </c>
      <c r="I660" s="22"/>
      <c r="J660" s="22">
        <f>I659</f>
        <v>159850</v>
      </c>
      <c r="K660" s="22">
        <f t="shared" si="9"/>
        <v>159850</v>
      </c>
      <c r="L660" s="17"/>
    </row>
    <row r="661" spans="1:16" ht="24" x14ac:dyDescent="0.25">
      <c r="A661" s="10">
        <v>46063</v>
      </c>
      <c r="B661" s="2" t="s">
        <v>1384</v>
      </c>
      <c r="D661" s="2" t="s">
        <v>1385</v>
      </c>
      <c r="E661" s="3" t="s">
        <v>275</v>
      </c>
      <c r="F661" s="4">
        <f>(41969.24-822.93)+822.93-137.15</f>
        <v>41832.089999999997</v>
      </c>
      <c r="G661" s="4" t="s">
        <v>28</v>
      </c>
      <c r="H661" s="22" t="s">
        <v>276</v>
      </c>
      <c r="I661" s="22">
        <f>34288.59+6857.72</f>
        <v>41146.31</v>
      </c>
      <c r="J661" s="22"/>
      <c r="K661" s="22">
        <f t="shared" si="9"/>
        <v>41146.31</v>
      </c>
      <c r="L661" s="17"/>
      <c r="M661" s="6" t="s">
        <v>581</v>
      </c>
      <c r="N661" s="1" t="s">
        <v>1386</v>
      </c>
    </row>
    <row r="662" spans="1:16" x14ac:dyDescent="0.25">
      <c r="A662" s="10">
        <v>46063</v>
      </c>
      <c r="B662" s="2" t="s">
        <v>1384</v>
      </c>
      <c r="D662" s="2" t="s">
        <v>1385</v>
      </c>
      <c r="E662" s="3" t="s">
        <v>275</v>
      </c>
      <c r="G662" s="4" t="s">
        <v>28</v>
      </c>
      <c r="H662" s="22" t="s">
        <v>281</v>
      </c>
      <c r="I662" s="22">
        <v>822.93</v>
      </c>
      <c r="J662" s="22"/>
      <c r="K662" s="22">
        <f t="shared" si="9"/>
        <v>822.93</v>
      </c>
      <c r="L662" s="17"/>
    </row>
    <row r="663" spans="1:16" x14ac:dyDescent="0.25">
      <c r="A663" s="10">
        <v>46063</v>
      </c>
      <c r="B663" s="2" t="s">
        <v>1384</v>
      </c>
      <c r="D663" s="2" t="s">
        <v>1385</v>
      </c>
      <c r="E663" s="3" t="s">
        <v>275</v>
      </c>
      <c r="G663" s="4" t="s">
        <v>28</v>
      </c>
      <c r="H663" s="22" t="s">
        <v>282</v>
      </c>
      <c r="I663" s="22"/>
      <c r="J663" s="22">
        <v>137.15</v>
      </c>
      <c r="K663" s="22">
        <f t="shared" si="9"/>
        <v>137.15</v>
      </c>
      <c r="L663" s="17"/>
    </row>
    <row r="664" spans="1:16" x14ac:dyDescent="0.25">
      <c r="A664" s="10">
        <v>46063</v>
      </c>
      <c r="B664" s="2" t="s">
        <v>1384</v>
      </c>
      <c r="D664" s="2" t="s">
        <v>1385</v>
      </c>
      <c r="E664" s="3" t="s">
        <v>275</v>
      </c>
      <c r="G664" s="4" t="s">
        <v>48</v>
      </c>
      <c r="H664" s="22" t="s">
        <v>49</v>
      </c>
      <c r="I664" s="22"/>
      <c r="J664" s="22">
        <f>I661+I662-J663</f>
        <v>41832.089999999997</v>
      </c>
      <c r="K664" s="22">
        <f t="shared" si="9"/>
        <v>41832.089999999997</v>
      </c>
      <c r="L664" s="17"/>
    </row>
    <row r="665" spans="1:16" ht="24" x14ac:dyDescent="0.25">
      <c r="A665" s="10">
        <v>46063</v>
      </c>
      <c r="B665" s="2" t="s">
        <v>1387</v>
      </c>
      <c r="D665" s="2" t="s">
        <v>1385</v>
      </c>
      <c r="E665" s="3" t="s">
        <v>275</v>
      </c>
      <c r="F665" s="4">
        <f>(13592.53-266.52)+266.52-44.42</f>
        <v>13548.11</v>
      </c>
      <c r="G665" s="4" t="s">
        <v>48</v>
      </c>
      <c r="H665" s="22" t="s">
        <v>276</v>
      </c>
      <c r="I665" s="22">
        <f>11105.01+2221</f>
        <v>13326.01</v>
      </c>
      <c r="J665" s="22"/>
      <c r="K665" s="22">
        <f>ABS(I665-J665)</f>
        <v>13326.01</v>
      </c>
      <c r="L665" s="17"/>
      <c r="M665" s="6" t="s">
        <v>581</v>
      </c>
      <c r="N665" s="1" t="s">
        <v>1388</v>
      </c>
    </row>
    <row r="666" spans="1:16" x14ac:dyDescent="0.25">
      <c r="A666" s="10">
        <v>46063</v>
      </c>
      <c r="B666" s="2" t="s">
        <v>1387</v>
      </c>
      <c r="D666" s="2" t="s">
        <v>1385</v>
      </c>
      <c r="E666" s="3" t="s">
        <v>275</v>
      </c>
      <c r="G666" s="4" t="s">
        <v>48</v>
      </c>
      <c r="H666" s="22" t="s">
        <v>281</v>
      </c>
      <c r="I666" s="22">
        <v>266.52</v>
      </c>
      <c r="J666" s="22"/>
      <c r="K666" s="22">
        <f>ABS(I666-J666)</f>
        <v>266.52</v>
      </c>
      <c r="L666" s="17"/>
    </row>
    <row r="667" spans="1:16" x14ac:dyDescent="0.25">
      <c r="A667" s="10">
        <v>46063</v>
      </c>
      <c r="B667" s="2" t="s">
        <v>1387</v>
      </c>
      <c r="D667" s="2" t="s">
        <v>1385</v>
      </c>
      <c r="E667" s="3" t="s">
        <v>275</v>
      </c>
      <c r="G667" s="4" t="s">
        <v>48</v>
      </c>
      <c r="H667" s="22" t="s">
        <v>282</v>
      </c>
      <c r="I667" s="22"/>
      <c r="J667" s="22">
        <v>44.42</v>
      </c>
      <c r="K667" s="22">
        <f>ABS(I667-J667)</f>
        <v>44.42</v>
      </c>
      <c r="L667" s="17"/>
    </row>
    <row r="668" spans="1:16" x14ac:dyDescent="0.25">
      <c r="A668" s="10">
        <v>46063</v>
      </c>
      <c r="B668" s="2" t="s">
        <v>1387</v>
      </c>
      <c r="D668" s="2" t="s">
        <v>1385</v>
      </c>
      <c r="E668" s="3" t="s">
        <v>275</v>
      </c>
      <c r="G668" s="4" t="s">
        <v>48</v>
      </c>
      <c r="H668" s="22" t="s">
        <v>49</v>
      </c>
      <c r="I668" s="22"/>
      <c r="J668" s="22">
        <f>I665+I666-J667</f>
        <v>13548.11</v>
      </c>
      <c r="K668" s="22">
        <f>ABS(I668-J668)</f>
        <v>13548.11</v>
      </c>
      <c r="L668" s="17"/>
    </row>
    <row r="669" spans="1:16" ht="36" x14ac:dyDescent="0.25">
      <c r="A669" s="10">
        <v>46063</v>
      </c>
      <c r="B669" s="2" t="s">
        <v>1389</v>
      </c>
      <c r="C669" s="2" t="s">
        <v>95</v>
      </c>
      <c r="D669" s="2" t="s">
        <v>1390</v>
      </c>
      <c r="E669" s="3" t="s">
        <v>261</v>
      </c>
      <c r="F669" s="36">
        <v>887.15</v>
      </c>
      <c r="G669" s="4" t="s">
        <v>447</v>
      </c>
      <c r="H669" s="37" t="s">
        <v>1391</v>
      </c>
      <c r="I669" s="37">
        <v>887.15</v>
      </c>
      <c r="J669" s="37"/>
      <c r="K669" s="22">
        <f t="shared" si="9"/>
        <v>887.15</v>
      </c>
      <c r="L669" s="38"/>
      <c r="M669" s="6" t="s">
        <v>581</v>
      </c>
      <c r="N669" s="1" t="s">
        <v>1392</v>
      </c>
    </row>
    <row r="670" spans="1:16" x14ac:dyDescent="0.25">
      <c r="A670" s="10">
        <v>46063</v>
      </c>
      <c r="B670" s="2" t="s">
        <v>1389</v>
      </c>
      <c r="C670" s="2" t="s">
        <v>95</v>
      </c>
      <c r="D670" s="2" t="s">
        <v>1390</v>
      </c>
      <c r="E670" s="3" t="s">
        <v>261</v>
      </c>
      <c r="F670" s="36"/>
      <c r="G670" s="4" t="s">
        <v>48</v>
      </c>
      <c r="H670" s="37" t="s">
        <v>49</v>
      </c>
      <c r="I670" s="37"/>
      <c r="J670" s="37">
        <f>I669</f>
        <v>887.15</v>
      </c>
      <c r="K670" s="22">
        <f t="shared" si="9"/>
        <v>887.15</v>
      </c>
      <c r="L670" s="38"/>
    </row>
    <row r="671" spans="1:16" ht="36" x14ac:dyDescent="0.25">
      <c r="A671" s="10">
        <v>46063</v>
      </c>
      <c r="B671" s="2" t="s">
        <v>1393</v>
      </c>
      <c r="C671" s="2" t="s">
        <v>95</v>
      </c>
      <c r="D671" s="2" t="s">
        <v>1394</v>
      </c>
      <c r="E671" s="3" t="s">
        <v>261</v>
      </c>
      <c r="F671" s="4">
        <v>1387.15</v>
      </c>
      <c r="G671" s="4" t="s">
        <v>447</v>
      </c>
      <c r="H671" s="37" t="s">
        <v>1391</v>
      </c>
      <c r="I671" s="37">
        <v>1387.15</v>
      </c>
      <c r="J671" s="37"/>
      <c r="K671" s="22">
        <f t="shared" si="9"/>
        <v>1387.15</v>
      </c>
      <c r="L671" s="17"/>
      <c r="M671" s="6" t="s">
        <v>581</v>
      </c>
      <c r="N671" s="1" t="s">
        <v>1395</v>
      </c>
    </row>
    <row r="672" spans="1:16" x14ac:dyDescent="0.25">
      <c r="A672" s="10">
        <v>46063</v>
      </c>
      <c r="B672" s="2" t="s">
        <v>1393</v>
      </c>
      <c r="C672" s="2" t="s">
        <v>95</v>
      </c>
      <c r="D672" s="2" t="s">
        <v>1394</v>
      </c>
      <c r="E672" s="3" t="s">
        <v>261</v>
      </c>
      <c r="G672" s="4" t="s">
        <v>48</v>
      </c>
      <c r="H672" s="37" t="s">
        <v>49</v>
      </c>
      <c r="I672" s="37"/>
      <c r="J672" s="37">
        <f>I671</f>
        <v>1387.15</v>
      </c>
      <c r="K672" s="22">
        <f t="shared" si="9"/>
        <v>1387.15</v>
      </c>
      <c r="L672" s="17"/>
    </row>
    <row r="673" spans="1:23" ht="24" x14ac:dyDescent="0.25">
      <c r="A673" s="10">
        <v>46063</v>
      </c>
      <c r="B673" s="2" t="s">
        <v>1396</v>
      </c>
      <c r="C673" s="2" t="s">
        <v>95</v>
      </c>
      <c r="D673" s="2" t="s">
        <v>1397</v>
      </c>
      <c r="E673" s="3" t="s">
        <v>261</v>
      </c>
      <c r="F673" s="36">
        <f>7385.84+4000</f>
        <v>11385.84</v>
      </c>
      <c r="G673" s="4" t="s">
        <v>128</v>
      </c>
      <c r="H673" s="37" t="s">
        <v>1391</v>
      </c>
      <c r="I673" s="37">
        <f>7385.84+4000</f>
        <v>11385.84</v>
      </c>
      <c r="J673" s="37"/>
      <c r="K673" s="22">
        <f t="shared" si="9"/>
        <v>11385.84</v>
      </c>
      <c r="L673" s="38">
        <f>7385.84+4000</f>
        <v>11385.84</v>
      </c>
      <c r="M673" s="23" t="s">
        <v>41</v>
      </c>
      <c r="N673" s="1" t="s">
        <v>1398</v>
      </c>
      <c r="O673" s="7" t="s">
        <v>1399</v>
      </c>
      <c r="P673" s="7" t="s">
        <v>81</v>
      </c>
      <c r="R673" s="7" t="s">
        <v>1400</v>
      </c>
      <c r="S673" s="3" t="s">
        <v>83</v>
      </c>
      <c r="T673" s="3" t="s">
        <v>1401</v>
      </c>
    </row>
    <row r="674" spans="1:23" x14ac:dyDescent="0.25">
      <c r="A674" s="10">
        <v>46063</v>
      </c>
      <c r="B674" s="2" t="s">
        <v>1396</v>
      </c>
      <c r="C674" s="2" t="s">
        <v>95</v>
      </c>
      <c r="D674" s="2" t="s">
        <v>1397</v>
      </c>
      <c r="E674" s="3" t="s">
        <v>261</v>
      </c>
      <c r="F674" s="36"/>
      <c r="G674" s="4" t="s">
        <v>48</v>
      </c>
      <c r="H674" s="37" t="s">
        <v>49</v>
      </c>
      <c r="I674" s="37"/>
      <c r="J674" s="37">
        <f>I673</f>
        <v>11385.84</v>
      </c>
      <c r="K674" s="22">
        <f t="shared" si="9"/>
        <v>11385.84</v>
      </c>
      <c r="L674" s="38"/>
      <c r="M674" s="23"/>
    </row>
    <row r="675" spans="1:23" ht="48.6" customHeight="1" x14ac:dyDescent="0.25">
      <c r="A675" s="10">
        <v>46063</v>
      </c>
      <c r="B675" s="2" t="s">
        <v>1402</v>
      </c>
      <c r="C675" s="2" t="s">
        <v>95</v>
      </c>
      <c r="D675" s="2" t="s">
        <v>1403</v>
      </c>
      <c r="E675" s="3" t="s">
        <v>1404</v>
      </c>
      <c r="F675" s="4">
        <v>27073.200000000001</v>
      </c>
      <c r="G675" s="4" t="s">
        <v>1405</v>
      </c>
      <c r="H675" s="22" t="s">
        <v>1406</v>
      </c>
      <c r="I675" s="22">
        <v>27073.200000000001</v>
      </c>
      <c r="J675" s="22"/>
      <c r="K675" s="22">
        <f t="shared" si="9"/>
        <v>27073.200000000001</v>
      </c>
      <c r="L675" s="17"/>
      <c r="M675" s="6" t="s">
        <v>581</v>
      </c>
      <c r="N675" s="1" t="s">
        <v>1407</v>
      </c>
    </row>
    <row r="676" spans="1:23" ht="12" customHeight="1" x14ac:dyDescent="0.25">
      <c r="A676" s="10">
        <v>46063</v>
      </c>
      <c r="B676" s="2" t="s">
        <v>1402</v>
      </c>
      <c r="C676" s="2" t="s">
        <v>95</v>
      </c>
      <c r="D676" s="2" t="s">
        <v>1403</v>
      </c>
      <c r="E676" s="3" t="s">
        <v>1404</v>
      </c>
      <c r="G676" s="4" t="s">
        <v>48</v>
      </c>
      <c r="H676" s="37" t="s">
        <v>49</v>
      </c>
      <c r="I676" s="22"/>
      <c r="J676" s="22">
        <f>I675</f>
        <v>27073.200000000001</v>
      </c>
      <c r="K676" s="22">
        <f t="shared" si="9"/>
        <v>27073.200000000001</v>
      </c>
      <c r="L676" s="17"/>
    </row>
    <row r="677" spans="1:23" ht="36" x14ac:dyDescent="0.25">
      <c r="A677" s="10">
        <v>46064</v>
      </c>
      <c r="B677" s="2" t="s">
        <v>1408</v>
      </c>
      <c r="C677" s="2" t="s">
        <v>147</v>
      </c>
      <c r="D677" s="2" t="s">
        <v>1409</v>
      </c>
      <c r="E677" s="3" t="s">
        <v>1182</v>
      </c>
      <c r="F677" s="36">
        <v>3100</v>
      </c>
      <c r="G677" s="36" t="s">
        <v>48</v>
      </c>
      <c r="H677" s="37" t="s">
        <v>78</v>
      </c>
      <c r="I677" s="37">
        <v>3100</v>
      </c>
      <c r="J677" s="37"/>
      <c r="K677" s="22">
        <f t="shared" si="9"/>
        <v>3100</v>
      </c>
      <c r="L677" s="38">
        <v>3100</v>
      </c>
      <c r="M677" s="23" t="s">
        <v>41</v>
      </c>
      <c r="N677" s="1" t="s">
        <v>1410</v>
      </c>
      <c r="P677" s="7" t="s">
        <v>81</v>
      </c>
      <c r="R677" s="7" t="s">
        <v>1184</v>
      </c>
      <c r="S677" s="3" t="s">
        <v>83</v>
      </c>
      <c r="T677" s="3" t="s">
        <v>1185</v>
      </c>
    </row>
    <row r="678" spans="1:23" x14ac:dyDescent="0.25">
      <c r="A678" s="10">
        <v>46064</v>
      </c>
      <c r="B678" s="2" t="s">
        <v>1408</v>
      </c>
      <c r="C678" s="2" t="s">
        <v>147</v>
      </c>
      <c r="D678" s="2" t="s">
        <v>1409</v>
      </c>
      <c r="E678" s="3" t="s">
        <v>1182</v>
      </c>
      <c r="F678" s="36"/>
      <c r="G678" s="36" t="s">
        <v>48</v>
      </c>
      <c r="H678" s="37" t="s">
        <v>81</v>
      </c>
      <c r="I678" s="37"/>
      <c r="J678" s="37">
        <f>I677</f>
        <v>3100</v>
      </c>
      <c r="K678" s="22">
        <f t="shared" si="9"/>
        <v>3100</v>
      </c>
      <c r="L678" s="38"/>
    </row>
    <row r="679" spans="1:23" x14ac:dyDescent="0.25">
      <c r="A679" s="10">
        <v>46064</v>
      </c>
      <c r="B679" s="2" t="s">
        <v>1411</v>
      </c>
      <c r="C679" s="2" t="s">
        <v>310</v>
      </c>
      <c r="E679" s="3" t="s">
        <v>371</v>
      </c>
      <c r="F679" s="4">
        <v>530000</v>
      </c>
      <c r="G679" s="4" t="s">
        <v>98</v>
      </c>
      <c r="H679" s="22"/>
      <c r="I679" s="22"/>
      <c r="J679" s="22"/>
      <c r="K679" s="22">
        <f t="shared" si="9"/>
        <v>0</v>
      </c>
      <c r="L679" s="17"/>
      <c r="M679" s="23" t="s">
        <v>41</v>
      </c>
      <c r="N679" s="1" t="s">
        <v>1412</v>
      </c>
      <c r="O679" s="7" t="s">
        <v>1413</v>
      </c>
      <c r="Q679" s="25" t="s">
        <v>1414</v>
      </c>
      <c r="R679" s="7" t="s">
        <v>1415</v>
      </c>
      <c r="S679" s="3" t="s">
        <v>145</v>
      </c>
      <c r="T679" s="3" t="s">
        <v>324</v>
      </c>
    </row>
    <row r="680" spans="1:23" x14ac:dyDescent="0.25">
      <c r="A680" s="10">
        <v>46064</v>
      </c>
      <c r="B680" s="2" t="s">
        <v>1416</v>
      </c>
      <c r="C680" s="2" t="s">
        <v>141</v>
      </c>
      <c r="E680" s="3" t="s">
        <v>27</v>
      </c>
      <c r="F680" s="36">
        <v>950000</v>
      </c>
      <c r="G680" s="36" t="s">
        <v>48</v>
      </c>
      <c r="H680" s="37"/>
      <c r="I680" s="37"/>
      <c r="J680" s="37"/>
      <c r="K680" s="22">
        <f t="shared" si="9"/>
        <v>0</v>
      </c>
      <c r="L680" s="38"/>
      <c r="M680" s="23" t="s">
        <v>41</v>
      </c>
      <c r="N680" s="1" t="s">
        <v>1417</v>
      </c>
    </row>
    <row r="681" spans="1:23" x14ac:dyDescent="0.25">
      <c r="A681" s="10">
        <v>46064</v>
      </c>
      <c r="B681" s="2" t="s">
        <v>1418</v>
      </c>
      <c r="C681" s="2" t="s">
        <v>310</v>
      </c>
      <c r="E681" s="3" t="s">
        <v>27</v>
      </c>
      <c r="F681" s="4">
        <v>2000000</v>
      </c>
      <c r="G681" s="36" t="s">
        <v>48</v>
      </c>
      <c r="H681" s="22"/>
      <c r="I681" s="22"/>
      <c r="J681" s="22"/>
      <c r="K681" s="22">
        <f t="shared" si="9"/>
        <v>0</v>
      </c>
      <c r="L681" s="17"/>
      <c r="M681" s="23" t="s">
        <v>41</v>
      </c>
      <c r="N681" s="1" t="s">
        <v>1419</v>
      </c>
    </row>
    <row r="682" spans="1:23" ht="24" x14ac:dyDescent="0.25">
      <c r="A682" s="10">
        <v>46064</v>
      </c>
      <c r="B682" s="2" t="s">
        <v>1420</v>
      </c>
      <c r="C682" s="2" t="s">
        <v>1421</v>
      </c>
      <c r="D682" s="2" t="s">
        <v>716</v>
      </c>
      <c r="E682" s="3" t="s">
        <v>1422</v>
      </c>
      <c r="F682" s="4">
        <f>(6260/1.12)+(6260/1.12*0.12)-(6260/1.12*0.01)</f>
        <v>6204.1071428571422</v>
      </c>
      <c r="G682" s="36" t="s">
        <v>128</v>
      </c>
      <c r="H682" s="37" t="s">
        <v>40</v>
      </c>
      <c r="I682" s="37">
        <f>6240/1.12</f>
        <v>5571.4285714285706</v>
      </c>
      <c r="J682" s="37"/>
      <c r="K682" s="22">
        <f t="shared" si="9"/>
        <v>5571.4285714285706</v>
      </c>
      <c r="L682" s="38">
        <v>6184.29</v>
      </c>
      <c r="M682" s="23" t="s">
        <v>41</v>
      </c>
      <c r="N682" s="1" t="s">
        <v>1423</v>
      </c>
      <c r="O682" s="7" t="s">
        <v>116</v>
      </c>
      <c r="Q682" s="7" t="s">
        <v>81</v>
      </c>
      <c r="R682" s="7" t="s">
        <v>1352</v>
      </c>
      <c r="S682" s="3" t="s">
        <v>83</v>
      </c>
      <c r="T682" s="3" t="s">
        <v>1424</v>
      </c>
      <c r="W682" s="9" t="s">
        <v>1425</v>
      </c>
    </row>
    <row r="683" spans="1:23" x14ac:dyDescent="0.25">
      <c r="A683" s="10">
        <v>46064</v>
      </c>
      <c r="B683" s="2" t="s">
        <v>1420</v>
      </c>
      <c r="C683" s="2" t="s">
        <v>1421</v>
      </c>
      <c r="D683" s="2" t="s">
        <v>716</v>
      </c>
      <c r="E683" s="3" t="s">
        <v>1422</v>
      </c>
      <c r="G683" s="36" t="s">
        <v>128</v>
      </c>
      <c r="H683" s="37" t="s">
        <v>104</v>
      </c>
      <c r="I683" s="37">
        <f>I682*0.12</f>
        <v>668.57142857142844</v>
      </c>
      <c r="J683" s="37"/>
      <c r="K683" s="22">
        <f t="shared" si="9"/>
        <v>668.57142857142844</v>
      </c>
      <c r="L683" s="38"/>
    </row>
    <row r="684" spans="1:23" x14ac:dyDescent="0.25">
      <c r="A684" s="10">
        <v>46064</v>
      </c>
      <c r="B684" s="2" t="s">
        <v>1420</v>
      </c>
      <c r="C684" s="2" t="s">
        <v>1421</v>
      </c>
      <c r="D684" s="2" t="s">
        <v>716</v>
      </c>
      <c r="E684" s="3" t="s">
        <v>1422</v>
      </c>
      <c r="G684" s="36" t="s">
        <v>128</v>
      </c>
      <c r="H684" s="37" t="s">
        <v>105</v>
      </c>
      <c r="I684" s="37"/>
      <c r="J684" s="37">
        <f>I682*0.01</f>
        <v>55.714285714285708</v>
      </c>
      <c r="K684" s="22">
        <f t="shared" si="9"/>
        <v>55.714285714285708</v>
      </c>
      <c r="L684" s="38"/>
    </row>
    <row r="685" spans="1:23" x14ac:dyDescent="0.25">
      <c r="A685" s="10">
        <v>46064</v>
      </c>
      <c r="B685" s="2" t="s">
        <v>1420</v>
      </c>
      <c r="C685" s="2" t="s">
        <v>1421</v>
      </c>
      <c r="D685" s="2" t="s">
        <v>716</v>
      </c>
      <c r="E685" s="3" t="s">
        <v>1422</v>
      </c>
      <c r="G685" s="36" t="s">
        <v>48</v>
      </c>
      <c r="H685" s="22" t="s">
        <v>49</v>
      </c>
      <c r="I685" s="37"/>
      <c r="J685" s="37">
        <f>I682+I683-J684</f>
        <v>6184.2857142857138</v>
      </c>
      <c r="K685" s="22">
        <f t="shared" si="9"/>
        <v>6184.2857142857138</v>
      </c>
      <c r="L685" s="38"/>
    </row>
    <row r="686" spans="1:23" ht="24" x14ac:dyDescent="0.25">
      <c r="A686" s="10">
        <v>46064</v>
      </c>
      <c r="B686" s="2" t="s">
        <v>1426</v>
      </c>
      <c r="C686" s="2" t="s">
        <v>1427</v>
      </c>
      <c r="D686" s="2" t="s">
        <v>716</v>
      </c>
      <c r="E686" s="3" t="s">
        <v>455</v>
      </c>
      <c r="F686" s="4">
        <f>(1799/1.12)+(1799/1.12*0.12)-(1799/1.12*0.01)</f>
        <v>1782.9374999999998</v>
      </c>
      <c r="G686" s="36" t="s">
        <v>128</v>
      </c>
      <c r="H686" s="37" t="s">
        <v>40</v>
      </c>
      <c r="I686" s="37">
        <f>1799/1.12</f>
        <v>1606.2499999999998</v>
      </c>
      <c r="J686" s="37"/>
      <c r="K686" s="22">
        <f t="shared" si="9"/>
        <v>1606.2499999999998</v>
      </c>
      <c r="L686" s="17">
        <v>1782.94</v>
      </c>
      <c r="M686" s="23" t="s">
        <v>41</v>
      </c>
      <c r="N686" s="1" t="s">
        <v>1428</v>
      </c>
      <c r="O686" s="7" t="s">
        <v>116</v>
      </c>
      <c r="Q686" s="7" t="s">
        <v>81</v>
      </c>
      <c r="R686" s="7" t="s">
        <v>1352</v>
      </c>
      <c r="S686" s="3" t="s">
        <v>83</v>
      </c>
      <c r="T686" s="3" t="s">
        <v>1424</v>
      </c>
    </row>
    <row r="687" spans="1:23" x14ac:dyDescent="0.25">
      <c r="A687" s="10">
        <v>46064</v>
      </c>
      <c r="B687" s="2" t="s">
        <v>1426</v>
      </c>
      <c r="C687" s="2" t="s">
        <v>1427</v>
      </c>
      <c r="D687" s="2" t="s">
        <v>716</v>
      </c>
      <c r="E687" s="3" t="s">
        <v>455</v>
      </c>
      <c r="G687" s="36" t="s">
        <v>128</v>
      </c>
      <c r="H687" s="37" t="s">
        <v>104</v>
      </c>
      <c r="I687" s="37">
        <f>I686*0.12</f>
        <v>192.74999999999997</v>
      </c>
      <c r="J687" s="37"/>
      <c r="K687" s="22">
        <f t="shared" si="9"/>
        <v>192.74999999999997</v>
      </c>
      <c r="L687" s="17"/>
    </row>
    <row r="688" spans="1:23" x14ac:dyDescent="0.25">
      <c r="A688" s="10">
        <v>46064</v>
      </c>
      <c r="B688" s="2" t="s">
        <v>1426</v>
      </c>
      <c r="C688" s="2" t="s">
        <v>1427</v>
      </c>
      <c r="D688" s="2" t="s">
        <v>716</v>
      </c>
      <c r="E688" s="3" t="s">
        <v>455</v>
      </c>
      <c r="G688" s="36" t="s">
        <v>128</v>
      </c>
      <c r="H688" s="37" t="s">
        <v>105</v>
      </c>
      <c r="I688" s="37"/>
      <c r="J688" s="37">
        <f>I686*0.01</f>
        <v>16.062499999999996</v>
      </c>
      <c r="K688" s="22">
        <f t="shared" si="9"/>
        <v>16.062499999999996</v>
      </c>
      <c r="L688" s="17"/>
    </row>
    <row r="689" spans="1:20" x14ac:dyDescent="0.25">
      <c r="A689" s="10">
        <v>46064</v>
      </c>
      <c r="B689" s="2" t="s">
        <v>1426</v>
      </c>
      <c r="C689" s="2" t="s">
        <v>1427</v>
      </c>
      <c r="D689" s="2" t="s">
        <v>716</v>
      </c>
      <c r="E689" s="3" t="s">
        <v>455</v>
      </c>
      <c r="G689" s="36" t="s">
        <v>48</v>
      </c>
      <c r="H689" s="22" t="s">
        <v>49</v>
      </c>
      <c r="I689" s="37"/>
      <c r="J689" s="37">
        <f>I686+I687-J688</f>
        <v>1782.9374999999998</v>
      </c>
      <c r="K689" s="22">
        <f t="shared" si="9"/>
        <v>1782.9374999999998</v>
      </c>
      <c r="L689" s="17"/>
    </row>
    <row r="690" spans="1:20" x14ac:dyDescent="0.25">
      <c r="A690" s="10">
        <v>46064</v>
      </c>
      <c r="B690" s="2" t="s">
        <v>1429</v>
      </c>
      <c r="C690" s="2" t="s">
        <v>134</v>
      </c>
      <c r="D690" s="2" t="s">
        <v>1430</v>
      </c>
      <c r="E690" s="3" t="s">
        <v>1431</v>
      </c>
      <c r="F690" s="4">
        <v>10000</v>
      </c>
      <c r="G690" s="4" t="s">
        <v>48</v>
      </c>
      <c r="H690" s="22" t="s">
        <v>137</v>
      </c>
      <c r="I690" s="22">
        <v>10000</v>
      </c>
      <c r="J690" s="22"/>
      <c r="K690" s="22">
        <f t="shared" si="9"/>
        <v>10000</v>
      </c>
      <c r="L690" s="17">
        <v>10000</v>
      </c>
      <c r="M690" s="23" t="s">
        <v>41</v>
      </c>
      <c r="N690" s="1" t="s">
        <v>1432</v>
      </c>
    </row>
    <row r="691" spans="1:20" x14ac:dyDescent="0.25">
      <c r="A691" s="10">
        <v>46064</v>
      </c>
      <c r="B691" s="2" t="s">
        <v>1429</v>
      </c>
      <c r="C691" s="2" t="s">
        <v>134</v>
      </c>
      <c r="D691" s="2" t="s">
        <v>1430</v>
      </c>
      <c r="E691" s="3" t="s">
        <v>1431</v>
      </c>
      <c r="G691" s="4" t="s">
        <v>48</v>
      </c>
      <c r="H691" s="22" t="s">
        <v>49</v>
      </c>
      <c r="I691" s="22"/>
      <c r="J691" s="22">
        <f>I690</f>
        <v>10000</v>
      </c>
      <c r="K691" s="22">
        <f t="shared" si="9"/>
        <v>10000</v>
      </c>
      <c r="L691" s="17"/>
    </row>
    <row r="692" spans="1:20" x14ac:dyDescent="0.25">
      <c r="A692" s="10">
        <v>46064</v>
      </c>
      <c r="B692" s="2" t="s">
        <v>1433</v>
      </c>
      <c r="C692" s="2" t="s">
        <v>134</v>
      </c>
      <c r="D692" s="2" t="s">
        <v>1434</v>
      </c>
      <c r="E692" s="3" t="s">
        <v>76</v>
      </c>
      <c r="F692" s="4">
        <v>30000</v>
      </c>
      <c r="G692" s="4" t="s">
        <v>48</v>
      </c>
      <c r="H692" s="22" t="s">
        <v>137</v>
      </c>
      <c r="I692" s="22">
        <f>30000</f>
        <v>30000</v>
      </c>
      <c r="J692" s="22"/>
      <c r="K692" s="22">
        <f t="shared" si="9"/>
        <v>30000</v>
      </c>
      <c r="L692" s="17">
        <v>30000</v>
      </c>
      <c r="M692" s="23" t="s">
        <v>41</v>
      </c>
      <c r="N692" s="1" t="s">
        <v>1435</v>
      </c>
    </row>
    <row r="693" spans="1:20" x14ac:dyDescent="0.25">
      <c r="A693" s="10">
        <v>46064</v>
      </c>
      <c r="B693" s="2" t="s">
        <v>1433</v>
      </c>
      <c r="C693" s="2" t="s">
        <v>134</v>
      </c>
      <c r="D693" s="2" t="s">
        <v>1434</v>
      </c>
      <c r="E693" s="3" t="s">
        <v>76</v>
      </c>
      <c r="G693" s="4" t="s">
        <v>48</v>
      </c>
      <c r="H693" s="22" t="s">
        <v>49</v>
      </c>
      <c r="I693" s="22"/>
      <c r="J693" s="22">
        <f>I692</f>
        <v>30000</v>
      </c>
      <c r="K693" s="22">
        <f t="shared" si="9"/>
        <v>30000</v>
      </c>
      <c r="L693" s="17"/>
    </row>
    <row r="694" spans="1:20" ht="24" x14ac:dyDescent="0.25">
      <c r="A694" s="10">
        <v>46064</v>
      </c>
      <c r="B694" s="2" t="s">
        <v>1436</v>
      </c>
      <c r="C694" s="2" t="s">
        <v>1437</v>
      </c>
      <c r="D694" s="2" t="s">
        <v>1438</v>
      </c>
      <c r="E694" s="3" t="s">
        <v>1068</v>
      </c>
      <c r="F694" s="4">
        <v>264.16000000000003</v>
      </c>
      <c r="G694" s="4" t="s">
        <v>28</v>
      </c>
      <c r="H694" s="22" t="s">
        <v>40</v>
      </c>
      <c r="I694" s="22">
        <v>264.16000000000003</v>
      </c>
      <c r="J694" s="22"/>
      <c r="K694" s="22">
        <f t="shared" si="9"/>
        <v>264.16000000000003</v>
      </c>
      <c r="L694" s="17"/>
      <c r="M694" s="6" t="s">
        <v>581</v>
      </c>
      <c r="N694" s="1" t="s">
        <v>1439</v>
      </c>
    </row>
    <row r="695" spans="1:20" x14ac:dyDescent="0.25">
      <c r="A695" s="10">
        <v>46064</v>
      </c>
      <c r="B695" s="2" t="s">
        <v>1436</v>
      </c>
      <c r="C695" s="2" t="s">
        <v>1437</v>
      </c>
      <c r="D695" s="2" t="s">
        <v>1438</v>
      </c>
      <c r="E695" s="3" t="s">
        <v>1068</v>
      </c>
      <c r="G695" s="4" t="s">
        <v>48</v>
      </c>
      <c r="H695" s="22" t="s">
        <v>49</v>
      </c>
      <c r="I695" s="22"/>
      <c r="J695" s="22">
        <f>I694</f>
        <v>264.16000000000003</v>
      </c>
      <c r="K695" s="22">
        <f t="shared" si="9"/>
        <v>264.16000000000003</v>
      </c>
      <c r="L695" s="17"/>
    </row>
    <row r="696" spans="1:20" ht="24" x14ac:dyDescent="0.25">
      <c r="A696" s="10">
        <v>46064</v>
      </c>
      <c r="B696" s="2" t="s">
        <v>1440</v>
      </c>
      <c r="C696" s="2" t="s">
        <v>1441</v>
      </c>
      <c r="D696" s="2" t="s">
        <v>1442</v>
      </c>
      <c r="E696" s="3" t="s">
        <v>455</v>
      </c>
      <c r="F696" s="4">
        <f>(1295/1.12)+(1295/1.12*0.12)-(1295/1.12*0.01)</f>
        <v>1283.4375</v>
      </c>
      <c r="G696" s="4" t="s">
        <v>28</v>
      </c>
      <c r="H696" s="22" t="s">
        <v>40</v>
      </c>
      <c r="I696" s="22">
        <f>1295/1.12</f>
        <v>1156.25</v>
      </c>
      <c r="J696" s="22"/>
      <c r="K696" s="22">
        <f t="shared" si="9"/>
        <v>1156.25</v>
      </c>
      <c r="L696" s="17">
        <v>1283.44</v>
      </c>
      <c r="M696" s="23" t="s">
        <v>41</v>
      </c>
      <c r="N696" s="1" t="s">
        <v>1443</v>
      </c>
      <c r="O696" s="7" t="s">
        <v>116</v>
      </c>
      <c r="P696" s="7" t="s">
        <v>81</v>
      </c>
      <c r="R696" s="7" t="s">
        <v>1232</v>
      </c>
      <c r="S696" s="3" t="s">
        <v>83</v>
      </c>
      <c r="T696" s="3" t="s">
        <v>1233</v>
      </c>
    </row>
    <row r="697" spans="1:20" x14ac:dyDescent="0.25">
      <c r="A697" s="10">
        <v>46064</v>
      </c>
      <c r="B697" s="2" t="s">
        <v>1440</v>
      </c>
      <c r="C697" s="2" t="s">
        <v>1441</v>
      </c>
      <c r="D697" s="2" t="s">
        <v>1442</v>
      </c>
      <c r="E697" s="3" t="s">
        <v>455</v>
      </c>
      <c r="G697" s="4" t="s">
        <v>28</v>
      </c>
      <c r="H697" s="22" t="s">
        <v>104</v>
      </c>
      <c r="I697" s="22">
        <f>I696*0.12</f>
        <v>138.75</v>
      </c>
      <c r="J697" s="22"/>
      <c r="K697" s="22">
        <f t="shared" si="9"/>
        <v>138.75</v>
      </c>
      <c r="L697" s="17"/>
    </row>
    <row r="698" spans="1:20" x14ac:dyDescent="0.25">
      <c r="A698" s="10">
        <v>46064</v>
      </c>
      <c r="B698" s="2" t="s">
        <v>1440</v>
      </c>
      <c r="C698" s="2" t="s">
        <v>1441</v>
      </c>
      <c r="D698" s="2" t="s">
        <v>1442</v>
      </c>
      <c r="E698" s="3" t="s">
        <v>455</v>
      </c>
      <c r="G698" s="4" t="s">
        <v>28</v>
      </c>
      <c r="H698" s="22" t="s">
        <v>105</v>
      </c>
      <c r="I698" s="22"/>
      <c r="J698" s="22">
        <f>I696*0.01</f>
        <v>11.5625</v>
      </c>
      <c r="K698" s="22">
        <f t="shared" si="9"/>
        <v>11.5625</v>
      </c>
      <c r="L698" s="17"/>
    </row>
    <row r="699" spans="1:20" x14ac:dyDescent="0.25">
      <c r="A699" s="10">
        <v>46064</v>
      </c>
      <c r="B699" s="2" t="s">
        <v>1440</v>
      </c>
      <c r="C699" s="2" t="s">
        <v>1441</v>
      </c>
      <c r="D699" s="2" t="s">
        <v>1442</v>
      </c>
      <c r="E699" s="3" t="s">
        <v>455</v>
      </c>
      <c r="G699" s="4" t="s">
        <v>48</v>
      </c>
      <c r="H699" s="22" t="s">
        <v>49</v>
      </c>
      <c r="I699" s="22"/>
      <c r="J699" s="22">
        <f>I696+I697-J698</f>
        <v>1283.4375</v>
      </c>
      <c r="K699" s="22">
        <f t="shared" si="9"/>
        <v>1283.4375</v>
      </c>
      <c r="L699" s="17"/>
    </row>
    <row r="700" spans="1:20" ht="24" x14ac:dyDescent="0.25">
      <c r="A700" s="10">
        <v>46064</v>
      </c>
      <c r="B700" s="2" t="s">
        <v>1444</v>
      </c>
      <c r="C700" s="2" t="s">
        <v>1445</v>
      </c>
      <c r="D700" s="2" t="s">
        <v>1446</v>
      </c>
      <c r="E700" s="3" t="s">
        <v>1068</v>
      </c>
      <c r="F700" s="3">
        <v>859.35</v>
      </c>
      <c r="G700" s="4" t="s">
        <v>28</v>
      </c>
      <c r="H700" s="34" t="s">
        <v>40</v>
      </c>
      <c r="I700" s="34">
        <v>859.35</v>
      </c>
      <c r="J700" s="34"/>
      <c r="K700" s="22">
        <f t="shared" si="9"/>
        <v>859.35</v>
      </c>
      <c r="L700" s="32"/>
      <c r="M700" s="6" t="s">
        <v>581</v>
      </c>
      <c r="N700" s="1" t="s">
        <v>1447</v>
      </c>
    </row>
    <row r="701" spans="1:20" x14ac:dyDescent="0.25">
      <c r="A701" s="10">
        <v>46064</v>
      </c>
      <c r="B701" s="2" t="s">
        <v>1444</v>
      </c>
      <c r="C701" s="2" t="s">
        <v>1445</v>
      </c>
      <c r="D701" s="2" t="s">
        <v>1446</v>
      </c>
      <c r="E701" s="3" t="s">
        <v>1068</v>
      </c>
      <c r="F701" s="3"/>
      <c r="G701" s="4" t="s">
        <v>48</v>
      </c>
      <c r="H701" s="22" t="s">
        <v>49</v>
      </c>
      <c r="I701" s="34"/>
      <c r="J701" s="34">
        <f>I700</f>
        <v>859.35</v>
      </c>
      <c r="K701" s="22">
        <f t="shared" si="9"/>
        <v>859.35</v>
      </c>
      <c r="L701" s="32"/>
    </row>
    <row r="702" spans="1:20" ht="36" x14ac:dyDescent="0.25">
      <c r="A702" s="10">
        <v>46064</v>
      </c>
      <c r="B702" s="2" t="s">
        <v>1448</v>
      </c>
      <c r="C702" s="2" t="s">
        <v>1449</v>
      </c>
      <c r="D702" s="2" t="s">
        <v>1450</v>
      </c>
      <c r="E702" s="3" t="s">
        <v>1068</v>
      </c>
      <c r="F702" s="4">
        <v>20139.810000000001</v>
      </c>
      <c r="G702" s="4" t="s">
        <v>28</v>
      </c>
      <c r="H702" s="34" t="s">
        <v>40</v>
      </c>
      <c r="I702" s="22">
        <v>20139.810000000001</v>
      </c>
      <c r="J702" s="22"/>
      <c r="K702" s="22">
        <f t="shared" si="9"/>
        <v>20139.810000000001</v>
      </c>
      <c r="L702" s="17"/>
      <c r="M702" s="6" t="s">
        <v>581</v>
      </c>
      <c r="N702" s="1" t="s">
        <v>1451</v>
      </c>
    </row>
    <row r="703" spans="1:20" x14ac:dyDescent="0.25">
      <c r="A703" s="10">
        <v>46064</v>
      </c>
      <c r="B703" s="2" t="s">
        <v>1448</v>
      </c>
      <c r="C703" s="2" t="s">
        <v>1449</v>
      </c>
      <c r="D703" s="2" t="s">
        <v>1450</v>
      </c>
      <c r="E703" s="3" t="s">
        <v>1068</v>
      </c>
      <c r="G703" s="4" t="s">
        <v>48</v>
      </c>
      <c r="H703" s="22" t="s">
        <v>49</v>
      </c>
      <c r="I703" s="22"/>
      <c r="J703" s="22">
        <f>I702</f>
        <v>20139.810000000001</v>
      </c>
      <c r="K703" s="22">
        <f t="shared" si="9"/>
        <v>20139.810000000001</v>
      </c>
      <c r="L703" s="17"/>
    </row>
    <row r="704" spans="1:20" ht="24" x14ac:dyDescent="0.25">
      <c r="A704" s="10">
        <v>46064</v>
      </c>
      <c r="B704" s="2" t="s">
        <v>1452</v>
      </c>
      <c r="C704" s="2" t="s">
        <v>1453</v>
      </c>
      <c r="D704" s="2" t="s">
        <v>1454</v>
      </c>
      <c r="E704" s="3" t="s">
        <v>1455</v>
      </c>
      <c r="F704" s="4">
        <f>55000-5500-1100</f>
        <v>48400</v>
      </c>
      <c r="G704" s="4" t="s">
        <v>1456</v>
      </c>
      <c r="H704" s="22"/>
      <c r="I704" s="22"/>
      <c r="J704" s="22"/>
      <c r="K704" s="22">
        <f t="shared" ref="K704:K773" si="10">ABS(I704-J704)</f>
        <v>0</v>
      </c>
      <c r="L704" s="17"/>
      <c r="M704" s="6" t="s">
        <v>581</v>
      </c>
      <c r="N704" s="1" t="s">
        <v>1457</v>
      </c>
    </row>
    <row r="705" spans="1:18" x14ac:dyDescent="0.25">
      <c r="A705" s="10">
        <v>46065</v>
      </c>
      <c r="B705" s="2" t="s">
        <v>1458</v>
      </c>
      <c r="E705" s="3" t="s">
        <v>472</v>
      </c>
      <c r="F705" s="4">
        <v>400000</v>
      </c>
      <c r="G705" s="4" t="s">
        <v>1030</v>
      </c>
      <c r="H705" s="34"/>
      <c r="I705" s="34"/>
      <c r="J705" s="34"/>
      <c r="K705" s="22">
        <f t="shared" si="10"/>
        <v>0</v>
      </c>
      <c r="L705" s="32"/>
      <c r="M705" s="23" t="s">
        <v>41</v>
      </c>
      <c r="N705" s="1" t="s">
        <v>1459</v>
      </c>
    </row>
    <row r="706" spans="1:18" x14ac:dyDescent="0.25">
      <c r="A706" s="10">
        <v>46065</v>
      </c>
      <c r="B706" s="2" t="s">
        <v>1460</v>
      </c>
      <c r="E706" s="3" t="s">
        <v>614</v>
      </c>
      <c r="F706" s="4">
        <v>82130</v>
      </c>
      <c r="G706" s="4" t="s">
        <v>48</v>
      </c>
      <c r="H706" s="22"/>
      <c r="I706" s="22"/>
      <c r="J706" s="22"/>
      <c r="K706" s="22">
        <f t="shared" si="10"/>
        <v>0</v>
      </c>
      <c r="L706" s="17"/>
      <c r="M706" s="23" t="s">
        <v>41</v>
      </c>
      <c r="N706" s="1" t="s">
        <v>1461</v>
      </c>
    </row>
    <row r="707" spans="1:18" x14ac:dyDescent="0.25">
      <c r="A707" s="10">
        <v>46065</v>
      </c>
      <c r="B707" s="2" t="s">
        <v>1462</v>
      </c>
      <c r="E707" s="3" t="s">
        <v>398</v>
      </c>
      <c r="F707" s="4">
        <v>175560</v>
      </c>
      <c r="G707" s="4" t="s">
        <v>167</v>
      </c>
      <c r="H707" s="22"/>
      <c r="I707" s="22"/>
      <c r="J707" s="22"/>
      <c r="K707" s="22">
        <f t="shared" si="10"/>
        <v>0</v>
      </c>
      <c r="L707" s="17"/>
      <c r="M707" s="23" t="s">
        <v>41</v>
      </c>
    </row>
    <row r="708" spans="1:18" ht="24" x14ac:dyDescent="0.25">
      <c r="A708" s="10">
        <v>46065</v>
      </c>
      <c r="B708" s="2" t="s">
        <v>1463</v>
      </c>
      <c r="C708" s="2" t="s">
        <v>1464</v>
      </c>
      <c r="D708" s="2" t="s">
        <v>1465</v>
      </c>
      <c r="E708" s="3" t="s">
        <v>553</v>
      </c>
      <c r="F708" s="4">
        <f>(4500/1.12)+(4500/1.12*0.12)-(4500/1.12*0.01)</f>
        <v>4459.8214285714284</v>
      </c>
      <c r="G708" s="4" t="s">
        <v>128</v>
      </c>
      <c r="H708" s="22" t="s">
        <v>40</v>
      </c>
      <c r="I708" s="22">
        <f>4500/1.12</f>
        <v>4017.8571428571427</v>
      </c>
      <c r="J708" s="22"/>
      <c r="K708" s="22">
        <f t="shared" si="10"/>
        <v>4017.8571428571427</v>
      </c>
      <c r="L708" s="17">
        <v>4459.82</v>
      </c>
      <c r="M708" s="23" t="s">
        <v>41</v>
      </c>
      <c r="N708" s="1" t="s">
        <v>1466</v>
      </c>
    </row>
    <row r="709" spans="1:18" x14ac:dyDescent="0.25">
      <c r="A709" s="10">
        <v>46065</v>
      </c>
      <c r="B709" s="2" t="s">
        <v>1463</v>
      </c>
      <c r="C709" s="2" t="s">
        <v>1464</v>
      </c>
      <c r="D709" s="2" t="s">
        <v>1465</v>
      </c>
      <c r="E709" s="3" t="s">
        <v>553</v>
      </c>
      <c r="G709" s="4" t="s">
        <v>128</v>
      </c>
      <c r="H709" s="22" t="s">
        <v>104</v>
      </c>
      <c r="I709" s="22">
        <f>I708*0.12</f>
        <v>482.14285714285711</v>
      </c>
      <c r="J709" s="22"/>
      <c r="K709" s="22">
        <f t="shared" si="10"/>
        <v>482.14285714285711</v>
      </c>
      <c r="L709" s="32"/>
      <c r="M709" s="26"/>
    </row>
    <row r="710" spans="1:18" x14ac:dyDescent="0.25">
      <c r="A710" s="10">
        <v>46065</v>
      </c>
      <c r="B710" s="2" t="s">
        <v>1463</v>
      </c>
      <c r="C710" s="2" t="s">
        <v>1464</v>
      </c>
      <c r="D710" s="2" t="s">
        <v>1465</v>
      </c>
      <c r="E710" s="3" t="s">
        <v>553</v>
      </c>
      <c r="G710" s="4" t="s">
        <v>128</v>
      </c>
      <c r="H710" s="22" t="s">
        <v>105</v>
      </c>
      <c r="I710" s="22"/>
      <c r="J710" s="22">
        <f>I708*0.01</f>
        <v>40.178571428571431</v>
      </c>
      <c r="K710" s="22">
        <f t="shared" si="10"/>
        <v>40.178571428571431</v>
      </c>
      <c r="L710" s="32"/>
      <c r="M710" s="26"/>
    </row>
    <row r="711" spans="1:18" x14ac:dyDescent="0.25">
      <c r="A711" s="10">
        <v>46065</v>
      </c>
      <c r="B711" s="2" t="s">
        <v>1463</v>
      </c>
      <c r="C711" s="2" t="s">
        <v>1464</v>
      </c>
      <c r="D711" s="2" t="s">
        <v>1465</v>
      </c>
      <c r="E711" s="3" t="s">
        <v>553</v>
      </c>
      <c r="G711" s="4" t="s">
        <v>48</v>
      </c>
      <c r="H711" s="22" t="s">
        <v>49</v>
      </c>
      <c r="I711" s="22"/>
      <c r="J711" s="22">
        <f>I708+I709-J710</f>
        <v>4459.8214285714284</v>
      </c>
      <c r="K711" s="22">
        <f t="shared" si="10"/>
        <v>4459.8214285714284</v>
      </c>
      <c r="L711" s="32"/>
      <c r="M711" s="26"/>
    </row>
    <row r="712" spans="1:18" ht="24" x14ac:dyDescent="0.25">
      <c r="A712" s="10">
        <v>46065</v>
      </c>
      <c r="B712" s="2" t="s">
        <v>1467</v>
      </c>
      <c r="C712" s="2" t="s">
        <v>95</v>
      </c>
      <c r="D712" s="2" t="s">
        <v>1468</v>
      </c>
      <c r="E712" s="3" t="s">
        <v>955</v>
      </c>
      <c r="F712" s="4">
        <v>3000</v>
      </c>
      <c r="G712" s="4" t="s">
        <v>128</v>
      </c>
      <c r="H712" s="22"/>
      <c r="I712" s="22"/>
      <c r="J712" s="22"/>
      <c r="K712" s="22">
        <f t="shared" si="10"/>
        <v>0</v>
      </c>
      <c r="L712" s="17"/>
      <c r="M712" s="23" t="s">
        <v>41</v>
      </c>
      <c r="N712" s="1" t="s">
        <v>1469</v>
      </c>
    </row>
    <row r="713" spans="1:18" x14ac:dyDescent="0.25">
      <c r="A713" s="10">
        <v>46065</v>
      </c>
      <c r="B713" s="2" t="s">
        <v>1470</v>
      </c>
      <c r="C713" s="2" t="s">
        <v>396</v>
      </c>
      <c r="D713" s="2" t="s">
        <v>1471</v>
      </c>
      <c r="E713" s="3" t="s">
        <v>467</v>
      </c>
      <c r="F713" s="4">
        <v>10814.24</v>
      </c>
      <c r="G713" s="4" t="s">
        <v>167</v>
      </c>
      <c r="H713" s="22"/>
      <c r="I713" s="22"/>
      <c r="J713" s="22"/>
      <c r="K713" s="22">
        <f t="shared" si="10"/>
        <v>0</v>
      </c>
      <c r="L713" s="17">
        <v>10814.24</v>
      </c>
      <c r="M713" s="23" t="s">
        <v>41</v>
      </c>
      <c r="N713" s="1" t="s">
        <v>1472</v>
      </c>
    </row>
    <row r="714" spans="1:18" ht="24" x14ac:dyDescent="0.25">
      <c r="A714" s="10">
        <v>46065</v>
      </c>
      <c r="B714" s="2" t="s">
        <v>1473</v>
      </c>
      <c r="E714" s="3" t="s">
        <v>27</v>
      </c>
      <c r="F714" s="4">
        <v>52313.95</v>
      </c>
      <c r="G714" s="4" t="s">
        <v>48</v>
      </c>
      <c r="H714" s="22"/>
      <c r="I714" s="22"/>
      <c r="J714" s="22"/>
      <c r="K714" s="22">
        <f t="shared" si="10"/>
        <v>0</v>
      </c>
      <c r="L714" s="17"/>
      <c r="M714" s="23" t="s">
        <v>41</v>
      </c>
      <c r="N714" s="1" t="s">
        <v>1474</v>
      </c>
      <c r="R714" s="7" t="s">
        <v>1013</v>
      </c>
    </row>
    <row r="715" spans="1:18" x14ac:dyDescent="0.25">
      <c r="A715" s="10">
        <v>46066</v>
      </c>
      <c r="B715" s="2" t="s">
        <v>1475</v>
      </c>
      <c r="E715" s="3" t="s">
        <v>27</v>
      </c>
      <c r="F715" s="4">
        <v>450000</v>
      </c>
      <c r="G715" s="4" t="s">
        <v>48</v>
      </c>
      <c r="H715" s="22"/>
      <c r="I715" s="22"/>
      <c r="J715" s="22"/>
      <c r="K715" s="22">
        <f t="shared" si="10"/>
        <v>0</v>
      </c>
      <c r="L715" s="17"/>
      <c r="M715" s="23"/>
      <c r="N715" s="1" t="s">
        <v>1476</v>
      </c>
    </row>
    <row r="716" spans="1:18" ht="24" x14ac:dyDescent="0.25">
      <c r="A716" s="10">
        <v>46066</v>
      </c>
      <c r="B716" s="2" t="s">
        <v>1477</v>
      </c>
      <c r="E716" s="3" t="s">
        <v>27</v>
      </c>
      <c r="F716" s="4">
        <f>119000+6000</f>
        <v>125000</v>
      </c>
      <c r="G716" s="4" t="s">
        <v>48</v>
      </c>
      <c r="H716" s="22"/>
      <c r="I716" s="22"/>
      <c r="J716" s="22"/>
      <c r="K716" s="22">
        <f t="shared" si="10"/>
        <v>0</v>
      </c>
      <c r="L716" s="17"/>
      <c r="N716" s="1" t="s">
        <v>1478</v>
      </c>
    </row>
    <row r="717" spans="1:18" ht="24" x14ac:dyDescent="0.25">
      <c r="A717" s="10">
        <v>46066</v>
      </c>
      <c r="B717" s="2" t="s">
        <v>1479</v>
      </c>
      <c r="E717" s="3" t="s">
        <v>27</v>
      </c>
      <c r="F717" s="4">
        <f>89901.59+10098.41</f>
        <v>100000</v>
      </c>
      <c r="G717" s="4" t="s">
        <v>326</v>
      </c>
      <c r="H717" s="22"/>
      <c r="I717" s="22"/>
      <c r="J717" s="22"/>
      <c r="K717" s="22">
        <f t="shared" si="10"/>
        <v>0</v>
      </c>
      <c r="L717" s="17"/>
      <c r="N717" s="1" t="s">
        <v>1480</v>
      </c>
    </row>
    <row r="718" spans="1:18" ht="24" x14ac:dyDescent="0.25">
      <c r="A718" s="10">
        <v>46066</v>
      </c>
      <c r="B718" s="2" t="s">
        <v>1481</v>
      </c>
      <c r="E718" s="3" t="s">
        <v>27</v>
      </c>
      <c r="F718" s="4">
        <v>80000</v>
      </c>
      <c r="G718" s="4" t="s">
        <v>326</v>
      </c>
      <c r="H718" s="34"/>
      <c r="I718" s="34"/>
      <c r="J718" s="34"/>
      <c r="K718" s="22">
        <f t="shared" si="10"/>
        <v>0</v>
      </c>
      <c r="L718" s="32"/>
      <c r="N718" s="1" t="s">
        <v>1482</v>
      </c>
    </row>
    <row r="719" spans="1:18" x14ac:dyDescent="0.25">
      <c r="A719" s="10">
        <v>46066</v>
      </c>
      <c r="B719" s="2" t="s">
        <v>1483</v>
      </c>
      <c r="E719" s="3" t="s">
        <v>261</v>
      </c>
      <c r="F719" s="4">
        <v>120000</v>
      </c>
      <c r="G719" s="4" t="s">
        <v>488</v>
      </c>
      <c r="H719" s="22"/>
      <c r="I719" s="22"/>
      <c r="J719" s="22"/>
      <c r="K719" s="22">
        <f t="shared" si="10"/>
        <v>0</v>
      </c>
      <c r="L719" s="17"/>
    </row>
    <row r="720" spans="1:18" ht="24" x14ac:dyDescent="0.25">
      <c r="A720" s="10">
        <v>46066</v>
      </c>
      <c r="B720" s="2" t="s">
        <v>1484</v>
      </c>
      <c r="C720" s="2" t="s">
        <v>259</v>
      </c>
      <c r="E720" s="3" t="s">
        <v>371</v>
      </c>
      <c r="F720" s="4">
        <v>25000</v>
      </c>
      <c r="G720" s="4" t="s">
        <v>98</v>
      </c>
      <c r="H720" s="22"/>
      <c r="I720" s="22"/>
      <c r="J720" s="22"/>
      <c r="K720" s="22">
        <f t="shared" si="10"/>
        <v>0</v>
      </c>
      <c r="L720" s="17"/>
      <c r="N720" s="1" t="s">
        <v>1485</v>
      </c>
    </row>
    <row r="721" spans="1:20" ht="24" x14ac:dyDescent="0.25">
      <c r="A721" s="10">
        <v>46066</v>
      </c>
      <c r="B721" s="2" t="s">
        <v>1486</v>
      </c>
      <c r="C721" s="2" t="s">
        <v>95</v>
      </c>
      <c r="D721" s="2" t="s">
        <v>1487</v>
      </c>
      <c r="E721" s="44" t="s">
        <v>76</v>
      </c>
      <c r="F721" s="4">
        <v>10300</v>
      </c>
      <c r="G721" s="4" t="s">
        <v>77</v>
      </c>
      <c r="H721" s="22"/>
      <c r="I721" s="22"/>
      <c r="J721" s="22"/>
      <c r="K721" s="22">
        <f t="shared" si="10"/>
        <v>0</v>
      </c>
      <c r="L721" s="17">
        <v>10300</v>
      </c>
      <c r="M721" s="23" t="s">
        <v>41</v>
      </c>
      <c r="N721" s="1" t="s">
        <v>1488</v>
      </c>
      <c r="O721" s="7" t="s">
        <v>1489</v>
      </c>
      <c r="Q721" s="7" t="s">
        <v>81</v>
      </c>
      <c r="R721" s="7" t="s">
        <v>1225</v>
      </c>
      <c r="S721" s="3" t="s">
        <v>83</v>
      </c>
      <c r="T721" s="3" t="s">
        <v>1490</v>
      </c>
    </row>
    <row r="722" spans="1:20" ht="36" x14ac:dyDescent="0.25">
      <c r="A722" s="10">
        <v>46066</v>
      </c>
      <c r="B722" s="2" t="s">
        <v>1491</v>
      </c>
      <c r="C722" s="2" t="s">
        <v>1492</v>
      </c>
      <c r="D722" s="2" t="s">
        <v>1493</v>
      </c>
      <c r="E722" s="44" t="s">
        <v>1494</v>
      </c>
      <c r="F722" s="4">
        <f>(38772/1.12)+(38772/1.12*0.12)-(38772/1.12*0.01)</f>
        <v>38425.82142857142</v>
      </c>
      <c r="G722" s="4" t="s">
        <v>1495</v>
      </c>
      <c r="H722" s="22" t="s">
        <v>40</v>
      </c>
      <c r="I722" s="22">
        <f>38772/1.12</f>
        <v>34617.857142857138</v>
      </c>
      <c r="J722" s="22"/>
      <c r="K722" s="22">
        <f t="shared" si="10"/>
        <v>34617.857142857138</v>
      </c>
      <c r="L722" s="17">
        <v>38425.82</v>
      </c>
      <c r="M722" s="23" t="s">
        <v>41</v>
      </c>
      <c r="N722" s="1" t="s">
        <v>1496</v>
      </c>
      <c r="O722" s="7" t="s">
        <v>116</v>
      </c>
      <c r="P722" s="7" t="s">
        <v>81</v>
      </c>
      <c r="R722" s="7" t="s">
        <v>1232</v>
      </c>
      <c r="S722" s="3" t="s">
        <v>83</v>
      </c>
      <c r="T722" s="3" t="s">
        <v>1233</v>
      </c>
    </row>
    <row r="723" spans="1:20" ht="24" x14ac:dyDescent="0.25">
      <c r="A723" s="10">
        <v>46066</v>
      </c>
      <c r="B723" s="2" t="s">
        <v>1491</v>
      </c>
      <c r="C723" s="2" t="s">
        <v>1492</v>
      </c>
      <c r="D723" s="2" t="s">
        <v>1493</v>
      </c>
      <c r="E723" s="44" t="s">
        <v>1494</v>
      </c>
      <c r="G723" s="4" t="s">
        <v>1495</v>
      </c>
      <c r="H723" s="22" t="s">
        <v>104</v>
      </c>
      <c r="I723" s="22">
        <f>I722*0.12</f>
        <v>4154.142857142856</v>
      </c>
      <c r="J723" s="22"/>
      <c r="K723" s="22">
        <f t="shared" si="10"/>
        <v>4154.142857142856</v>
      </c>
      <c r="L723" s="17"/>
    </row>
    <row r="724" spans="1:20" ht="24" x14ac:dyDescent="0.25">
      <c r="A724" s="10">
        <v>46066</v>
      </c>
      <c r="B724" s="2" t="s">
        <v>1491</v>
      </c>
      <c r="C724" s="2" t="s">
        <v>1492</v>
      </c>
      <c r="D724" s="2" t="s">
        <v>1493</v>
      </c>
      <c r="E724" s="44" t="s">
        <v>1494</v>
      </c>
      <c r="G724" s="4" t="s">
        <v>1495</v>
      </c>
      <c r="H724" s="22" t="s">
        <v>105</v>
      </c>
      <c r="I724" s="22"/>
      <c r="J724" s="22">
        <f>I722*0.01</f>
        <v>346.17857142857139</v>
      </c>
      <c r="K724" s="22">
        <f t="shared" si="10"/>
        <v>346.17857142857139</v>
      </c>
      <c r="L724" s="17"/>
    </row>
    <row r="725" spans="1:20" ht="24" x14ac:dyDescent="0.25">
      <c r="A725" s="10">
        <v>46066</v>
      </c>
      <c r="B725" s="2" t="s">
        <v>1491</v>
      </c>
      <c r="C725" s="2" t="s">
        <v>1492</v>
      </c>
      <c r="D725" s="2" t="s">
        <v>1493</v>
      </c>
      <c r="E725" s="44" t="s">
        <v>1494</v>
      </c>
      <c r="G725" s="3" t="s">
        <v>48</v>
      </c>
      <c r="H725" s="22" t="s">
        <v>49</v>
      </c>
      <c r="I725" s="22"/>
      <c r="J725" s="22">
        <f>I722+I723-J724</f>
        <v>38425.82142857142</v>
      </c>
      <c r="K725" s="22">
        <f t="shared" si="10"/>
        <v>38425.82142857142</v>
      </c>
      <c r="L725" s="17"/>
    </row>
    <row r="726" spans="1:20" ht="24" x14ac:dyDescent="0.25">
      <c r="A726" s="10">
        <v>46066</v>
      </c>
      <c r="B726" s="2" t="s">
        <v>1497</v>
      </c>
      <c r="C726" s="2" t="s">
        <v>1498</v>
      </c>
      <c r="D726" s="2" t="s">
        <v>1499</v>
      </c>
      <c r="E726" s="44" t="s">
        <v>455</v>
      </c>
      <c r="F726" s="4">
        <f>(1950/1.12)+(1950/1.12*0.12)-(1950/1.12*0.01)</f>
        <v>1932.5892857142856</v>
      </c>
      <c r="G726" s="3" t="s">
        <v>28</v>
      </c>
      <c r="H726" s="34" t="s">
        <v>40</v>
      </c>
      <c r="I726" s="22">
        <f>1950/1.12</f>
        <v>1741.0714285714284</v>
      </c>
      <c r="J726" s="34"/>
      <c r="K726" s="22">
        <f t="shared" si="10"/>
        <v>1741.0714285714284</v>
      </c>
      <c r="L726" s="17">
        <v>1932.59</v>
      </c>
      <c r="M726" s="23" t="s">
        <v>41</v>
      </c>
      <c r="N726" s="1" t="s">
        <v>1500</v>
      </c>
      <c r="O726" s="7" t="s">
        <v>116</v>
      </c>
      <c r="P726" s="7" t="s">
        <v>81</v>
      </c>
      <c r="R726" s="7" t="s">
        <v>1232</v>
      </c>
      <c r="S726" s="3" t="s">
        <v>83</v>
      </c>
      <c r="T726" s="3" t="s">
        <v>1233</v>
      </c>
    </row>
    <row r="727" spans="1:20" x14ac:dyDescent="0.25">
      <c r="A727" s="10">
        <v>46066</v>
      </c>
      <c r="B727" s="2" t="s">
        <v>1497</v>
      </c>
      <c r="C727" s="2" t="s">
        <v>1498</v>
      </c>
      <c r="D727" s="2" t="s">
        <v>1499</v>
      </c>
      <c r="E727" s="44" t="s">
        <v>455</v>
      </c>
      <c r="G727" s="3" t="s">
        <v>28</v>
      </c>
      <c r="H727" s="34" t="s">
        <v>104</v>
      </c>
      <c r="I727" s="41">
        <f>I726*0.12</f>
        <v>208.92857142857142</v>
      </c>
      <c r="J727" s="34"/>
      <c r="K727" s="22">
        <f t="shared" si="10"/>
        <v>208.92857142857142</v>
      </c>
      <c r="L727" s="32"/>
    </row>
    <row r="728" spans="1:20" x14ac:dyDescent="0.25">
      <c r="A728" s="10">
        <v>46066</v>
      </c>
      <c r="B728" s="2" t="s">
        <v>1497</v>
      </c>
      <c r="C728" s="2" t="s">
        <v>1498</v>
      </c>
      <c r="D728" s="2" t="s">
        <v>1499</v>
      </c>
      <c r="E728" s="44" t="s">
        <v>455</v>
      </c>
      <c r="G728" s="3" t="s">
        <v>28</v>
      </c>
      <c r="H728" s="34" t="s">
        <v>105</v>
      </c>
      <c r="I728" s="34"/>
      <c r="J728" s="41">
        <f>I726*0.01</f>
        <v>17.410714285714285</v>
      </c>
      <c r="K728" s="22">
        <f t="shared" si="10"/>
        <v>17.410714285714285</v>
      </c>
      <c r="L728" s="32"/>
    </row>
    <row r="729" spans="1:20" x14ac:dyDescent="0.25">
      <c r="A729" s="10">
        <v>46066</v>
      </c>
      <c r="B729" s="2" t="s">
        <v>1497</v>
      </c>
      <c r="C729" s="2" t="s">
        <v>1498</v>
      </c>
      <c r="D729" s="2" t="s">
        <v>1499</v>
      </c>
      <c r="E729" s="44" t="s">
        <v>455</v>
      </c>
      <c r="G729" s="3" t="s">
        <v>48</v>
      </c>
      <c r="H729" s="22" t="s">
        <v>49</v>
      </c>
      <c r="I729" s="34"/>
      <c r="J729" s="41">
        <f>I726+I727-J728</f>
        <v>1932.5892857142856</v>
      </c>
      <c r="K729" s="22">
        <f t="shared" si="10"/>
        <v>1932.5892857142856</v>
      </c>
      <c r="L729" s="32"/>
    </row>
    <row r="730" spans="1:20" ht="24" x14ac:dyDescent="0.25">
      <c r="A730" s="10">
        <v>46066</v>
      </c>
      <c r="B730" s="2" t="s">
        <v>1501</v>
      </c>
      <c r="C730" s="2" t="s">
        <v>1502</v>
      </c>
      <c r="D730" s="2" t="s">
        <v>1499</v>
      </c>
      <c r="E730" s="44" t="s">
        <v>1068</v>
      </c>
      <c r="F730" s="4">
        <v>17085</v>
      </c>
      <c r="G730" s="3" t="s">
        <v>28</v>
      </c>
      <c r="H730" s="22" t="s">
        <v>40</v>
      </c>
      <c r="I730" s="22">
        <v>17085</v>
      </c>
      <c r="J730" s="22"/>
      <c r="K730" s="22">
        <f t="shared" si="10"/>
        <v>17085</v>
      </c>
      <c r="L730" s="17"/>
      <c r="M730" s="6" t="s">
        <v>581</v>
      </c>
      <c r="N730" s="1" t="s">
        <v>1503</v>
      </c>
    </row>
    <row r="731" spans="1:20" x14ac:dyDescent="0.25">
      <c r="A731" s="10">
        <v>46066</v>
      </c>
      <c r="B731" s="2" t="s">
        <v>1501</v>
      </c>
      <c r="C731" s="2" t="s">
        <v>1502</v>
      </c>
      <c r="D731" s="2" t="s">
        <v>1499</v>
      </c>
      <c r="E731" s="44" t="s">
        <v>1068</v>
      </c>
      <c r="G731" s="3" t="s">
        <v>48</v>
      </c>
      <c r="H731" s="22" t="s">
        <v>49</v>
      </c>
      <c r="I731" s="22"/>
      <c r="J731" s="22">
        <f>I730</f>
        <v>17085</v>
      </c>
      <c r="K731" s="22">
        <f t="shared" si="10"/>
        <v>17085</v>
      </c>
      <c r="L731" s="17"/>
    </row>
    <row r="732" spans="1:20" ht="24" x14ac:dyDescent="0.25">
      <c r="A732" s="10">
        <v>46066</v>
      </c>
      <c r="B732" s="2" t="s">
        <v>1504</v>
      </c>
      <c r="C732" s="2" t="s">
        <v>1505</v>
      </c>
      <c r="D732" s="2" t="s">
        <v>1506</v>
      </c>
      <c r="E732" s="44" t="s">
        <v>252</v>
      </c>
      <c r="F732" s="4">
        <v>8960</v>
      </c>
      <c r="G732" s="4" t="s">
        <v>128</v>
      </c>
      <c r="H732" s="22"/>
      <c r="I732" s="22"/>
      <c r="J732" s="22"/>
      <c r="K732" s="22">
        <f t="shared" si="10"/>
        <v>0</v>
      </c>
      <c r="L732" s="17">
        <v>0</v>
      </c>
      <c r="M732" s="29" t="s">
        <v>99</v>
      </c>
      <c r="N732" s="1" t="s">
        <v>1507</v>
      </c>
    </row>
    <row r="733" spans="1:20" x14ac:dyDescent="0.25">
      <c r="A733" s="10">
        <v>46066</v>
      </c>
      <c r="B733" s="2" t="s">
        <v>1508</v>
      </c>
      <c r="E733" s="44" t="s">
        <v>498</v>
      </c>
      <c r="F733" s="4">
        <v>186977.96</v>
      </c>
      <c r="G733" s="3" t="s">
        <v>48</v>
      </c>
      <c r="H733" s="34"/>
      <c r="I733" s="34"/>
      <c r="J733" s="34"/>
      <c r="K733" s="22">
        <f t="shared" si="10"/>
        <v>0</v>
      </c>
      <c r="L733" s="32"/>
      <c r="M733" s="23" t="s">
        <v>41</v>
      </c>
    </row>
    <row r="734" spans="1:20" x14ac:dyDescent="0.25">
      <c r="A734" s="10">
        <v>46066</v>
      </c>
      <c r="B734" s="2" t="s">
        <v>1509</v>
      </c>
      <c r="E734" s="44" t="s">
        <v>498</v>
      </c>
      <c r="F734" s="4">
        <v>154999.14000000001</v>
      </c>
      <c r="G734" s="4" t="s">
        <v>326</v>
      </c>
      <c r="H734" s="22"/>
      <c r="I734" s="22"/>
      <c r="J734" s="22"/>
      <c r="K734" s="22">
        <f t="shared" si="10"/>
        <v>0</v>
      </c>
      <c r="L734" s="17"/>
      <c r="M734" s="23" t="s">
        <v>41</v>
      </c>
    </row>
    <row r="735" spans="1:20" ht="24" x14ac:dyDescent="0.25">
      <c r="A735" s="10">
        <v>46069</v>
      </c>
      <c r="B735" s="2" t="s">
        <v>1510</v>
      </c>
      <c r="C735" s="2" t="s">
        <v>95</v>
      </c>
      <c r="D735" s="2" t="s">
        <v>1511</v>
      </c>
      <c r="E735" s="3" t="s">
        <v>76</v>
      </c>
      <c r="F735" s="4">
        <v>16000</v>
      </c>
      <c r="G735" s="4" t="s">
        <v>77</v>
      </c>
      <c r="H735" s="22" t="s">
        <v>78</v>
      </c>
      <c r="I735" s="22">
        <v>16000</v>
      </c>
      <c r="J735" s="22"/>
      <c r="K735" s="22">
        <f t="shared" si="10"/>
        <v>16000</v>
      </c>
      <c r="L735" s="17">
        <v>16000</v>
      </c>
      <c r="M735" s="23" t="s">
        <v>41</v>
      </c>
      <c r="N735" s="1" t="s">
        <v>1512</v>
      </c>
      <c r="O735" s="7" t="s">
        <v>1513</v>
      </c>
      <c r="P735" s="7" t="s">
        <v>81</v>
      </c>
      <c r="R735" s="7" t="s">
        <v>1232</v>
      </c>
      <c r="S735" s="3" t="s">
        <v>83</v>
      </c>
      <c r="T735" s="3" t="s">
        <v>1233</v>
      </c>
    </row>
    <row r="736" spans="1:20" x14ac:dyDescent="0.25">
      <c r="A736" s="10">
        <v>46069</v>
      </c>
      <c r="B736" s="2" t="s">
        <v>1510</v>
      </c>
      <c r="C736" s="2" t="s">
        <v>95</v>
      </c>
      <c r="D736" s="2" t="s">
        <v>1511</v>
      </c>
      <c r="E736" s="3" t="s">
        <v>76</v>
      </c>
      <c r="G736" s="3" t="s">
        <v>48</v>
      </c>
      <c r="H736" s="22" t="s">
        <v>49</v>
      </c>
      <c r="I736" s="22"/>
      <c r="J736" s="22">
        <f>I735</f>
        <v>16000</v>
      </c>
      <c r="K736" s="22">
        <f t="shared" si="10"/>
        <v>16000</v>
      </c>
      <c r="L736" s="17"/>
    </row>
    <row r="737" spans="1:20" ht="24" x14ac:dyDescent="0.25">
      <c r="A737" s="10">
        <v>46069</v>
      </c>
      <c r="B737" s="2" t="s">
        <v>1514</v>
      </c>
      <c r="E737" s="3" t="s">
        <v>27</v>
      </c>
      <c r="F737" s="4">
        <v>370000</v>
      </c>
      <c r="G737" s="3" t="s">
        <v>48</v>
      </c>
      <c r="H737" s="34"/>
      <c r="I737" s="34"/>
      <c r="J737" s="34"/>
      <c r="K737" s="22">
        <f t="shared" si="10"/>
        <v>0</v>
      </c>
      <c r="L737" s="32"/>
      <c r="N737" s="1" t="s">
        <v>1515</v>
      </c>
    </row>
    <row r="738" spans="1:20" x14ac:dyDescent="0.25">
      <c r="A738" s="10">
        <v>46069</v>
      </c>
      <c r="B738" s="2" t="s">
        <v>1516</v>
      </c>
      <c r="E738" s="3" t="s">
        <v>467</v>
      </c>
      <c r="F738" s="4">
        <v>450000</v>
      </c>
      <c r="G738" s="3" t="s">
        <v>48</v>
      </c>
      <c r="H738" s="22"/>
      <c r="I738" s="22"/>
      <c r="J738" s="22"/>
      <c r="K738" s="22">
        <f t="shared" si="10"/>
        <v>0</v>
      </c>
      <c r="L738" s="17"/>
      <c r="N738" s="1" t="s">
        <v>1517</v>
      </c>
    </row>
    <row r="739" spans="1:20" ht="24" x14ac:dyDescent="0.25">
      <c r="A739" s="10">
        <v>46069</v>
      </c>
      <c r="B739" s="2" t="s">
        <v>1518</v>
      </c>
      <c r="E739" s="3" t="s">
        <v>27</v>
      </c>
      <c r="F739" s="4">
        <v>80000</v>
      </c>
      <c r="G739" s="3" t="s">
        <v>326</v>
      </c>
      <c r="H739" s="22"/>
      <c r="I739" s="22"/>
      <c r="J739" s="22"/>
      <c r="K739" s="22">
        <f t="shared" si="10"/>
        <v>0</v>
      </c>
      <c r="L739" s="17"/>
      <c r="N739" s="1" t="s">
        <v>1519</v>
      </c>
    </row>
    <row r="740" spans="1:20" x14ac:dyDescent="0.25">
      <c r="A740" s="10">
        <v>46069</v>
      </c>
      <c r="B740" s="2" t="s">
        <v>1520</v>
      </c>
      <c r="D740" s="31" t="s">
        <v>1521</v>
      </c>
      <c r="E740" s="3" t="s">
        <v>484</v>
      </c>
      <c r="F740" s="4">
        <v>5000</v>
      </c>
      <c r="G740" s="4" t="s">
        <v>447</v>
      </c>
      <c r="H740" s="22"/>
      <c r="I740" s="22"/>
      <c r="J740" s="22"/>
      <c r="K740" s="22">
        <f t="shared" si="10"/>
        <v>0</v>
      </c>
      <c r="L740" s="17"/>
      <c r="M740" s="23" t="s">
        <v>41</v>
      </c>
      <c r="N740" s="1" t="s">
        <v>1522</v>
      </c>
    </row>
    <row r="741" spans="1:20" ht="24" x14ac:dyDescent="0.25">
      <c r="A741" s="10">
        <v>46069</v>
      </c>
      <c r="B741" s="2" t="s">
        <v>1523</v>
      </c>
      <c r="E741" s="3" t="s">
        <v>398</v>
      </c>
      <c r="F741" s="4">
        <v>50000</v>
      </c>
      <c r="G741" s="4" t="s">
        <v>262</v>
      </c>
      <c r="H741" s="22"/>
      <c r="I741" s="22"/>
      <c r="J741" s="22"/>
      <c r="K741" s="22">
        <f t="shared" si="10"/>
        <v>0</v>
      </c>
      <c r="L741" s="17"/>
      <c r="M741" s="23" t="s">
        <v>41</v>
      </c>
      <c r="N741" s="1" t="s">
        <v>1524</v>
      </c>
    </row>
    <row r="742" spans="1:20" ht="24" x14ac:dyDescent="0.25">
      <c r="A742" s="10">
        <v>46069</v>
      </c>
      <c r="B742" s="2" t="s">
        <v>1525</v>
      </c>
      <c r="C742" s="2" t="s">
        <v>259</v>
      </c>
      <c r="E742" s="3" t="s">
        <v>371</v>
      </c>
      <c r="F742" s="4">
        <v>25000</v>
      </c>
      <c r="G742" s="3" t="s">
        <v>98</v>
      </c>
      <c r="H742" s="34"/>
      <c r="I742" s="34"/>
      <c r="J742" s="34"/>
      <c r="K742" s="22">
        <f t="shared" si="10"/>
        <v>0</v>
      </c>
      <c r="L742" s="32"/>
      <c r="N742" s="1" t="s">
        <v>1526</v>
      </c>
    </row>
    <row r="743" spans="1:20" ht="24" x14ac:dyDescent="0.25">
      <c r="A743" s="10">
        <v>46069</v>
      </c>
      <c r="B743" s="2" t="s">
        <v>1527</v>
      </c>
      <c r="E743" s="3" t="s">
        <v>27</v>
      </c>
      <c r="F743" s="4">
        <v>35000</v>
      </c>
      <c r="G743" s="4" t="s">
        <v>326</v>
      </c>
      <c r="H743" s="22"/>
      <c r="I743" s="22"/>
      <c r="J743" s="22"/>
      <c r="K743" s="22">
        <f t="shared" si="10"/>
        <v>0</v>
      </c>
      <c r="L743" s="17"/>
      <c r="N743" s="1" t="s">
        <v>1528</v>
      </c>
    </row>
    <row r="744" spans="1:20" ht="24" x14ac:dyDescent="0.25">
      <c r="A744" s="10">
        <v>46069</v>
      </c>
      <c r="B744" s="2" t="s">
        <v>1529</v>
      </c>
      <c r="E744" s="3" t="s">
        <v>27</v>
      </c>
      <c r="F744" s="4">
        <v>35000</v>
      </c>
      <c r="G744" s="4" t="s">
        <v>326</v>
      </c>
      <c r="H744" s="22"/>
      <c r="I744" s="22"/>
      <c r="J744" s="22"/>
      <c r="K744" s="22">
        <f t="shared" si="10"/>
        <v>0</v>
      </c>
      <c r="L744" s="17"/>
      <c r="N744" s="1" t="s">
        <v>1530</v>
      </c>
    </row>
    <row r="745" spans="1:20" x14ac:dyDescent="0.25">
      <c r="A745" s="10">
        <v>46069</v>
      </c>
      <c r="B745" s="2" t="s">
        <v>1531</v>
      </c>
      <c r="E745" s="3" t="s">
        <v>27</v>
      </c>
      <c r="F745" s="4">
        <v>30000</v>
      </c>
      <c r="G745" s="4" t="s">
        <v>326</v>
      </c>
      <c r="H745" s="34"/>
      <c r="I745" s="34"/>
      <c r="J745" s="34"/>
      <c r="K745" s="22">
        <f t="shared" si="10"/>
        <v>0</v>
      </c>
      <c r="L745" s="32"/>
      <c r="N745" s="1" t="s">
        <v>1532</v>
      </c>
    </row>
    <row r="746" spans="1:20" ht="24" x14ac:dyDescent="0.25">
      <c r="A746" s="10">
        <v>46071</v>
      </c>
      <c r="B746" s="2" t="s">
        <v>1533</v>
      </c>
      <c r="D746" s="2" t="s">
        <v>1534</v>
      </c>
      <c r="E746" s="3" t="s">
        <v>275</v>
      </c>
      <c r="F746" s="4">
        <f>(41969.24-822.93)+822.93-137.15</f>
        <v>41832.089999999997</v>
      </c>
      <c r="G746" s="4" t="s">
        <v>28</v>
      </c>
      <c r="H746" s="22" t="s">
        <v>276</v>
      </c>
      <c r="I746" s="22">
        <f>34288.59+6857.72</f>
        <v>41146.31</v>
      </c>
      <c r="J746" s="22"/>
      <c r="K746" s="22">
        <f t="shared" si="10"/>
        <v>41146.31</v>
      </c>
      <c r="L746" s="17"/>
      <c r="M746" s="6" t="s">
        <v>581</v>
      </c>
      <c r="N746" s="1" t="s">
        <v>1535</v>
      </c>
    </row>
    <row r="747" spans="1:20" x14ac:dyDescent="0.25">
      <c r="A747" s="10">
        <v>46071</v>
      </c>
      <c r="B747" s="2" t="s">
        <v>1533</v>
      </c>
      <c r="D747" s="2" t="s">
        <v>1534</v>
      </c>
      <c r="E747" s="3" t="s">
        <v>275</v>
      </c>
      <c r="G747" s="4" t="s">
        <v>28</v>
      </c>
      <c r="H747" s="22" t="s">
        <v>281</v>
      </c>
      <c r="I747" s="22">
        <v>822.93</v>
      </c>
      <c r="J747" s="22"/>
      <c r="K747" s="22">
        <f t="shared" si="10"/>
        <v>822.93</v>
      </c>
      <c r="L747" s="17"/>
    </row>
    <row r="748" spans="1:20" x14ac:dyDescent="0.25">
      <c r="A748" s="10">
        <v>46071</v>
      </c>
      <c r="B748" s="2" t="s">
        <v>1533</v>
      </c>
      <c r="D748" s="2" t="s">
        <v>1534</v>
      </c>
      <c r="E748" s="3" t="s">
        <v>275</v>
      </c>
      <c r="G748" s="4" t="s">
        <v>28</v>
      </c>
      <c r="H748" s="22" t="s">
        <v>282</v>
      </c>
      <c r="I748" s="22"/>
      <c r="J748" s="22">
        <v>137.15</v>
      </c>
      <c r="K748" s="22">
        <f t="shared" si="10"/>
        <v>137.15</v>
      </c>
      <c r="L748" s="17"/>
    </row>
    <row r="749" spans="1:20" x14ac:dyDescent="0.25">
      <c r="A749" s="10">
        <v>46071</v>
      </c>
      <c r="B749" s="2" t="s">
        <v>1533</v>
      </c>
      <c r="D749" s="2" t="s">
        <v>1534</v>
      </c>
      <c r="E749" s="3" t="s">
        <v>275</v>
      </c>
      <c r="G749" s="4" t="s">
        <v>48</v>
      </c>
      <c r="H749" s="22" t="s">
        <v>49</v>
      </c>
      <c r="I749" s="22"/>
      <c r="J749" s="22">
        <f>I746+I747-J748</f>
        <v>41832.089999999997</v>
      </c>
      <c r="K749" s="22">
        <f t="shared" si="10"/>
        <v>41832.089999999997</v>
      </c>
      <c r="L749" s="17"/>
    </row>
    <row r="750" spans="1:20" ht="24" x14ac:dyDescent="0.25">
      <c r="A750" s="10">
        <v>46071</v>
      </c>
      <c r="B750" s="2" t="s">
        <v>1536</v>
      </c>
      <c r="D750" s="2" t="s">
        <v>1534</v>
      </c>
      <c r="E750" s="3" t="s">
        <v>275</v>
      </c>
      <c r="F750" s="4">
        <f>(13592.53-266.52)+266.52-44.42</f>
        <v>13548.11</v>
      </c>
      <c r="G750" s="4" t="s">
        <v>48</v>
      </c>
      <c r="H750" s="22" t="s">
        <v>276</v>
      </c>
      <c r="I750" s="22">
        <f>11105.01+2221</f>
        <v>13326.01</v>
      </c>
      <c r="J750" s="22"/>
      <c r="K750" s="22">
        <f>ABS(I750-J750)</f>
        <v>13326.01</v>
      </c>
      <c r="L750" s="17">
        <v>13548.11</v>
      </c>
      <c r="M750" s="23" t="s">
        <v>41</v>
      </c>
      <c r="N750" s="1" t="s">
        <v>1537</v>
      </c>
      <c r="O750" s="7" t="s">
        <v>278</v>
      </c>
      <c r="P750" s="7" t="s">
        <v>81</v>
      </c>
      <c r="R750" s="7" t="s">
        <v>279</v>
      </c>
      <c r="S750" s="3" t="s">
        <v>83</v>
      </c>
      <c r="T750" s="3" t="s">
        <v>280</v>
      </c>
    </row>
    <row r="751" spans="1:20" x14ac:dyDescent="0.25">
      <c r="A751" s="10">
        <v>46071</v>
      </c>
      <c r="B751" s="2" t="s">
        <v>1536</v>
      </c>
      <c r="D751" s="2" t="s">
        <v>1534</v>
      </c>
      <c r="E751" s="3" t="s">
        <v>275</v>
      </c>
      <c r="G751" s="4" t="s">
        <v>48</v>
      </c>
      <c r="H751" s="22" t="s">
        <v>281</v>
      </c>
      <c r="I751" s="22">
        <v>266.52</v>
      </c>
      <c r="J751" s="22"/>
      <c r="K751" s="22">
        <f>ABS(I751-J751)</f>
        <v>266.52</v>
      </c>
      <c r="L751" s="17"/>
    </row>
    <row r="752" spans="1:20" x14ac:dyDescent="0.25">
      <c r="A752" s="10">
        <v>46071</v>
      </c>
      <c r="B752" s="2" t="s">
        <v>1536</v>
      </c>
      <c r="D752" s="2" t="s">
        <v>1534</v>
      </c>
      <c r="E752" s="3" t="s">
        <v>275</v>
      </c>
      <c r="G752" s="4" t="s">
        <v>48</v>
      </c>
      <c r="H752" s="22" t="s">
        <v>282</v>
      </c>
      <c r="I752" s="22"/>
      <c r="J752" s="22">
        <v>44.42</v>
      </c>
      <c r="K752" s="22">
        <f>ABS(I752-J752)</f>
        <v>44.42</v>
      </c>
      <c r="L752" s="17"/>
    </row>
    <row r="753" spans="1:20" x14ac:dyDescent="0.25">
      <c r="A753" s="10">
        <v>46071</v>
      </c>
      <c r="B753" s="2" t="s">
        <v>1536</v>
      </c>
      <c r="D753" s="2" t="s">
        <v>1534</v>
      </c>
      <c r="E753" s="3" t="s">
        <v>275</v>
      </c>
      <c r="G753" s="4" t="s">
        <v>48</v>
      </c>
      <c r="H753" s="22" t="s">
        <v>49</v>
      </c>
      <c r="I753" s="22"/>
      <c r="J753" s="22">
        <f>I750+I751-J752</f>
        <v>13548.11</v>
      </c>
      <c r="K753" s="22">
        <f>ABS(I753-J753)</f>
        <v>13548.11</v>
      </c>
      <c r="L753" s="17"/>
    </row>
    <row r="754" spans="1:20" ht="24" x14ac:dyDescent="0.25">
      <c r="A754" s="10">
        <v>46071</v>
      </c>
      <c r="B754" s="2" t="s">
        <v>1538</v>
      </c>
      <c r="C754" s="2" t="s">
        <v>1539</v>
      </c>
      <c r="D754" s="2" t="s">
        <v>1540</v>
      </c>
      <c r="E754" s="3" t="s">
        <v>562</v>
      </c>
      <c r="F754" s="4">
        <f>(7972/1.12)+(7972/1.12*0.12)-(7972/1.12*0.01)</f>
        <v>7900.8214285714275</v>
      </c>
      <c r="G754" s="4" t="s">
        <v>1541</v>
      </c>
      <c r="H754" s="22" t="s">
        <v>40</v>
      </c>
      <c r="I754" s="22">
        <f>7972/1.12</f>
        <v>7117.8571428571422</v>
      </c>
      <c r="J754" s="22"/>
      <c r="K754" s="22">
        <f t="shared" si="10"/>
        <v>7117.8571428571422</v>
      </c>
      <c r="L754" s="17">
        <v>7900.82</v>
      </c>
      <c r="M754" s="23" t="s">
        <v>41</v>
      </c>
      <c r="N754" s="1" t="s">
        <v>1542</v>
      </c>
      <c r="O754" s="7" t="s">
        <v>116</v>
      </c>
      <c r="P754" s="7" t="s">
        <v>81</v>
      </c>
      <c r="R754" s="7" t="s">
        <v>1232</v>
      </c>
      <c r="S754" s="3" t="s">
        <v>83</v>
      </c>
      <c r="T754" s="3" t="s">
        <v>1233</v>
      </c>
    </row>
    <row r="755" spans="1:20" x14ac:dyDescent="0.25">
      <c r="A755" s="10">
        <v>46071</v>
      </c>
      <c r="B755" s="2" t="s">
        <v>1538</v>
      </c>
      <c r="C755" s="2" t="s">
        <v>1539</v>
      </c>
      <c r="D755" s="2" t="s">
        <v>1540</v>
      </c>
      <c r="E755" s="3" t="s">
        <v>562</v>
      </c>
      <c r="G755" s="4" t="s">
        <v>1541</v>
      </c>
      <c r="H755" s="22" t="s">
        <v>104</v>
      </c>
      <c r="I755" s="22">
        <f>I754*0.12</f>
        <v>854.142857142857</v>
      </c>
      <c r="J755" s="22"/>
      <c r="K755" s="22">
        <f t="shared" si="10"/>
        <v>854.142857142857</v>
      </c>
      <c r="L755" s="17"/>
    </row>
    <row r="756" spans="1:20" x14ac:dyDescent="0.25">
      <c r="A756" s="10">
        <v>46071</v>
      </c>
      <c r="B756" s="2" t="s">
        <v>1538</v>
      </c>
      <c r="C756" s="2" t="s">
        <v>1539</v>
      </c>
      <c r="D756" s="2" t="s">
        <v>1540</v>
      </c>
      <c r="E756" s="3" t="s">
        <v>562</v>
      </c>
      <c r="G756" s="4" t="s">
        <v>1541</v>
      </c>
      <c r="H756" s="22" t="s">
        <v>105</v>
      </c>
      <c r="I756" s="22"/>
      <c r="J756" s="22">
        <f>I754*0.01</f>
        <v>71.178571428571431</v>
      </c>
      <c r="K756" s="22">
        <f t="shared" si="10"/>
        <v>71.178571428571431</v>
      </c>
      <c r="L756" s="17"/>
    </row>
    <row r="757" spans="1:20" x14ac:dyDescent="0.25">
      <c r="A757" s="10">
        <v>46071</v>
      </c>
      <c r="B757" s="2" t="s">
        <v>1538</v>
      </c>
      <c r="C757" s="2" t="s">
        <v>1539</v>
      </c>
      <c r="D757" s="2" t="s">
        <v>1540</v>
      </c>
      <c r="E757" s="3" t="s">
        <v>562</v>
      </c>
      <c r="G757" s="4" t="s">
        <v>48</v>
      </c>
      <c r="H757" s="22" t="s">
        <v>49</v>
      </c>
      <c r="I757" s="22"/>
      <c r="J757" s="22">
        <f>I754+I755-J756</f>
        <v>7900.8214285714275</v>
      </c>
      <c r="K757" s="22">
        <f t="shared" si="10"/>
        <v>7900.8214285714275</v>
      </c>
      <c r="L757" s="17"/>
    </row>
    <row r="758" spans="1:20" ht="24" x14ac:dyDescent="0.25">
      <c r="A758" s="10">
        <v>46071</v>
      </c>
      <c r="B758" s="2" t="s">
        <v>1543</v>
      </c>
      <c r="C758" s="2" t="s">
        <v>1544</v>
      </c>
      <c r="D758" s="2" t="s">
        <v>1540</v>
      </c>
      <c r="E758" s="3" t="s">
        <v>109</v>
      </c>
      <c r="F758" s="4">
        <v>6105</v>
      </c>
      <c r="G758" s="4" t="s">
        <v>1541</v>
      </c>
      <c r="H758" s="22" t="s">
        <v>40</v>
      </c>
      <c r="I758" s="22">
        <v>6105</v>
      </c>
      <c r="J758" s="22"/>
      <c r="K758" s="22">
        <f t="shared" si="10"/>
        <v>6105</v>
      </c>
      <c r="L758" s="17">
        <v>6105</v>
      </c>
      <c r="M758" s="23" t="s">
        <v>41</v>
      </c>
      <c r="N758" s="1" t="s">
        <v>1545</v>
      </c>
      <c r="O758" s="7" t="s">
        <v>116</v>
      </c>
      <c r="P758" s="7" t="s">
        <v>81</v>
      </c>
      <c r="R758" s="7" t="s">
        <v>1232</v>
      </c>
      <c r="S758" s="3" t="s">
        <v>83</v>
      </c>
      <c r="T758" s="3" t="s">
        <v>1233</v>
      </c>
    </row>
    <row r="759" spans="1:20" x14ac:dyDescent="0.25">
      <c r="A759" s="10">
        <v>46071</v>
      </c>
      <c r="B759" s="2" t="s">
        <v>1543</v>
      </c>
      <c r="C759" s="2" t="s">
        <v>1544</v>
      </c>
      <c r="D759" s="2" t="s">
        <v>1540</v>
      </c>
      <c r="E759" s="3" t="s">
        <v>109</v>
      </c>
      <c r="G759" s="4" t="s">
        <v>48</v>
      </c>
      <c r="H759" s="22" t="s">
        <v>49</v>
      </c>
      <c r="I759" s="22"/>
      <c r="J759" s="22">
        <f>I758</f>
        <v>6105</v>
      </c>
      <c r="K759" s="22">
        <f t="shared" si="10"/>
        <v>6105</v>
      </c>
      <c r="L759" s="17"/>
    </row>
    <row r="760" spans="1:20" ht="24" x14ac:dyDescent="0.25">
      <c r="A760" s="10">
        <v>46071</v>
      </c>
      <c r="B760" s="2" t="s">
        <v>1546</v>
      </c>
      <c r="C760" s="2" t="s">
        <v>1505</v>
      </c>
      <c r="D760" s="2" t="s">
        <v>1506</v>
      </c>
      <c r="E760" s="3" t="s">
        <v>252</v>
      </c>
      <c r="F760" s="4">
        <f>(8000/1.12)+(8000/1.12*0.12)-(8000/1.12*0.01)</f>
        <v>7928.5714285714275</v>
      </c>
      <c r="G760" s="3" t="s">
        <v>128</v>
      </c>
      <c r="H760" s="22" t="s">
        <v>40</v>
      </c>
      <c r="I760" s="22">
        <f>8000/1.12</f>
        <v>7142.8571428571422</v>
      </c>
      <c r="J760" s="22"/>
      <c r="K760" s="22">
        <f t="shared" si="10"/>
        <v>7142.8571428571422</v>
      </c>
      <c r="L760" s="17">
        <v>7928.57</v>
      </c>
      <c r="M760" s="23" t="s">
        <v>41</v>
      </c>
      <c r="N760" s="1" t="s">
        <v>1547</v>
      </c>
      <c r="O760" s="7" t="s">
        <v>116</v>
      </c>
      <c r="Q760" s="7" t="s">
        <v>81</v>
      </c>
      <c r="R760" s="7" t="s">
        <v>1352</v>
      </c>
      <c r="S760" s="3" t="s">
        <v>83</v>
      </c>
      <c r="T760" s="3" t="s">
        <v>1424</v>
      </c>
    </row>
    <row r="761" spans="1:20" x14ac:dyDescent="0.25">
      <c r="A761" s="10">
        <v>46071</v>
      </c>
      <c r="B761" s="2" t="s">
        <v>1546</v>
      </c>
      <c r="C761" s="2" t="s">
        <v>1505</v>
      </c>
      <c r="D761" s="2" t="s">
        <v>1506</v>
      </c>
      <c r="E761" s="3" t="s">
        <v>252</v>
      </c>
      <c r="G761" s="3" t="s">
        <v>128</v>
      </c>
      <c r="H761" s="22" t="s">
        <v>104</v>
      </c>
      <c r="I761" s="22">
        <f>I760*0.12</f>
        <v>857.142857142857</v>
      </c>
      <c r="J761" s="22"/>
      <c r="K761" s="22">
        <f t="shared" si="10"/>
        <v>857.142857142857</v>
      </c>
      <c r="L761" s="32"/>
    </row>
    <row r="762" spans="1:20" x14ac:dyDescent="0.25">
      <c r="A762" s="10">
        <v>46071</v>
      </c>
      <c r="B762" s="2" t="s">
        <v>1546</v>
      </c>
      <c r="C762" s="2" t="s">
        <v>1505</v>
      </c>
      <c r="D762" s="2" t="s">
        <v>1506</v>
      </c>
      <c r="E762" s="3" t="s">
        <v>252</v>
      </c>
      <c r="G762" s="3" t="s">
        <v>128</v>
      </c>
      <c r="H762" s="22" t="s">
        <v>105</v>
      </c>
      <c r="I762" s="22"/>
      <c r="J762" s="22">
        <f>I760*0.01</f>
        <v>71.428571428571431</v>
      </c>
      <c r="K762" s="22">
        <f t="shared" si="10"/>
        <v>71.428571428571431</v>
      </c>
      <c r="L762" s="32"/>
    </row>
    <row r="763" spans="1:20" x14ac:dyDescent="0.25">
      <c r="A763" s="10">
        <v>46071</v>
      </c>
      <c r="B763" s="2" t="s">
        <v>1546</v>
      </c>
      <c r="C763" s="2" t="s">
        <v>1505</v>
      </c>
      <c r="D763" s="2" t="s">
        <v>1506</v>
      </c>
      <c r="E763" s="3" t="s">
        <v>252</v>
      </c>
      <c r="G763" s="4" t="s">
        <v>48</v>
      </c>
      <c r="H763" s="22" t="s">
        <v>49</v>
      </c>
      <c r="I763" s="22"/>
      <c r="J763" s="22">
        <f>I760+I761-J762</f>
        <v>7928.5714285714275</v>
      </c>
      <c r="K763" s="22">
        <f t="shared" si="10"/>
        <v>7928.5714285714275</v>
      </c>
      <c r="L763" s="32"/>
    </row>
    <row r="764" spans="1:20" ht="24" x14ac:dyDescent="0.25">
      <c r="A764" s="10">
        <v>46071</v>
      </c>
      <c r="B764" s="2" t="s">
        <v>1548</v>
      </c>
      <c r="C764" s="2" t="s">
        <v>1549</v>
      </c>
      <c r="D764" s="2" t="s">
        <v>1550</v>
      </c>
      <c r="E764" s="3" t="s">
        <v>252</v>
      </c>
      <c r="F764" s="4">
        <f>(43008/1.12)+(43008/1.12*0.12)-(43008/1.12*0.01)</f>
        <v>42623.999999999993</v>
      </c>
      <c r="G764" s="3" t="s">
        <v>128</v>
      </c>
      <c r="H764" s="22" t="s">
        <v>40</v>
      </c>
      <c r="I764" s="22">
        <f>43008/1.12</f>
        <v>38399.999999999993</v>
      </c>
      <c r="J764" s="22"/>
      <c r="K764" s="22">
        <f t="shared" si="10"/>
        <v>38399.999999999993</v>
      </c>
      <c r="L764" s="17">
        <v>42624</v>
      </c>
      <c r="M764" s="23" t="s">
        <v>41</v>
      </c>
      <c r="N764" s="1" t="s">
        <v>1551</v>
      </c>
      <c r="O764" s="7" t="s">
        <v>116</v>
      </c>
      <c r="Q764" s="7" t="s">
        <v>81</v>
      </c>
      <c r="R764" s="7" t="s">
        <v>1352</v>
      </c>
      <c r="S764" s="3" t="s">
        <v>83</v>
      </c>
      <c r="T764" s="3" t="s">
        <v>1424</v>
      </c>
    </row>
    <row r="765" spans="1:20" x14ac:dyDescent="0.25">
      <c r="A765" s="10">
        <v>46071</v>
      </c>
      <c r="B765" s="2" t="s">
        <v>1548</v>
      </c>
      <c r="C765" s="2" t="s">
        <v>1549</v>
      </c>
      <c r="D765" s="2" t="s">
        <v>1550</v>
      </c>
      <c r="E765" s="3" t="s">
        <v>252</v>
      </c>
      <c r="G765" s="3" t="s">
        <v>128</v>
      </c>
      <c r="H765" s="22" t="s">
        <v>104</v>
      </c>
      <c r="I765" s="22">
        <f>I764*0.12</f>
        <v>4607.9999999999991</v>
      </c>
      <c r="J765" s="22"/>
      <c r="K765" s="22">
        <f t="shared" si="10"/>
        <v>4607.9999999999991</v>
      </c>
      <c r="L765" s="17"/>
    </row>
    <row r="766" spans="1:20" x14ac:dyDescent="0.25">
      <c r="A766" s="10">
        <v>46071</v>
      </c>
      <c r="B766" s="2" t="s">
        <v>1548</v>
      </c>
      <c r="C766" s="2" t="s">
        <v>1549</v>
      </c>
      <c r="D766" s="2" t="s">
        <v>1550</v>
      </c>
      <c r="E766" s="3" t="s">
        <v>252</v>
      </c>
      <c r="G766" s="3" t="s">
        <v>128</v>
      </c>
      <c r="H766" s="22" t="s">
        <v>105</v>
      </c>
      <c r="I766" s="22"/>
      <c r="J766" s="22">
        <f>I764*0.01</f>
        <v>383.99999999999994</v>
      </c>
      <c r="K766" s="22">
        <f t="shared" si="10"/>
        <v>383.99999999999994</v>
      </c>
      <c r="L766" s="17"/>
    </row>
    <row r="767" spans="1:20" x14ac:dyDescent="0.25">
      <c r="A767" s="10">
        <v>46071</v>
      </c>
      <c r="B767" s="2" t="s">
        <v>1548</v>
      </c>
      <c r="C767" s="2" t="s">
        <v>1549</v>
      </c>
      <c r="D767" s="2" t="s">
        <v>1550</v>
      </c>
      <c r="E767" s="3" t="s">
        <v>252</v>
      </c>
      <c r="G767" s="4" t="s">
        <v>48</v>
      </c>
      <c r="H767" s="22" t="s">
        <v>49</v>
      </c>
      <c r="I767" s="22"/>
      <c r="J767" s="22">
        <f>I764+I765-J766</f>
        <v>42623.999999999993</v>
      </c>
      <c r="K767" s="22">
        <f t="shared" si="10"/>
        <v>42623.999999999993</v>
      </c>
      <c r="L767" s="17"/>
    </row>
    <row r="768" spans="1:20" ht="24" x14ac:dyDescent="0.25">
      <c r="A768" s="10">
        <v>46071</v>
      </c>
      <c r="B768" s="2" t="s">
        <v>1552</v>
      </c>
      <c r="E768" s="3" t="s">
        <v>27</v>
      </c>
      <c r="F768" s="4">
        <v>15000</v>
      </c>
      <c r="G768" s="4" t="s">
        <v>48</v>
      </c>
      <c r="H768" s="22" t="s">
        <v>81</v>
      </c>
      <c r="I768" s="22">
        <v>15000</v>
      </c>
      <c r="J768" s="22"/>
      <c r="K768" s="22">
        <f t="shared" si="10"/>
        <v>15000</v>
      </c>
      <c r="L768" s="17">
        <v>15000</v>
      </c>
      <c r="M768" s="23" t="s">
        <v>41</v>
      </c>
      <c r="N768" s="1" t="s">
        <v>1553</v>
      </c>
      <c r="O768" s="7" t="s">
        <v>1554</v>
      </c>
      <c r="Q768" s="7" t="s">
        <v>81</v>
      </c>
      <c r="R768" s="7" t="s">
        <v>1225</v>
      </c>
      <c r="S768" s="3" t="s">
        <v>45</v>
      </c>
      <c r="T768" s="3" t="s">
        <v>1555</v>
      </c>
    </row>
    <row r="769" spans="1:20" x14ac:dyDescent="0.25">
      <c r="A769" s="10">
        <v>46071</v>
      </c>
      <c r="B769" s="2" t="s">
        <v>1552</v>
      </c>
      <c r="E769" s="3" t="s">
        <v>27</v>
      </c>
      <c r="G769" s="4" t="s">
        <v>48</v>
      </c>
      <c r="H769" s="22" t="s">
        <v>360</v>
      </c>
      <c r="I769" s="22"/>
      <c r="J769" s="22">
        <f>I768</f>
        <v>15000</v>
      </c>
      <c r="K769" s="22">
        <f t="shared" si="10"/>
        <v>15000</v>
      </c>
      <c r="L769" s="17"/>
      <c r="M769" s="23"/>
    </row>
    <row r="770" spans="1:20" x14ac:dyDescent="0.25">
      <c r="A770" s="10">
        <v>46071</v>
      </c>
      <c r="B770" s="2" t="s">
        <v>1556</v>
      </c>
      <c r="E770" s="3" t="s">
        <v>27</v>
      </c>
      <c r="F770" s="4">
        <v>15000</v>
      </c>
      <c r="G770" s="4" t="s">
        <v>48</v>
      </c>
      <c r="H770" s="22" t="s">
        <v>366</v>
      </c>
      <c r="I770" s="22">
        <v>15000</v>
      </c>
      <c r="J770" s="34"/>
      <c r="K770" s="22">
        <f t="shared" si="10"/>
        <v>15000</v>
      </c>
      <c r="L770" s="17">
        <v>15000</v>
      </c>
      <c r="M770" s="23" t="s">
        <v>41</v>
      </c>
      <c r="N770" s="1" t="s">
        <v>1557</v>
      </c>
      <c r="O770" s="7" t="s">
        <v>116</v>
      </c>
      <c r="Q770" s="7" t="s">
        <v>81</v>
      </c>
      <c r="R770" s="7" t="s">
        <v>1225</v>
      </c>
      <c r="S770" s="3" t="s">
        <v>83</v>
      </c>
    </row>
    <row r="771" spans="1:20" x14ac:dyDescent="0.25">
      <c r="A771" s="10">
        <v>46071</v>
      </c>
      <c r="B771" s="2" t="s">
        <v>1556</v>
      </c>
      <c r="E771" s="3" t="s">
        <v>27</v>
      </c>
      <c r="G771" s="4" t="s">
        <v>48</v>
      </c>
      <c r="H771" s="22" t="s">
        <v>81</v>
      </c>
      <c r="I771" s="34"/>
      <c r="J771" s="35">
        <f>I770</f>
        <v>15000</v>
      </c>
      <c r="K771" s="22">
        <f t="shared" si="10"/>
        <v>15000</v>
      </c>
      <c r="L771" s="32"/>
      <c r="M771" s="23"/>
    </row>
    <row r="772" spans="1:20" ht="24" x14ac:dyDescent="0.25">
      <c r="A772" s="10">
        <v>46071</v>
      </c>
      <c r="B772" s="2" t="s">
        <v>1558</v>
      </c>
      <c r="C772" s="2" t="s">
        <v>95</v>
      </c>
      <c r="D772" s="2" t="s">
        <v>1559</v>
      </c>
      <c r="E772" s="3" t="s">
        <v>233</v>
      </c>
      <c r="F772" s="4">
        <v>6000</v>
      </c>
      <c r="G772" s="4" t="s">
        <v>48</v>
      </c>
      <c r="H772" s="22" t="s">
        <v>786</v>
      </c>
      <c r="I772" s="22">
        <v>6000</v>
      </c>
      <c r="J772" s="22"/>
      <c r="K772" s="22">
        <f t="shared" si="10"/>
        <v>6000</v>
      </c>
      <c r="L772" s="17"/>
      <c r="M772" s="6" t="s">
        <v>581</v>
      </c>
      <c r="N772" s="1" t="s">
        <v>1560</v>
      </c>
    </row>
    <row r="773" spans="1:20" x14ac:dyDescent="0.25">
      <c r="A773" s="10">
        <v>46071</v>
      </c>
      <c r="B773" s="2" t="s">
        <v>1558</v>
      </c>
      <c r="C773" s="2" t="s">
        <v>95</v>
      </c>
      <c r="D773" s="2" t="s">
        <v>1559</v>
      </c>
      <c r="E773" s="3" t="s">
        <v>233</v>
      </c>
      <c r="G773" s="4" t="s">
        <v>48</v>
      </c>
      <c r="H773" s="22" t="s">
        <v>49</v>
      </c>
      <c r="I773" s="22"/>
      <c r="J773" s="22">
        <f>I772</f>
        <v>6000</v>
      </c>
      <c r="K773" s="22">
        <f t="shared" si="10"/>
        <v>6000</v>
      </c>
      <c r="L773" s="17"/>
    </row>
    <row r="774" spans="1:20" ht="24" x14ac:dyDescent="0.25">
      <c r="A774" s="10">
        <v>46072</v>
      </c>
      <c r="B774" s="2" t="s">
        <v>1561</v>
      </c>
      <c r="D774" s="2" t="s">
        <v>1562</v>
      </c>
      <c r="E774" s="3" t="s">
        <v>1563</v>
      </c>
      <c r="F774" s="4">
        <f>59917.9</f>
        <v>59917.9</v>
      </c>
      <c r="G774" s="4" t="s">
        <v>28</v>
      </c>
      <c r="H774" s="22"/>
      <c r="I774" s="22"/>
      <c r="J774" s="22"/>
      <c r="K774" s="22">
        <f t="shared" ref="K774:K838" si="11">ABS(I774-J774)</f>
        <v>0</v>
      </c>
      <c r="L774" s="17"/>
      <c r="M774" s="23" t="s">
        <v>41</v>
      </c>
      <c r="N774" s="1" t="s">
        <v>1564</v>
      </c>
    </row>
    <row r="775" spans="1:20" ht="24" x14ac:dyDescent="0.25">
      <c r="A775" s="10">
        <v>46072</v>
      </c>
      <c r="B775" s="2" t="s">
        <v>1565</v>
      </c>
      <c r="C775" s="2" t="s">
        <v>95</v>
      </c>
      <c r="D775" s="2" t="s">
        <v>1566</v>
      </c>
      <c r="E775" s="3" t="s">
        <v>562</v>
      </c>
      <c r="F775" s="4">
        <f>(1279.8/1.12)+(1279.8/1.12*0.12)-(1279.8/1.12*0.01)</f>
        <v>1268.3732142857143</v>
      </c>
      <c r="G775" s="3" t="s">
        <v>28</v>
      </c>
      <c r="H775" s="34" t="s">
        <v>40</v>
      </c>
      <c r="I775" s="22">
        <f>1279.8/1.12</f>
        <v>1142.6785714285713</v>
      </c>
      <c r="J775" s="34"/>
      <c r="K775" s="22">
        <f t="shared" si="11"/>
        <v>1142.6785714285713</v>
      </c>
      <c r="L775" s="17">
        <v>1268.3699999999999</v>
      </c>
      <c r="M775" s="23" t="s">
        <v>41</v>
      </c>
      <c r="N775" s="1" t="s">
        <v>1567</v>
      </c>
      <c r="O775" s="7" t="s">
        <v>606</v>
      </c>
      <c r="Q775" s="7" t="s">
        <v>81</v>
      </c>
      <c r="R775" s="7" t="s">
        <v>1568</v>
      </c>
      <c r="S775" s="3" t="s">
        <v>83</v>
      </c>
      <c r="T775" s="3" t="s">
        <v>1569</v>
      </c>
    </row>
    <row r="776" spans="1:20" x14ac:dyDescent="0.25">
      <c r="A776" s="10">
        <v>46072</v>
      </c>
      <c r="B776" s="2" t="s">
        <v>1565</v>
      </c>
      <c r="C776" s="2" t="s">
        <v>95</v>
      </c>
      <c r="D776" s="2" t="s">
        <v>1566</v>
      </c>
      <c r="E776" s="3" t="s">
        <v>562</v>
      </c>
      <c r="G776" s="3" t="s">
        <v>28</v>
      </c>
      <c r="H776" s="34" t="s">
        <v>105</v>
      </c>
      <c r="I776" s="41">
        <f>I775*0.12</f>
        <v>137.12142857142857</v>
      </c>
      <c r="J776" s="34"/>
      <c r="K776" s="22">
        <f t="shared" si="11"/>
        <v>137.12142857142857</v>
      </c>
      <c r="L776" s="17"/>
      <c r="M776" s="23"/>
    </row>
    <row r="777" spans="1:20" x14ac:dyDescent="0.25">
      <c r="A777" s="10">
        <v>46072</v>
      </c>
      <c r="B777" s="2" t="s">
        <v>1565</v>
      </c>
      <c r="C777" s="2" t="s">
        <v>95</v>
      </c>
      <c r="D777" s="2" t="s">
        <v>1566</v>
      </c>
      <c r="E777" s="3" t="s">
        <v>562</v>
      </c>
      <c r="G777" s="3" t="s">
        <v>28</v>
      </c>
      <c r="H777" s="34" t="s">
        <v>104</v>
      </c>
      <c r="I777" s="34"/>
      <c r="J777" s="41">
        <f>I775*0.01</f>
        <v>11.426785714285714</v>
      </c>
      <c r="K777" s="22">
        <f t="shared" si="11"/>
        <v>11.426785714285714</v>
      </c>
      <c r="L777" s="17"/>
      <c r="M777" s="23"/>
    </row>
    <row r="778" spans="1:20" x14ac:dyDescent="0.25">
      <c r="A778" s="10">
        <v>46072</v>
      </c>
      <c r="B778" s="2" t="s">
        <v>1565</v>
      </c>
      <c r="C778" s="2" t="s">
        <v>95</v>
      </c>
      <c r="D778" s="2" t="s">
        <v>1566</v>
      </c>
      <c r="E778" s="3" t="s">
        <v>562</v>
      </c>
      <c r="G778" s="4" t="s">
        <v>48</v>
      </c>
      <c r="H778" s="34" t="s">
        <v>81</v>
      </c>
      <c r="I778" s="34"/>
      <c r="J778" s="41">
        <f>I775+I776-J777</f>
        <v>1268.3732142857143</v>
      </c>
      <c r="K778" s="22">
        <f t="shared" si="11"/>
        <v>1268.3732142857143</v>
      </c>
      <c r="L778" s="17"/>
      <c r="M778" s="23"/>
    </row>
    <row r="779" spans="1:20" x14ac:dyDescent="0.25">
      <c r="A779" s="10">
        <v>46072</v>
      </c>
      <c r="B779" s="2" t="s">
        <v>1570</v>
      </c>
      <c r="C779" s="2" t="s">
        <v>134</v>
      </c>
      <c r="D779" s="2" t="s">
        <v>1571</v>
      </c>
      <c r="E779" s="3" t="s">
        <v>1572</v>
      </c>
      <c r="F779" s="4">
        <v>15000</v>
      </c>
      <c r="G779" s="4" t="s">
        <v>48</v>
      </c>
      <c r="H779" s="22" t="s">
        <v>137</v>
      </c>
      <c r="I779" s="22">
        <v>15000</v>
      </c>
      <c r="J779" s="22"/>
      <c r="K779" s="22">
        <f t="shared" si="11"/>
        <v>15000</v>
      </c>
      <c r="L779" s="17">
        <v>15000</v>
      </c>
      <c r="M779" s="23" t="s">
        <v>41</v>
      </c>
      <c r="N779" s="1" t="s">
        <v>1435</v>
      </c>
    </row>
    <row r="780" spans="1:20" x14ac:dyDescent="0.25">
      <c r="A780" s="10">
        <v>46072</v>
      </c>
      <c r="B780" s="2" t="s">
        <v>1570</v>
      </c>
      <c r="C780" s="2" t="s">
        <v>134</v>
      </c>
      <c r="D780" s="2" t="s">
        <v>1571</v>
      </c>
      <c r="E780" s="3" t="s">
        <v>1572</v>
      </c>
      <c r="G780" s="4" t="s">
        <v>48</v>
      </c>
      <c r="H780" s="22" t="s">
        <v>49</v>
      </c>
      <c r="I780" s="22"/>
      <c r="J780" s="22">
        <f>I779</f>
        <v>15000</v>
      </c>
      <c r="K780" s="22">
        <f t="shared" si="11"/>
        <v>15000</v>
      </c>
      <c r="L780" s="17"/>
    </row>
    <row r="781" spans="1:20" ht="24" x14ac:dyDescent="0.25">
      <c r="A781" s="10">
        <v>46072</v>
      </c>
      <c r="B781" s="2" t="s">
        <v>1573</v>
      </c>
      <c r="C781" s="2" t="s">
        <v>1574</v>
      </c>
      <c r="D781" s="2" t="s">
        <v>1575</v>
      </c>
      <c r="E781" s="3" t="s">
        <v>562</v>
      </c>
      <c r="F781" s="4">
        <f>(4200/1.12)+(4200/1.12*0.12)-(4200/1.12*0.01)</f>
        <v>4162.4999999999991</v>
      </c>
      <c r="G781" s="4" t="s">
        <v>631</v>
      </c>
      <c r="H781" s="34" t="s">
        <v>40</v>
      </c>
      <c r="I781" s="22">
        <f>4200/1.12</f>
        <v>3749.9999999999995</v>
      </c>
      <c r="J781" s="34"/>
      <c r="K781" s="22">
        <f t="shared" si="11"/>
        <v>3749.9999999999995</v>
      </c>
      <c r="L781" s="17"/>
      <c r="M781" s="6" t="s">
        <v>581</v>
      </c>
      <c r="N781" s="1" t="s">
        <v>1576</v>
      </c>
    </row>
    <row r="782" spans="1:20" x14ac:dyDescent="0.25">
      <c r="A782" s="10">
        <v>46072</v>
      </c>
      <c r="B782" s="2" t="s">
        <v>1573</v>
      </c>
      <c r="C782" s="2" t="s">
        <v>1574</v>
      </c>
      <c r="D782" s="2" t="s">
        <v>1575</v>
      </c>
      <c r="E782" s="3" t="s">
        <v>562</v>
      </c>
      <c r="G782" s="4" t="s">
        <v>631</v>
      </c>
      <c r="H782" s="34" t="s">
        <v>105</v>
      </c>
      <c r="I782" s="41">
        <f>I781*0.12</f>
        <v>449.99999999999994</v>
      </c>
      <c r="J782" s="34"/>
      <c r="K782" s="22">
        <f t="shared" si="11"/>
        <v>449.99999999999994</v>
      </c>
      <c r="L782" s="17"/>
    </row>
    <row r="783" spans="1:20" x14ac:dyDescent="0.25">
      <c r="A783" s="10">
        <v>46072</v>
      </c>
      <c r="B783" s="2" t="s">
        <v>1573</v>
      </c>
      <c r="C783" s="2" t="s">
        <v>1574</v>
      </c>
      <c r="D783" s="2" t="s">
        <v>1575</v>
      </c>
      <c r="E783" s="3" t="s">
        <v>562</v>
      </c>
      <c r="G783" s="4" t="s">
        <v>631</v>
      </c>
      <c r="H783" s="34" t="s">
        <v>104</v>
      </c>
      <c r="I783" s="34"/>
      <c r="J783" s="41">
        <f>I781*0.01</f>
        <v>37.499999999999993</v>
      </c>
      <c r="K783" s="22">
        <f t="shared" si="11"/>
        <v>37.499999999999993</v>
      </c>
      <c r="L783" s="17"/>
    </row>
    <row r="784" spans="1:20" x14ac:dyDescent="0.25">
      <c r="A784" s="10">
        <v>46072</v>
      </c>
      <c r="B784" s="2" t="s">
        <v>1573</v>
      </c>
      <c r="C784" s="2" t="s">
        <v>1574</v>
      </c>
      <c r="D784" s="2" t="s">
        <v>1575</v>
      </c>
      <c r="E784" s="3" t="s">
        <v>562</v>
      </c>
      <c r="G784" s="4" t="s">
        <v>48</v>
      </c>
      <c r="H784" s="34" t="s">
        <v>81</v>
      </c>
      <c r="I784" s="34"/>
      <c r="J784" s="41">
        <f>I781+I782-J783</f>
        <v>4162.4999999999991</v>
      </c>
      <c r="K784" s="22">
        <f t="shared" si="11"/>
        <v>4162.4999999999991</v>
      </c>
      <c r="L784" s="17"/>
    </row>
    <row r="785" spans="1:23" ht="24" x14ac:dyDescent="0.25">
      <c r="A785" s="10">
        <v>46072</v>
      </c>
      <c r="B785" s="2" t="s">
        <v>1577</v>
      </c>
      <c r="C785" s="2" t="s">
        <v>1578</v>
      </c>
      <c r="D785" s="2" t="s">
        <v>1579</v>
      </c>
      <c r="E785" s="3" t="s">
        <v>1580</v>
      </c>
      <c r="F785" s="4">
        <v>946.44</v>
      </c>
      <c r="G785" s="3" t="s">
        <v>801</v>
      </c>
      <c r="H785" s="34" t="s">
        <v>1581</v>
      </c>
      <c r="I785" s="41">
        <v>956</v>
      </c>
      <c r="J785" s="34"/>
      <c r="K785" s="22">
        <f t="shared" si="11"/>
        <v>956</v>
      </c>
      <c r="L785" s="17">
        <v>946.44</v>
      </c>
      <c r="M785" s="23" t="s">
        <v>41</v>
      </c>
      <c r="N785" s="1" t="s">
        <v>1582</v>
      </c>
      <c r="O785" s="7" t="s">
        <v>1224</v>
      </c>
      <c r="Q785" s="7" t="s">
        <v>81</v>
      </c>
      <c r="R785" s="7" t="s">
        <v>1583</v>
      </c>
      <c r="S785" s="3" t="s">
        <v>83</v>
      </c>
      <c r="T785" s="3" t="s">
        <v>1490</v>
      </c>
    </row>
    <row r="786" spans="1:23" x14ac:dyDescent="0.25">
      <c r="A786" s="10">
        <v>46072</v>
      </c>
      <c r="B786" s="2" t="s">
        <v>1577</v>
      </c>
      <c r="C786" s="2" t="s">
        <v>1578</v>
      </c>
      <c r="D786" s="2" t="s">
        <v>1579</v>
      </c>
      <c r="E786" s="3" t="s">
        <v>1580</v>
      </c>
      <c r="G786" s="3"/>
      <c r="H786" s="34" t="s">
        <v>105</v>
      </c>
      <c r="I786" s="41"/>
      <c r="J786" s="41">
        <f>I785*0.01</f>
        <v>9.56</v>
      </c>
      <c r="K786" s="22">
        <f t="shared" si="11"/>
        <v>9.56</v>
      </c>
      <c r="L786" s="17"/>
      <c r="M786" s="23"/>
    </row>
    <row r="787" spans="1:23" x14ac:dyDescent="0.25">
      <c r="A787" s="10">
        <v>46072</v>
      </c>
      <c r="B787" s="2" t="s">
        <v>1577</v>
      </c>
      <c r="C787" s="2" t="s">
        <v>1578</v>
      </c>
      <c r="D787" s="2" t="s">
        <v>1579</v>
      </c>
      <c r="E787" s="3" t="s">
        <v>1580</v>
      </c>
      <c r="G787" s="4" t="s">
        <v>48</v>
      </c>
      <c r="H787" s="22" t="s">
        <v>49</v>
      </c>
      <c r="I787" s="34"/>
      <c r="J787" s="41">
        <f>I785-J786</f>
        <v>946.44</v>
      </c>
      <c r="K787" s="22">
        <f t="shared" si="11"/>
        <v>946.44</v>
      </c>
      <c r="L787" s="32"/>
    </row>
    <row r="788" spans="1:23" ht="24" x14ac:dyDescent="0.25">
      <c r="A788" s="10">
        <v>46072</v>
      </c>
      <c r="B788" s="2" t="s">
        <v>1584</v>
      </c>
      <c r="C788" s="2" t="s">
        <v>95</v>
      </c>
      <c r="D788" s="2" t="s">
        <v>1585</v>
      </c>
      <c r="E788" s="3" t="s">
        <v>467</v>
      </c>
      <c r="F788" s="4">
        <v>10000</v>
      </c>
      <c r="G788" s="4" t="s">
        <v>167</v>
      </c>
      <c r="H788" s="22" t="s">
        <v>168</v>
      </c>
      <c r="I788" s="22">
        <v>10000</v>
      </c>
      <c r="J788" s="22"/>
      <c r="K788" s="22">
        <f t="shared" si="11"/>
        <v>10000</v>
      </c>
      <c r="L788" s="17">
        <v>10000</v>
      </c>
      <c r="M788" s="23" t="s">
        <v>41</v>
      </c>
      <c r="N788" s="1" t="s">
        <v>1586</v>
      </c>
      <c r="O788" s="7" t="s">
        <v>1587</v>
      </c>
      <c r="P788" s="7" t="s">
        <v>81</v>
      </c>
      <c r="R788" s="7" t="s">
        <v>1588</v>
      </c>
      <c r="S788" s="3" t="s">
        <v>83</v>
      </c>
      <c r="T788" s="3" t="s">
        <v>1589</v>
      </c>
    </row>
    <row r="789" spans="1:23" x14ac:dyDescent="0.25">
      <c r="A789" s="10">
        <v>46072</v>
      </c>
      <c r="B789" s="2" t="s">
        <v>1584</v>
      </c>
      <c r="C789" s="2" t="s">
        <v>95</v>
      </c>
      <c r="D789" s="2" t="s">
        <v>1585</v>
      </c>
      <c r="E789" s="3" t="s">
        <v>467</v>
      </c>
      <c r="G789" s="4" t="s">
        <v>48</v>
      </c>
      <c r="H789" s="22" t="s">
        <v>49</v>
      </c>
      <c r="I789" s="22"/>
      <c r="J789" s="22">
        <f>I788</f>
        <v>10000</v>
      </c>
      <c r="K789" s="22">
        <f t="shared" si="11"/>
        <v>10000</v>
      </c>
      <c r="L789" s="17"/>
    </row>
    <row r="790" spans="1:23" ht="24" x14ac:dyDescent="0.25">
      <c r="A790" s="10">
        <v>46072</v>
      </c>
      <c r="B790" s="2" t="s">
        <v>1590</v>
      </c>
      <c r="E790" s="3" t="s">
        <v>1591</v>
      </c>
      <c r="F790" s="4">
        <f>116890/2</f>
        <v>58445</v>
      </c>
      <c r="G790" s="4" t="s">
        <v>28</v>
      </c>
      <c r="H790" s="22" t="s">
        <v>40</v>
      </c>
      <c r="I790" s="22"/>
      <c r="J790" s="22"/>
      <c r="K790" s="22">
        <f t="shared" si="11"/>
        <v>0</v>
      </c>
      <c r="L790" s="17">
        <v>58445</v>
      </c>
      <c r="M790" s="23" t="s">
        <v>41</v>
      </c>
      <c r="N790" s="1" t="s">
        <v>1592</v>
      </c>
      <c r="O790" s="7" t="s">
        <v>116</v>
      </c>
      <c r="P790" s="7" t="s">
        <v>81</v>
      </c>
      <c r="R790" s="7" t="s">
        <v>1232</v>
      </c>
      <c r="S790" s="3" t="s">
        <v>83</v>
      </c>
      <c r="T790" s="3" t="s">
        <v>1233</v>
      </c>
    </row>
    <row r="791" spans="1:23" ht="24" x14ac:dyDescent="0.25">
      <c r="A791" s="10">
        <v>46072</v>
      </c>
      <c r="B791" s="2" t="s">
        <v>1593</v>
      </c>
      <c r="C791" s="2" t="s">
        <v>470</v>
      </c>
      <c r="D791" s="2" t="s">
        <v>1594</v>
      </c>
      <c r="E791" s="3" t="s">
        <v>472</v>
      </c>
      <c r="F791" s="4">
        <v>19489</v>
      </c>
      <c r="G791" s="4" t="s">
        <v>48</v>
      </c>
      <c r="H791" s="34" t="s">
        <v>1186</v>
      </c>
      <c r="I791" s="22">
        <v>5751</v>
      </c>
      <c r="J791" s="22"/>
      <c r="K791" s="22">
        <f t="shared" si="11"/>
        <v>5751</v>
      </c>
      <c r="L791" s="17">
        <v>19489</v>
      </c>
      <c r="M791" s="23" t="s">
        <v>41</v>
      </c>
      <c r="N791" s="1" t="s">
        <v>1595</v>
      </c>
      <c r="O791" s="46" t="s">
        <v>1596</v>
      </c>
      <c r="P791" s="46"/>
      <c r="Q791" s="7" t="s">
        <v>81</v>
      </c>
      <c r="R791" s="7" t="s">
        <v>1568</v>
      </c>
      <c r="S791" s="3" t="s">
        <v>83</v>
      </c>
      <c r="T791" s="3" t="s">
        <v>1597</v>
      </c>
      <c r="U791" s="7" t="s">
        <v>1598</v>
      </c>
      <c r="W791" s="9" t="s">
        <v>1341</v>
      </c>
    </row>
    <row r="792" spans="1:23" x14ac:dyDescent="0.25">
      <c r="A792" s="10">
        <v>46072</v>
      </c>
      <c r="B792" s="2" t="s">
        <v>1593</v>
      </c>
      <c r="C792" s="2" t="s">
        <v>470</v>
      </c>
      <c r="D792" s="2" t="s">
        <v>1594</v>
      </c>
      <c r="E792" s="3" t="s">
        <v>472</v>
      </c>
      <c r="G792" s="4" t="s">
        <v>48</v>
      </c>
      <c r="H792" s="34" t="s">
        <v>899</v>
      </c>
      <c r="I792" s="22">
        <v>1339.29</v>
      </c>
      <c r="J792" s="22"/>
      <c r="K792" s="22">
        <f t="shared" si="11"/>
        <v>1339.29</v>
      </c>
      <c r="L792" s="32"/>
      <c r="M792" s="23"/>
    </row>
    <row r="793" spans="1:23" x14ac:dyDescent="0.25">
      <c r="A793" s="10">
        <v>46072</v>
      </c>
      <c r="B793" s="2" t="s">
        <v>1593</v>
      </c>
      <c r="C793" s="2" t="s">
        <v>470</v>
      </c>
      <c r="D793" s="2" t="s">
        <v>1594</v>
      </c>
      <c r="E793" s="3" t="s">
        <v>472</v>
      </c>
      <c r="G793" s="4" t="s">
        <v>48</v>
      </c>
      <c r="H793" s="34" t="s">
        <v>1599</v>
      </c>
      <c r="I793" s="22">
        <v>44.64</v>
      </c>
      <c r="J793" s="22"/>
      <c r="K793" s="22">
        <f t="shared" si="11"/>
        <v>44.64</v>
      </c>
      <c r="L793" s="32"/>
      <c r="M793" s="23"/>
    </row>
    <row r="794" spans="1:23" x14ac:dyDescent="0.25">
      <c r="A794" s="10">
        <v>46072</v>
      </c>
      <c r="B794" s="2" t="s">
        <v>1593</v>
      </c>
      <c r="C794" s="2" t="s">
        <v>470</v>
      </c>
      <c r="D794" s="2" t="s">
        <v>1594</v>
      </c>
      <c r="E794" s="3" t="s">
        <v>472</v>
      </c>
      <c r="G794" s="4" t="s">
        <v>48</v>
      </c>
      <c r="H794" s="34" t="s">
        <v>1600</v>
      </c>
      <c r="I794" s="22">
        <v>10931.57</v>
      </c>
      <c r="J794" s="22"/>
      <c r="K794" s="22">
        <f t="shared" si="11"/>
        <v>10931.57</v>
      </c>
      <c r="L794" s="32"/>
      <c r="M794" s="23"/>
    </row>
    <row r="795" spans="1:23" x14ac:dyDescent="0.25">
      <c r="A795" s="10">
        <v>46072</v>
      </c>
      <c r="B795" s="2" t="s">
        <v>1593</v>
      </c>
      <c r="C795" s="2" t="s">
        <v>470</v>
      </c>
      <c r="D795" s="2" t="s">
        <v>1594</v>
      </c>
      <c r="E795" s="3" t="s">
        <v>472</v>
      </c>
      <c r="G795" s="4" t="s">
        <v>48</v>
      </c>
      <c r="H795" s="34" t="s">
        <v>809</v>
      </c>
      <c r="I795" s="22">
        <v>200</v>
      </c>
      <c r="J795" s="22"/>
      <c r="K795" s="22">
        <f t="shared" si="11"/>
        <v>200</v>
      </c>
      <c r="L795" s="32"/>
      <c r="M795" s="23"/>
    </row>
    <row r="796" spans="1:23" x14ac:dyDescent="0.25">
      <c r="A796" s="10">
        <v>46072</v>
      </c>
      <c r="B796" s="2" t="s">
        <v>1593</v>
      </c>
      <c r="C796" s="2" t="s">
        <v>470</v>
      </c>
      <c r="D796" s="2" t="s">
        <v>1594</v>
      </c>
      <c r="E796" s="3" t="s">
        <v>472</v>
      </c>
      <c r="G796" s="4" t="s">
        <v>48</v>
      </c>
      <c r="H796" s="34" t="s">
        <v>1187</v>
      </c>
      <c r="I796" s="22">
        <v>1222.5</v>
      </c>
      <c r="J796" s="22"/>
      <c r="K796" s="22">
        <f t="shared" si="11"/>
        <v>1222.5</v>
      </c>
      <c r="L796" s="32"/>
      <c r="M796" s="23"/>
    </row>
    <row r="797" spans="1:23" x14ac:dyDescent="0.25">
      <c r="A797" s="10">
        <v>46072</v>
      </c>
      <c r="B797" s="2" t="s">
        <v>1593</v>
      </c>
      <c r="C797" s="2" t="s">
        <v>470</v>
      </c>
      <c r="D797" s="2" t="s">
        <v>1594</v>
      </c>
      <c r="E797" s="3" t="s">
        <v>472</v>
      </c>
      <c r="G797" s="4" t="s">
        <v>48</v>
      </c>
      <c r="H797" s="22" t="s">
        <v>49</v>
      </c>
      <c r="I797" s="22"/>
      <c r="J797" s="22">
        <f>SUM(I791:I796)</f>
        <v>19489</v>
      </c>
      <c r="K797" s="22">
        <f t="shared" si="11"/>
        <v>19489</v>
      </c>
      <c r="L797" s="32"/>
      <c r="M797" s="23"/>
    </row>
    <row r="798" spans="1:23" x14ac:dyDescent="0.25">
      <c r="A798" s="10">
        <v>46072</v>
      </c>
      <c r="B798" s="2" t="s">
        <v>1601</v>
      </c>
      <c r="E798" s="3" t="s">
        <v>472</v>
      </c>
      <c r="F798" s="4">
        <v>10000</v>
      </c>
      <c r="G798" s="4" t="s">
        <v>48</v>
      </c>
      <c r="H798" s="22" t="s">
        <v>78</v>
      </c>
      <c r="I798" s="22">
        <v>10000</v>
      </c>
      <c r="J798" s="22"/>
      <c r="K798" s="22">
        <f t="shared" si="11"/>
        <v>10000</v>
      </c>
      <c r="L798" s="17">
        <v>10000</v>
      </c>
      <c r="M798" s="23" t="s">
        <v>41</v>
      </c>
      <c r="N798" s="1" t="s">
        <v>1602</v>
      </c>
      <c r="O798" s="7" t="s">
        <v>1598</v>
      </c>
      <c r="Q798" s="7" t="s">
        <v>81</v>
      </c>
      <c r="R798" s="7" t="s">
        <v>1568</v>
      </c>
      <c r="S798" s="3" t="s">
        <v>83</v>
      </c>
      <c r="T798" s="3" t="s">
        <v>1597</v>
      </c>
    </row>
    <row r="799" spans="1:23" x14ac:dyDescent="0.25">
      <c r="A799" s="10">
        <v>46072</v>
      </c>
      <c r="B799" s="2" t="s">
        <v>1601</v>
      </c>
      <c r="E799" s="3" t="s">
        <v>472</v>
      </c>
      <c r="G799" s="4" t="s">
        <v>48</v>
      </c>
      <c r="H799" s="22" t="s">
        <v>49</v>
      </c>
      <c r="I799" s="22"/>
      <c r="J799" s="22">
        <f>I798</f>
        <v>10000</v>
      </c>
      <c r="K799" s="22">
        <f t="shared" si="11"/>
        <v>10000</v>
      </c>
      <c r="L799" s="17"/>
    </row>
    <row r="800" spans="1:23" ht="36" x14ac:dyDescent="0.25">
      <c r="A800" s="10">
        <v>46072</v>
      </c>
      <c r="B800" s="2" t="s">
        <v>1603</v>
      </c>
      <c r="E800" s="3" t="s">
        <v>27</v>
      </c>
      <c r="F800" s="4">
        <v>41386</v>
      </c>
      <c r="G800" s="4" t="s">
        <v>48</v>
      </c>
      <c r="H800" s="22" t="s">
        <v>81</v>
      </c>
      <c r="I800" s="22">
        <v>41386</v>
      </c>
      <c r="J800" s="22"/>
      <c r="K800" s="22">
        <f t="shared" si="11"/>
        <v>41386</v>
      </c>
      <c r="L800" s="17">
        <v>41386</v>
      </c>
      <c r="M800" s="23" t="s">
        <v>41</v>
      </c>
      <c r="N800" s="1" t="s">
        <v>1604</v>
      </c>
      <c r="O800" s="7" t="s">
        <v>1554</v>
      </c>
      <c r="Q800" s="7" t="s">
        <v>777</v>
      </c>
      <c r="R800" s="7" t="s">
        <v>1568</v>
      </c>
      <c r="S800" s="3" t="s">
        <v>45</v>
      </c>
      <c r="T800" s="3" t="s">
        <v>1555</v>
      </c>
    </row>
    <row r="801" spans="1:20" x14ac:dyDescent="0.25">
      <c r="A801" s="10">
        <v>46072</v>
      </c>
      <c r="B801" s="2" t="s">
        <v>1603</v>
      </c>
      <c r="E801" s="3" t="s">
        <v>27</v>
      </c>
      <c r="G801" s="4" t="s">
        <v>48</v>
      </c>
      <c r="H801" s="22" t="s">
        <v>360</v>
      </c>
      <c r="I801" s="22"/>
      <c r="J801" s="22">
        <f>I800</f>
        <v>41386</v>
      </c>
      <c r="K801" s="22">
        <f t="shared" si="11"/>
        <v>41386</v>
      </c>
      <c r="L801" s="17"/>
      <c r="M801" s="23"/>
    </row>
    <row r="802" spans="1:20" ht="24" x14ac:dyDescent="0.25">
      <c r="A802" s="10">
        <v>46072</v>
      </c>
      <c r="B802" s="2" t="s">
        <v>1605</v>
      </c>
      <c r="E802" s="3" t="s">
        <v>27</v>
      </c>
      <c r="F802" s="4">
        <v>150000</v>
      </c>
      <c r="G802" s="4" t="s">
        <v>48</v>
      </c>
      <c r="H802" s="34" t="s">
        <v>81</v>
      </c>
      <c r="I802" s="22">
        <v>150000</v>
      </c>
      <c r="J802" s="34"/>
      <c r="K802" s="22">
        <f t="shared" si="11"/>
        <v>150000</v>
      </c>
      <c r="L802" s="17">
        <v>150000</v>
      </c>
      <c r="M802" s="23" t="s">
        <v>41</v>
      </c>
      <c r="N802" s="1" t="s">
        <v>1606</v>
      </c>
      <c r="O802" s="7" t="s">
        <v>143</v>
      </c>
      <c r="Q802" s="25" t="s">
        <v>1607</v>
      </c>
      <c r="R802" s="7" t="s">
        <v>1568</v>
      </c>
      <c r="S802" s="3" t="s">
        <v>145</v>
      </c>
      <c r="T802" s="3" t="s">
        <v>324</v>
      </c>
    </row>
    <row r="803" spans="1:20" x14ac:dyDescent="0.25">
      <c r="A803" s="10">
        <v>46072</v>
      </c>
      <c r="B803" s="2" t="s">
        <v>1605</v>
      </c>
      <c r="E803" s="3" t="s">
        <v>27</v>
      </c>
      <c r="G803" s="4" t="s">
        <v>48</v>
      </c>
      <c r="H803" s="22" t="s">
        <v>29</v>
      </c>
      <c r="I803" s="34"/>
      <c r="J803" s="35">
        <f>I802</f>
        <v>150000</v>
      </c>
      <c r="K803" s="22">
        <f t="shared" si="11"/>
        <v>150000</v>
      </c>
      <c r="L803" s="17"/>
      <c r="M803" s="23"/>
    </row>
    <row r="804" spans="1:20" x14ac:dyDescent="0.25">
      <c r="A804" s="10">
        <v>46072</v>
      </c>
      <c r="B804" s="2" t="s">
        <v>1608</v>
      </c>
      <c r="E804" s="3" t="s">
        <v>398</v>
      </c>
      <c r="F804" s="4">
        <v>75000</v>
      </c>
      <c r="G804" s="4" t="s">
        <v>167</v>
      </c>
      <c r="H804" s="22" t="s">
        <v>168</v>
      </c>
      <c r="I804" s="22">
        <v>75000</v>
      </c>
      <c r="J804" s="22"/>
      <c r="K804" s="22">
        <f t="shared" si="11"/>
        <v>75000</v>
      </c>
      <c r="L804" s="17">
        <v>75000</v>
      </c>
      <c r="M804" s="23" t="s">
        <v>41</v>
      </c>
      <c r="N804" s="1" t="s">
        <v>1085</v>
      </c>
      <c r="O804" s="7" t="s">
        <v>116</v>
      </c>
      <c r="P804" s="7" t="s">
        <v>81</v>
      </c>
      <c r="R804" s="7" t="s">
        <v>1568</v>
      </c>
      <c r="S804" s="3" t="s">
        <v>83</v>
      </c>
      <c r="T804" s="3" t="s">
        <v>1609</v>
      </c>
    </row>
    <row r="805" spans="1:20" x14ac:dyDescent="0.25">
      <c r="A805" s="10">
        <v>46072</v>
      </c>
      <c r="B805" s="2" t="s">
        <v>1608</v>
      </c>
      <c r="E805" s="3" t="s">
        <v>398</v>
      </c>
      <c r="G805" s="4" t="s">
        <v>48</v>
      </c>
      <c r="H805" s="22" t="s">
        <v>81</v>
      </c>
      <c r="I805" s="22"/>
      <c r="J805" s="22">
        <f>I804</f>
        <v>75000</v>
      </c>
      <c r="K805" s="22">
        <f t="shared" si="11"/>
        <v>75000</v>
      </c>
      <c r="L805" s="17"/>
      <c r="M805" s="23"/>
    </row>
    <row r="806" spans="1:20" ht="24" x14ac:dyDescent="0.25">
      <c r="A806" s="10">
        <v>46072</v>
      </c>
      <c r="B806" s="2" t="s">
        <v>1610</v>
      </c>
      <c r="E806" s="3" t="s">
        <v>27</v>
      </c>
      <c r="F806" s="4">
        <f>19489+10000</f>
        <v>29489</v>
      </c>
      <c r="G806" s="4" t="s">
        <v>48</v>
      </c>
      <c r="H806" s="22" t="s">
        <v>360</v>
      </c>
      <c r="I806" s="22">
        <v>29489</v>
      </c>
      <c r="J806" s="22"/>
      <c r="K806" s="22">
        <f t="shared" si="11"/>
        <v>29489</v>
      </c>
      <c r="L806" s="17">
        <v>29489</v>
      </c>
      <c r="M806" s="23" t="s">
        <v>41</v>
      </c>
      <c r="N806" s="1" t="s">
        <v>1611</v>
      </c>
      <c r="O806" s="7" t="s">
        <v>116</v>
      </c>
      <c r="Q806" s="7" t="s">
        <v>81</v>
      </c>
      <c r="R806" s="7" t="s">
        <v>1568</v>
      </c>
      <c r="S806" s="3" t="s">
        <v>83</v>
      </c>
      <c r="T806" s="3" t="s">
        <v>1609</v>
      </c>
    </row>
    <row r="807" spans="1:20" x14ac:dyDescent="0.25">
      <c r="A807" s="10">
        <v>46072</v>
      </c>
      <c r="B807" s="2" t="s">
        <v>1610</v>
      </c>
      <c r="E807" s="3" t="s">
        <v>27</v>
      </c>
      <c r="G807" s="4" t="s">
        <v>48</v>
      </c>
      <c r="H807" s="22" t="s">
        <v>81</v>
      </c>
      <c r="I807" s="22"/>
      <c r="J807" s="22">
        <f>I806</f>
        <v>29489</v>
      </c>
      <c r="K807" s="22">
        <f t="shared" si="11"/>
        <v>29489</v>
      </c>
      <c r="L807" s="17"/>
      <c r="M807" s="23"/>
    </row>
    <row r="808" spans="1:20" x14ac:dyDescent="0.25">
      <c r="A808" s="10">
        <v>46072</v>
      </c>
      <c r="B808" s="2" t="s">
        <v>1612</v>
      </c>
      <c r="E808" s="3" t="s">
        <v>27</v>
      </c>
      <c r="F808" s="4">
        <v>45000</v>
      </c>
      <c r="G808" s="4" t="s">
        <v>326</v>
      </c>
      <c r="H808" s="22" t="s">
        <v>731</v>
      </c>
      <c r="I808" s="22">
        <v>45000</v>
      </c>
      <c r="J808" s="22"/>
      <c r="K808" s="22">
        <f t="shared" si="11"/>
        <v>45000</v>
      </c>
      <c r="L808" s="17">
        <v>45000</v>
      </c>
      <c r="M808" s="23" t="s">
        <v>41</v>
      </c>
      <c r="N808" s="1" t="s">
        <v>1613</v>
      </c>
      <c r="O808" s="7" t="s">
        <v>116</v>
      </c>
      <c r="Q808" s="7" t="s">
        <v>81</v>
      </c>
      <c r="R808" s="7" t="s">
        <v>1568</v>
      </c>
      <c r="S808" s="3" t="s">
        <v>83</v>
      </c>
      <c r="T808" s="3" t="s">
        <v>1609</v>
      </c>
    </row>
    <row r="809" spans="1:20" x14ac:dyDescent="0.25">
      <c r="A809" s="10">
        <v>46072</v>
      </c>
      <c r="B809" s="2" t="s">
        <v>1612</v>
      </c>
      <c r="E809" s="3" t="s">
        <v>27</v>
      </c>
      <c r="G809" s="4" t="s">
        <v>48</v>
      </c>
      <c r="H809" s="22" t="s">
        <v>81</v>
      </c>
      <c r="I809" s="22"/>
      <c r="J809" s="22">
        <f>I808</f>
        <v>45000</v>
      </c>
      <c r="K809" s="22">
        <f t="shared" si="11"/>
        <v>45000</v>
      </c>
      <c r="L809" s="17"/>
      <c r="M809" s="23"/>
    </row>
    <row r="810" spans="1:20" x14ac:dyDescent="0.25">
      <c r="A810" s="10">
        <v>46072</v>
      </c>
      <c r="B810" s="2" t="s">
        <v>1614</v>
      </c>
      <c r="E810" s="3" t="s">
        <v>1082</v>
      </c>
      <c r="F810" s="4">
        <v>4000</v>
      </c>
      <c r="G810" s="4" t="s">
        <v>48</v>
      </c>
      <c r="H810" s="22"/>
      <c r="I810" s="22"/>
      <c r="J810" s="22"/>
      <c r="K810" s="22">
        <f t="shared" si="11"/>
        <v>0</v>
      </c>
      <c r="L810" s="17">
        <v>4000</v>
      </c>
      <c r="M810" s="23" t="s">
        <v>41</v>
      </c>
      <c r="N810" s="1" t="s">
        <v>1615</v>
      </c>
      <c r="O810" s="7" t="s">
        <v>1616</v>
      </c>
      <c r="P810" s="7" t="s">
        <v>1617</v>
      </c>
      <c r="T810" s="3" t="s">
        <v>1618</v>
      </c>
    </row>
    <row r="811" spans="1:20" ht="24" x14ac:dyDescent="0.25">
      <c r="A811" s="10">
        <v>46072</v>
      </c>
      <c r="B811" s="2" t="s">
        <v>1619</v>
      </c>
      <c r="C811" s="2" t="s">
        <v>1620</v>
      </c>
      <c r="D811" s="2" t="s">
        <v>1067</v>
      </c>
      <c r="E811" s="3" t="s">
        <v>1068</v>
      </c>
      <c r="F811" s="4">
        <v>1819</v>
      </c>
      <c r="G811" s="3" t="s">
        <v>268</v>
      </c>
      <c r="H811" s="34" t="s">
        <v>40</v>
      </c>
      <c r="I811" s="34">
        <v>1819</v>
      </c>
      <c r="J811" s="34"/>
      <c r="K811" s="22">
        <f t="shared" si="11"/>
        <v>1819</v>
      </c>
      <c r="L811" s="32"/>
      <c r="M811" s="6" t="s">
        <v>581</v>
      </c>
      <c r="N811" s="1" t="s">
        <v>1621</v>
      </c>
    </row>
    <row r="812" spans="1:20" x14ac:dyDescent="0.25">
      <c r="A812" s="10">
        <v>46072</v>
      </c>
      <c r="B812" s="2" t="s">
        <v>1619</v>
      </c>
      <c r="C812" s="2" t="s">
        <v>1620</v>
      </c>
      <c r="D812" s="2" t="s">
        <v>1067</v>
      </c>
      <c r="E812" s="3" t="s">
        <v>1068</v>
      </c>
      <c r="G812" s="4" t="s">
        <v>48</v>
      </c>
      <c r="H812" s="22" t="s">
        <v>49</v>
      </c>
      <c r="I812" s="34"/>
      <c r="J812" s="34">
        <f>I811</f>
        <v>1819</v>
      </c>
      <c r="K812" s="22">
        <f t="shared" si="11"/>
        <v>1819</v>
      </c>
      <c r="L812" s="32"/>
    </row>
    <row r="813" spans="1:20" ht="24" x14ac:dyDescent="0.25">
      <c r="A813" s="10">
        <v>46072</v>
      </c>
      <c r="B813" s="2" t="s">
        <v>1622</v>
      </c>
      <c r="C813" s="2" t="s">
        <v>1054</v>
      </c>
      <c r="D813" s="2" t="s">
        <v>1055</v>
      </c>
      <c r="E813" s="3" t="s">
        <v>1623</v>
      </c>
      <c r="F813" s="4">
        <v>37500</v>
      </c>
      <c r="G813" s="3" t="s">
        <v>268</v>
      </c>
      <c r="H813" s="22" t="s">
        <v>40</v>
      </c>
      <c r="I813" s="22">
        <f>37500/1.12</f>
        <v>33482.142857142855</v>
      </c>
      <c r="J813" s="22"/>
      <c r="K813" s="22">
        <f t="shared" si="11"/>
        <v>33482.142857142855</v>
      </c>
      <c r="L813" s="17"/>
      <c r="M813" s="6" t="s">
        <v>581</v>
      </c>
      <c r="N813" s="1" t="s">
        <v>1624</v>
      </c>
    </row>
    <row r="814" spans="1:20" x14ac:dyDescent="0.25">
      <c r="A814" s="10">
        <v>46072</v>
      </c>
      <c r="B814" s="2" t="s">
        <v>1622</v>
      </c>
      <c r="C814" s="2" t="s">
        <v>1054</v>
      </c>
      <c r="D814" s="2" t="s">
        <v>1055</v>
      </c>
      <c r="E814" s="3" t="s">
        <v>1623</v>
      </c>
      <c r="G814" s="3" t="s">
        <v>268</v>
      </c>
      <c r="H814" s="22" t="s">
        <v>104</v>
      </c>
      <c r="I814" s="22">
        <f>I813*0.12</f>
        <v>4017.8571428571427</v>
      </c>
      <c r="J814" s="22"/>
      <c r="K814" s="22">
        <f t="shared" si="11"/>
        <v>4017.8571428571427</v>
      </c>
      <c r="L814" s="17"/>
    </row>
    <row r="815" spans="1:20" x14ac:dyDescent="0.25">
      <c r="A815" s="10">
        <v>46072</v>
      </c>
      <c r="B815" s="2" t="s">
        <v>1622</v>
      </c>
      <c r="C815" s="2" t="s">
        <v>1054</v>
      </c>
      <c r="D815" s="2" t="s">
        <v>1055</v>
      </c>
      <c r="E815" s="3" t="s">
        <v>1623</v>
      </c>
      <c r="G815" s="3" t="s">
        <v>268</v>
      </c>
      <c r="H815" s="22" t="s">
        <v>105</v>
      </c>
      <c r="I815" s="22"/>
      <c r="J815" s="22">
        <f>I813*0.01</f>
        <v>334.82142857142856</v>
      </c>
      <c r="K815" s="22">
        <f t="shared" si="11"/>
        <v>334.82142857142856</v>
      </c>
      <c r="L815" s="17"/>
    </row>
    <row r="816" spans="1:20" x14ac:dyDescent="0.25">
      <c r="A816" s="10">
        <v>46072</v>
      </c>
      <c r="B816" s="2" t="s">
        <v>1622</v>
      </c>
      <c r="C816" s="2" t="s">
        <v>1054</v>
      </c>
      <c r="D816" s="2" t="s">
        <v>1055</v>
      </c>
      <c r="E816" s="3" t="s">
        <v>1623</v>
      </c>
      <c r="G816" s="4" t="s">
        <v>48</v>
      </c>
      <c r="H816" s="22" t="s">
        <v>49</v>
      </c>
      <c r="I816" s="22"/>
      <c r="J816" s="22">
        <f>I813+I814-J815</f>
        <v>37165.178571428572</v>
      </c>
      <c r="K816" s="22">
        <f t="shared" si="11"/>
        <v>37165.178571428572</v>
      </c>
      <c r="L816" s="17"/>
    </row>
    <row r="817" spans="1:21" ht="24" x14ac:dyDescent="0.25">
      <c r="A817" s="10">
        <v>46073</v>
      </c>
      <c r="B817" s="2" t="s">
        <v>1625</v>
      </c>
      <c r="E817" s="3" t="s">
        <v>27</v>
      </c>
      <c r="F817" s="4">
        <v>25000</v>
      </c>
      <c r="G817" s="4" t="s">
        <v>48</v>
      </c>
      <c r="H817" s="22" t="s">
        <v>81</v>
      </c>
      <c r="I817" s="22">
        <v>25000</v>
      </c>
      <c r="J817" s="22"/>
      <c r="K817" s="22">
        <f t="shared" si="11"/>
        <v>25000</v>
      </c>
      <c r="L817" s="17">
        <v>25000</v>
      </c>
      <c r="M817" s="23" t="s">
        <v>41</v>
      </c>
      <c r="N817" s="1" t="s">
        <v>1626</v>
      </c>
      <c r="O817" s="7" t="s">
        <v>1554</v>
      </c>
      <c r="Q817" s="7" t="s">
        <v>777</v>
      </c>
      <c r="R817" s="7" t="s">
        <v>1583</v>
      </c>
      <c r="S817" s="3" t="s">
        <v>45</v>
      </c>
      <c r="T817" s="3" t="s">
        <v>1555</v>
      </c>
    </row>
    <row r="818" spans="1:21" x14ac:dyDescent="0.25">
      <c r="A818" s="10">
        <v>46073</v>
      </c>
      <c r="B818" s="2" t="s">
        <v>1625</v>
      </c>
      <c r="E818" s="3" t="s">
        <v>27</v>
      </c>
      <c r="G818" s="4" t="s">
        <v>48</v>
      </c>
      <c r="H818" s="22" t="s">
        <v>360</v>
      </c>
      <c r="I818" s="22"/>
      <c r="J818" s="22">
        <v>25000</v>
      </c>
      <c r="K818" s="22">
        <f t="shared" si="11"/>
        <v>25000</v>
      </c>
      <c r="L818" s="17"/>
    </row>
    <row r="819" spans="1:21" x14ac:dyDescent="0.25">
      <c r="A819" s="10">
        <v>46073</v>
      </c>
      <c r="B819" s="2" t="s">
        <v>1627</v>
      </c>
      <c r="E819" s="3" t="s">
        <v>1628</v>
      </c>
      <c r="F819" s="4">
        <v>800000</v>
      </c>
      <c r="G819" s="3" t="s">
        <v>167</v>
      </c>
      <c r="H819" s="34"/>
      <c r="I819" s="34"/>
      <c r="J819" s="34"/>
      <c r="K819" s="22">
        <f t="shared" si="11"/>
        <v>0</v>
      </c>
      <c r="L819" s="32"/>
      <c r="Q819" s="25" t="s">
        <v>1629</v>
      </c>
      <c r="S819" s="3" t="s">
        <v>1630</v>
      </c>
    </row>
    <row r="820" spans="1:21" x14ac:dyDescent="0.25">
      <c r="A820" s="10">
        <v>46073</v>
      </c>
      <c r="B820" s="2" t="s">
        <v>1631</v>
      </c>
      <c r="E820" s="3" t="s">
        <v>398</v>
      </c>
      <c r="F820" s="4">
        <v>155000</v>
      </c>
      <c r="G820" s="3" t="s">
        <v>167</v>
      </c>
      <c r="H820" s="22"/>
      <c r="I820" s="22"/>
      <c r="J820" s="22"/>
      <c r="K820" s="22">
        <f t="shared" si="11"/>
        <v>0</v>
      </c>
      <c r="L820" s="17"/>
      <c r="M820" s="23" t="s">
        <v>41</v>
      </c>
      <c r="N820" s="1" t="s">
        <v>1632</v>
      </c>
    </row>
    <row r="821" spans="1:21" ht="24" x14ac:dyDescent="0.25">
      <c r="A821" s="10">
        <v>46073</v>
      </c>
      <c r="B821" s="2" t="s">
        <v>1633</v>
      </c>
      <c r="E821" s="3" t="s">
        <v>27</v>
      </c>
      <c r="F821" s="4">
        <v>500000</v>
      </c>
      <c r="G821" s="4" t="s">
        <v>48</v>
      </c>
      <c r="H821" s="22"/>
      <c r="I821" s="22"/>
      <c r="J821" s="22"/>
      <c r="K821" s="22">
        <f t="shared" si="11"/>
        <v>0</v>
      </c>
      <c r="L821" s="17"/>
      <c r="M821" s="23" t="s">
        <v>41</v>
      </c>
      <c r="N821" s="1" t="s">
        <v>1634</v>
      </c>
      <c r="O821" s="7" t="s">
        <v>143</v>
      </c>
      <c r="Q821" s="25" t="s">
        <v>1635</v>
      </c>
      <c r="R821" s="7" t="s">
        <v>1583</v>
      </c>
      <c r="S821" s="3" t="s">
        <v>145</v>
      </c>
      <c r="T821" s="3" t="s">
        <v>324</v>
      </c>
    </row>
    <row r="822" spans="1:21" ht="24" x14ac:dyDescent="0.25">
      <c r="A822" s="10">
        <v>46073</v>
      </c>
      <c r="B822" s="2" t="s">
        <v>1636</v>
      </c>
      <c r="D822" s="31" t="s">
        <v>1637</v>
      </c>
      <c r="E822" s="3" t="s">
        <v>1314</v>
      </c>
      <c r="F822" s="4">
        <v>28300.799999999999</v>
      </c>
      <c r="G822" s="4" t="s">
        <v>48</v>
      </c>
      <c r="H822" s="22" t="s">
        <v>1638</v>
      </c>
      <c r="I822" s="22">
        <v>28300.799999999999</v>
      </c>
      <c r="J822" s="22"/>
      <c r="K822" s="22">
        <f t="shared" si="11"/>
        <v>28300.799999999999</v>
      </c>
      <c r="L822" s="17">
        <v>28300.799999999999</v>
      </c>
      <c r="M822" s="23" t="s">
        <v>41</v>
      </c>
      <c r="N822" s="1" t="s">
        <v>1639</v>
      </c>
      <c r="O822" s="7" t="s">
        <v>668</v>
      </c>
      <c r="P822" s="7" t="s">
        <v>81</v>
      </c>
      <c r="R822" s="7" t="s">
        <v>1583</v>
      </c>
      <c r="S822" s="3" t="s">
        <v>83</v>
      </c>
      <c r="T822" s="3" t="s">
        <v>1640</v>
      </c>
      <c r="U822" s="8" t="s">
        <v>1641</v>
      </c>
    </row>
    <row r="823" spans="1:21" x14ac:dyDescent="0.25">
      <c r="A823" s="10">
        <v>46073</v>
      </c>
      <c r="B823" s="2" t="s">
        <v>1636</v>
      </c>
      <c r="D823" s="31" t="s">
        <v>1637</v>
      </c>
      <c r="E823" s="3" t="s">
        <v>1314</v>
      </c>
      <c r="G823" s="4" t="s">
        <v>48</v>
      </c>
      <c r="H823" s="22" t="s">
        <v>81</v>
      </c>
      <c r="I823" s="22"/>
      <c r="J823" s="22">
        <f>I822</f>
        <v>28300.799999999999</v>
      </c>
      <c r="K823" s="22">
        <f t="shared" si="11"/>
        <v>28300.799999999999</v>
      </c>
      <c r="L823" s="17"/>
      <c r="M823" s="23"/>
    </row>
    <row r="824" spans="1:21" x14ac:dyDescent="0.25">
      <c r="A824" s="10">
        <v>46073</v>
      </c>
      <c r="B824" s="2" t="s">
        <v>1642</v>
      </c>
      <c r="D824" s="31"/>
      <c r="E824" s="3" t="s">
        <v>27</v>
      </c>
      <c r="F824" s="4">
        <v>390000</v>
      </c>
      <c r="G824" s="4" t="s">
        <v>48</v>
      </c>
      <c r="H824" s="22"/>
      <c r="I824" s="22"/>
      <c r="J824" s="22"/>
      <c r="K824" s="22">
        <f t="shared" si="11"/>
        <v>0</v>
      </c>
      <c r="L824" s="17"/>
      <c r="M824" s="23" t="s">
        <v>41</v>
      </c>
      <c r="N824" s="1" t="s">
        <v>1643</v>
      </c>
    </row>
    <row r="825" spans="1:21" x14ac:dyDescent="0.25">
      <c r="A825" s="10">
        <v>46073</v>
      </c>
      <c r="B825" s="2" t="s">
        <v>1644</v>
      </c>
      <c r="E825" s="3" t="s">
        <v>1645</v>
      </c>
      <c r="F825" s="4">
        <v>3980.76</v>
      </c>
      <c r="G825" s="3" t="s">
        <v>167</v>
      </c>
      <c r="H825" s="22"/>
      <c r="I825" s="22"/>
      <c r="J825" s="22"/>
      <c r="K825" s="22">
        <f t="shared" si="11"/>
        <v>0</v>
      </c>
      <c r="L825" s="17"/>
      <c r="M825" s="26"/>
    </row>
    <row r="826" spans="1:21" ht="24" x14ac:dyDescent="0.25">
      <c r="A826" s="10">
        <v>46076</v>
      </c>
      <c r="B826" s="2" t="s">
        <v>1646</v>
      </c>
      <c r="C826" s="2" t="s">
        <v>95</v>
      </c>
      <c r="D826" s="2" t="s">
        <v>1647</v>
      </c>
      <c r="E826" s="3" t="s">
        <v>76</v>
      </c>
      <c r="F826" s="4">
        <v>11170</v>
      </c>
      <c r="G826" s="4" t="s">
        <v>77</v>
      </c>
      <c r="H826" s="22" t="s">
        <v>78</v>
      </c>
      <c r="I826" s="22">
        <v>11170</v>
      </c>
      <c r="J826" s="22"/>
      <c r="K826" s="22">
        <f t="shared" si="11"/>
        <v>11170</v>
      </c>
      <c r="L826" s="17">
        <v>11170</v>
      </c>
      <c r="M826" s="23" t="s">
        <v>41</v>
      </c>
      <c r="N826" s="1" t="s">
        <v>1648</v>
      </c>
      <c r="O826" s="7" t="s">
        <v>1649</v>
      </c>
      <c r="Q826" s="7" t="s">
        <v>81</v>
      </c>
      <c r="R826" s="7" t="s">
        <v>1196</v>
      </c>
      <c r="S826" s="3" t="s">
        <v>83</v>
      </c>
      <c r="T826" s="3" t="s">
        <v>1197</v>
      </c>
    </row>
    <row r="827" spans="1:21" x14ac:dyDescent="0.25">
      <c r="A827" s="10">
        <v>46076</v>
      </c>
      <c r="B827" s="2" t="s">
        <v>1646</v>
      </c>
      <c r="C827" s="2" t="s">
        <v>95</v>
      </c>
      <c r="D827" s="2" t="s">
        <v>1647</v>
      </c>
      <c r="E827" s="3" t="s">
        <v>76</v>
      </c>
      <c r="G827" s="4" t="s">
        <v>48</v>
      </c>
      <c r="H827" s="22" t="s">
        <v>81</v>
      </c>
      <c r="I827" s="22"/>
      <c r="J827" s="22">
        <f>I826</f>
        <v>11170</v>
      </c>
      <c r="K827" s="22">
        <f t="shared" si="11"/>
        <v>11170</v>
      </c>
      <c r="L827" s="17"/>
      <c r="M827" s="23"/>
    </row>
    <row r="828" spans="1:21" ht="24" x14ac:dyDescent="0.25">
      <c r="A828" s="10">
        <v>46076</v>
      </c>
      <c r="B828" s="2" t="s">
        <v>1650</v>
      </c>
      <c r="C828" s="2" t="s">
        <v>95</v>
      </c>
      <c r="D828" s="2" t="s">
        <v>1651</v>
      </c>
      <c r="E828" s="3" t="s">
        <v>76</v>
      </c>
      <c r="F828" s="4">
        <v>16500</v>
      </c>
      <c r="G828" s="4" t="s">
        <v>77</v>
      </c>
      <c r="H828" s="22" t="s">
        <v>78</v>
      </c>
      <c r="I828" s="22">
        <v>16500</v>
      </c>
      <c r="J828" s="22"/>
      <c r="K828" s="22">
        <f t="shared" si="11"/>
        <v>16500</v>
      </c>
      <c r="L828" s="17">
        <v>16500</v>
      </c>
      <c r="M828" s="23" t="s">
        <v>41</v>
      </c>
      <c r="N828" s="1" t="s">
        <v>1652</v>
      </c>
      <c r="O828" s="7" t="s">
        <v>1649</v>
      </c>
      <c r="Q828" s="7" t="s">
        <v>81</v>
      </c>
      <c r="R828" s="7" t="s">
        <v>1653</v>
      </c>
      <c r="S828" s="3" t="s">
        <v>83</v>
      </c>
      <c r="T828" s="3" t="s">
        <v>1654</v>
      </c>
    </row>
    <row r="829" spans="1:21" x14ac:dyDescent="0.25">
      <c r="A829" s="10">
        <v>46076</v>
      </c>
      <c r="B829" s="2" t="s">
        <v>1650</v>
      </c>
      <c r="C829" s="2" t="s">
        <v>95</v>
      </c>
      <c r="D829" s="2" t="s">
        <v>1651</v>
      </c>
      <c r="E829" s="3" t="s">
        <v>76</v>
      </c>
      <c r="G829" s="4" t="s">
        <v>48</v>
      </c>
      <c r="H829" s="22" t="s">
        <v>81</v>
      </c>
      <c r="I829" s="22"/>
      <c r="J829" s="22">
        <f>I828</f>
        <v>16500</v>
      </c>
      <c r="K829" s="22">
        <f t="shared" si="11"/>
        <v>16500</v>
      </c>
      <c r="L829" s="17"/>
    </row>
    <row r="830" spans="1:21" ht="24" x14ac:dyDescent="0.25">
      <c r="A830" s="10">
        <v>46076</v>
      </c>
      <c r="B830" s="2" t="s">
        <v>1655</v>
      </c>
      <c r="C830" s="2" t="s">
        <v>1656</v>
      </c>
      <c r="D830" s="2" t="s">
        <v>1506</v>
      </c>
      <c r="E830" s="3" t="s">
        <v>1068</v>
      </c>
      <c r="F830" s="4">
        <v>481.17</v>
      </c>
      <c r="G830" s="4" t="s">
        <v>128</v>
      </c>
      <c r="H830" s="22" t="s">
        <v>40</v>
      </c>
      <c r="I830" s="22">
        <v>481.17</v>
      </c>
      <c r="J830" s="22"/>
      <c r="K830" s="22">
        <f t="shared" si="11"/>
        <v>481.17</v>
      </c>
      <c r="L830" s="17">
        <v>481.17</v>
      </c>
      <c r="M830" s="23" t="s">
        <v>41</v>
      </c>
      <c r="N830" s="1" t="s">
        <v>1657</v>
      </c>
      <c r="O830" s="7" t="s">
        <v>449</v>
      </c>
      <c r="Q830" s="7" t="s">
        <v>81</v>
      </c>
      <c r="R830" s="7" t="s">
        <v>1352</v>
      </c>
      <c r="S830" s="3" t="s">
        <v>83</v>
      </c>
      <c r="T830" s="3" t="s">
        <v>1424</v>
      </c>
      <c r="U830" s="8" t="s">
        <v>1658</v>
      </c>
    </row>
    <row r="831" spans="1:21" x14ac:dyDescent="0.25">
      <c r="A831" s="10">
        <v>46076</v>
      </c>
      <c r="B831" s="2" t="s">
        <v>1655</v>
      </c>
      <c r="C831" s="2" t="s">
        <v>1656</v>
      </c>
      <c r="D831" s="2" t="s">
        <v>1506</v>
      </c>
      <c r="E831" s="3" t="s">
        <v>1068</v>
      </c>
      <c r="G831" s="4" t="s">
        <v>48</v>
      </c>
      <c r="H831" s="22" t="s">
        <v>49</v>
      </c>
      <c r="I831" s="22"/>
      <c r="J831" s="22">
        <f>I830</f>
        <v>481.17</v>
      </c>
      <c r="K831" s="22">
        <f t="shared" si="11"/>
        <v>481.17</v>
      </c>
      <c r="L831" s="17"/>
    </row>
    <row r="832" spans="1:21" ht="24" x14ac:dyDescent="0.25">
      <c r="A832" s="10">
        <v>46076</v>
      </c>
      <c r="B832" s="2" t="s">
        <v>1659</v>
      </c>
      <c r="C832" s="2" t="s">
        <v>1660</v>
      </c>
      <c r="D832" s="2" t="s">
        <v>1661</v>
      </c>
      <c r="E832" s="3" t="s">
        <v>1662</v>
      </c>
      <c r="F832" s="4">
        <v>86428.57</v>
      </c>
      <c r="G832" s="4" t="s">
        <v>110</v>
      </c>
      <c r="H832" s="22" t="s">
        <v>1581</v>
      </c>
      <c r="I832" s="22">
        <f>176000/1.12</f>
        <v>157142.85714285713</v>
      </c>
      <c r="J832" s="22"/>
      <c r="K832" s="22">
        <f t="shared" si="11"/>
        <v>157142.85714285713</v>
      </c>
      <c r="L832" s="17">
        <v>86428.57</v>
      </c>
      <c r="M832" s="23" t="s">
        <v>41</v>
      </c>
      <c r="N832" s="1" t="s">
        <v>1663</v>
      </c>
      <c r="O832" s="7" t="s">
        <v>116</v>
      </c>
      <c r="Q832" s="7" t="s">
        <v>81</v>
      </c>
      <c r="R832" s="7" t="s">
        <v>1352</v>
      </c>
      <c r="S832" s="3" t="s">
        <v>83</v>
      </c>
      <c r="T832" s="3" t="s">
        <v>1424</v>
      </c>
    </row>
    <row r="833" spans="1:20" x14ac:dyDescent="0.25">
      <c r="A833" s="10">
        <v>46076</v>
      </c>
      <c r="B833" s="2" t="s">
        <v>1659</v>
      </c>
      <c r="C833" s="2" t="s">
        <v>1660</v>
      </c>
      <c r="D833" s="2" t="s">
        <v>1661</v>
      </c>
      <c r="E833" s="3" t="s">
        <v>1662</v>
      </c>
      <c r="G833" s="4" t="s">
        <v>110</v>
      </c>
      <c r="H833" s="22" t="s">
        <v>281</v>
      </c>
      <c r="I833" s="22">
        <f>I832*0.12</f>
        <v>18857.142857142855</v>
      </c>
      <c r="J833" s="22"/>
      <c r="K833" s="22">
        <f t="shared" si="11"/>
        <v>18857.142857142855</v>
      </c>
      <c r="L833" s="17"/>
    </row>
    <row r="834" spans="1:20" x14ac:dyDescent="0.25">
      <c r="A834" s="10">
        <v>46076</v>
      </c>
      <c r="B834" s="2" t="s">
        <v>1659</v>
      </c>
      <c r="C834" s="2" t="s">
        <v>1660</v>
      </c>
      <c r="D834" s="2" t="s">
        <v>1661</v>
      </c>
      <c r="E834" s="3" t="s">
        <v>1662</v>
      </c>
      <c r="G834" s="4" t="s">
        <v>110</v>
      </c>
      <c r="H834" s="22" t="s">
        <v>282</v>
      </c>
      <c r="I834" s="22"/>
      <c r="J834" s="22">
        <f>I832*0.02</f>
        <v>3142.8571428571427</v>
      </c>
      <c r="K834" s="22">
        <f t="shared" si="11"/>
        <v>3142.8571428571427</v>
      </c>
      <c r="L834" s="17"/>
    </row>
    <row r="835" spans="1:20" x14ac:dyDescent="0.25">
      <c r="A835" s="10">
        <v>46076</v>
      </c>
      <c r="B835" s="2" t="s">
        <v>1659</v>
      </c>
      <c r="C835" s="2" t="s">
        <v>1660</v>
      </c>
      <c r="D835" s="2" t="s">
        <v>1661</v>
      </c>
      <c r="E835" s="3" t="s">
        <v>1662</v>
      </c>
      <c r="G835" s="4" t="s">
        <v>110</v>
      </c>
      <c r="H835" s="22" t="s">
        <v>406</v>
      </c>
      <c r="I835" s="22"/>
      <c r="J835" s="22">
        <f>(I832+I833-J834)/2</f>
        <v>86428.571428571435</v>
      </c>
      <c r="K835" s="22">
        <f t="shared" si="11"/>
        <v>86428.571428571435</v>
      </c>
      <c r="L835" s="17"/>
    </row>
    <row r="836" spans="1:20" x14ac:dyDescent="0.25">
      <c r="A836" s="10">
        <v>46076</v>
      </c>
      <c r="B836" s="2" t="s">
        <v>1659</v>
      </c>
      <c r="C836" s="2" t="s">
        <v>1660</v>
      </c>
      <c r="D836" s="2" t="s">
        <v>1661</v>
      </c>
      <c r="E836" s="3" t="s">
        <v>1662</v>
      </c>
      <c r="G836" s="4" t="s">
        <v>48</v>
      </c>
      <c r="H836" s="22" t="s">
        <v>49</v>
      </c>
      <c r="I836" s="22"/>
      <c r="J836" s="22">
        <f>I832+I833-J834-J835</f>
        <v>86428.571428571435</v>
      </c>
      <c r="K836" s="22">
        <f t="shared" si="11"/>
        <v>86428.571428571435</v>
      </c>
      <c r="L836" s="17"/>
    </row>
    <row r="837" spans="1:20" ht="24" x14ac:dyDescent="0.25">
      <c r="A837" s="10">
        <v>46076</v>
      </c>
      <c r="B837" s="2" t="s">
        <v>1664</v>
      </c>
      <c r="C837" s="2" t="s">
        <v>1660</v>
      </c>
      <c r="D837" s="2" t="s">
        <v>1661</v>
      </c>
      <c r="E837" s="3" t="s">
        <v>1662</v>
      </c>
      <c r="F837" s="4">
        <v>86428.57</v>
      </c>
      <c r="G837" s="4" t="s">
        <v>110</v>
      </c>
      <c r="H837" s="34" t="s">
        <v>406</v>
      </c>
      <c r="I837" s="22">
        <v>86428.57</v>
      </c>
      <c r="J837" s="34"/>
      <c r="K837" s="22">
        <f t="shared" si="11"/>
        <v>86428.57</v>
      </c>
      <c r="L837" s="32"/>
      <c r="M837" s="6" t="s">
        <v>581</v>
      </c>
      <c r="N837" s="1" t="s">
        <v>1665</v>
      </c>
    </row>
    <row r="838" spans="1:20" x14ac:dyDescent="0.25">
      <c r="A838" s="10">
        <v>46076</v>
      </c>
      <c r="B838" s="2" t="s">
        <v>1664</v>
      </c>
      <c r="C838" s="2" t="s">
        <v>1660</v>
      </c>
      <c r="D838" s="2" t="s">
        <v>1661</v>
      </c>
      <c r="E838" s="3" t="s">
        <v>1662</v>
      </c>
      <c r="G838" s="4" t="s">
        <v>48</v>
      </c>
      <c r="H838" s="22" t="s">
        <v>49</v>
      </c>
      <c r="I838" s="34"/>
      <c r="J838" s="35">
        <f>I837</f>
        <v>86428.57</v>
      </c>
      <c r="K838" s="22">
        <f t="shared" si="11"/>
        <v>86428.57</v>
      </c>
      <c r="L838" s="32"/>
    </row>
    <row r="839" spans="1:20" ht="36" x14ac:dyDescent="0.25">
      <c r="A839" s="10">
        <v>46076</v>
      </c>
      <c r="B839" s="2" t="s">
        <v>1666</v>
      </c>
      <c r="C839" s="2" t="s">
        <v>147</v>
      </c>
      <c r="D839" s="2" t="s">
        <v>1667</v>
      </c>
      <c r="E839" s="3" t="s">
        <v>955</v>
      </c>
      <c r="F839" s="4">
        <v>20000</v>
      </c>
      <c r="G839" s="4" t="s">
        <v>1030</v>
      </c>
      <c r="H839" s="22" t="s">
        <v>78</v>
      </c>
      <c r="I839" s="22">
        <v>20000</v>
      </c>
      <c r="J839" s="22"/>
      <c r="K839" s="22">
        <f t="shared" ref="K839:K918" si="12">ABS(I839-J839)</f>
        <v>20000</v>
      </c>
      <c r="L839" s="17">
        <v>20000</v>
      </c>
      <c r="M839" s="23" t="s">
        <v>41</v>
      </c>
      <c r="N839" s="1" t="s">
        <v>1668</v>
      </c>
      <c r="O839" s="47" t="s">
        <v>80</v>
      </c>
      <c r="P839" s="47"/>
      <c r="Q839" s="7" t="s">
        <v>81</v>
      </c>
      <c r="R839" s="7" t="s">
        <v>1653</v>
      </c>
      <c r="S839" s="3" t="s">
        <v>83</v>
      </c>
      <c r="T839" s="3" t="s">
        <v>1654</v>
      </c>
    </row>
    <row r="840" spans="1:20" x14ac:dyDescent="0.25">
      <c r="A840" s="10">
        <v>46076</v>
      </c>
      <c r="B840" s="2" t="s">
        <v>1666</v>
      </c>
      <c r="C840" s="2" t="s">
        <v>147</v>
      </c>
      <c r="D840" s="2" t="s">
        <v>1667</v>
      </c>
      <c r="E840" s="3" t="s">
        <v>955</v>
      </c>
      <c r="G840" s="3" t="s">
        <v>48</v>
      </c>
      <c r="H840" s="22" t="s">
        <v>49</v>
      </c>
      <c r="I840" s="22"/>
      <c r="J840" s="22">
        <f>I839</f>
        <v>20000</v>
      </c>
      <c r="K840" s="22">
        <f t="shared" si="12"/>
        <v>20000</v>
      </c>
      <c r="L840" s="17"/>
      <c r="O840" s="12"/>
      <c r="P840" s="12"/>
    </row>
    <row r="841" spans="1:20" ht="24" x14ac:dyDescent="0.25">
      <c r="A841" s="10">
        <v>46076</v>
      </c>
      <c r="B841" s="2" t="s">
        <v>1669</v>
      </c>
      <c r="C841" s="2" t="s">
        <v>147</v>
      </c>
      <c r="D841" s="2" t="s">
        <v>1670</v>
      </c>
      <c r="E841" s="3" t="s">
        <v>1671</v>
      </c>
      <c r="F841" s="4">
        <v>8250</v>
      </c>
      <c r="G841" s="4" t="s">
        <v>1030</v>
      </c>
      <c r="H841" s="22" t="s">
        <v>78</v>
      </c>
      <c r="I841" s="22">
        <f>8250/2</f>
        <v>4125</v>
      </c>
      <c r="J841" s="22"/>
      <c r="K841" s="22">
        <f t="shared" si="12"/>
        <v>4125</v>
      </c>
      <c r="L841" s="17">
        <v>8250</v>
      </c>
      <c r="M841" s="23" t="s">
        <v>41</v>
      </c>
      <c r="N841" s="1" t="s">
        <v>1672</v>
      </c>
      <c r="O841" s="47" t="s">
        <v>80</v>
      </c>
      <c r="P841" s="47"/>
      <c r="Q841" s="7" t="s">
        <v>81</v>
      </c>
      <c r="R841" s="7" t="s">
        <v>1653</v>
      </c>
      <c r="S841" s="3" t="s">
        <v>83</v>
      </c>
      <c r="T841" s="3" t="s">
        <v>1654</v>
      </c>
    </row>
    <row r="842" spans="1:20" x14ac:dyDescent="0.25">
      <c r="A842" s="10">
        <v>46076</v>
      </c>
      <c r="B842" s="2" t="s">
        <v>1669</v>
      </c>
      <c r="C842" s="2" t="s">
        <v>147</v>
      </c>
      <c r="D842" s="2" t="s">
        <v>1670</v>
      </c>
      <c r="E842" s="3" t="s">
        <v>1671</v>
      </c>
      <c r="G842" s="3" t="s">
        <v>48</v>
      </c>
      <c r="H842" s="22" t="s">
        <v>78</v>
      </c>
      <c r="I842" s="22">
        <f>8250/2</f>
        <v>4125</v>
      </c>
      <c r="J842" s="22"/>
      <c r="K842" s="22">
        <f t="shared" si="12"/>
        <v>4125</v>
      </c>
      <c r="L842" s="17"/>
      <c r="O842" s="12"/>
      <c r="P842" s="12"/>
    </row>
    <row r="843" spans="1:20" x14ac:dyDescent="0.25">
      <c r="A843" s="10">
        <v>46076</v>
      </c>
      <c r="B843" s="2" t="s">
        <v>1669</v>
      </c>
      <c r="C843" s="2" t="s">
        <v>147</v>
      </c>
      <c r="D843" s="2" t="s">
        <v>1670</v>
      </c>
      <c r="E843" s="3" t="s">
        <v>1671</v>
      </c>
      <c r="G843" s="3" t="s">
        <v>48</v>
      </c>
      <c r="H843" s="22" t="s">
        <v>49</v>
      </c>
      <c r="I843" s="22"/>
      <c r="J843" s="22">
        <f>I841+I842</f>
        <v>8250</v>
      </c>
      <c r="K843" s="22">
        <f t="shared" si="12"/>
        <v>8250</v>
      </c>
      <c r="L843" s="17"/>
      <c r="O843" s="12"/>
      <c r="P843" s="12"/>
    </row>
    <row r="844" spans="1:20" ht="36" x14ac:dyDescent="0.25">
      <c r="A844" s="10">
        <v>46076</v>
      </c>
      <c r="B844" s="2" t="s">
        <v>1673</v>
      </c>
      <c r="C844" s="2" t="s">
        <v>147</v>
      </c>
      <c r="D844" s="2" t="s">
        <v>1674</v>
      </c>
      <c r="E844" s="3" t="s">
        <v>1675</v>
      </c>
      <c r="F844" s="4">
        <v>12000</v>
      </c>
      <c r="G844" s="4" t="s">
        <v>1030</v>
      </c>
      <c r="H844" s="22" t="s">
        <v>78</v>
      </c>
      <c r="I844" s="22">
        <v>12000</v>
      </c>
      <c r="J844" s="22"/>
      <c r="K844" s="22">
        <f t="shared" si="12"/>
        <v>12000</v>
      </c>
      <c r="L844" s="17">
        <v>12000</v>
      </c>
      <c r="M844" s="23" t="s">
        <v>41</v>
      </c>
      <c r="N844" s="1" t="s">
        <v>1676</v>
      </c>
      <c r="O844" s="47" t="s">
        <v>80</v>
      </c>
      <c r="P844" s="47"/>
      <c r="Q844" s="7" t="s">
        <v>81</v>
      </c>
      <c r="R844" s="7" t="s">
        <v>1653</v>
      </c>
      <c r="S844" s="3" t="s">
        <v>83</v>
      </c>
      <c r="T844" s="3" t="s">
        <v>1654</v>
      </c>
    </row>
    <row r="845" spans="1:20" x14ac:dyDescent="0.25">
      <c r="A845" s="10">
        <v>46076</v>
      </c>
      <c r="B845" s="2" t="s">
        <v>1673</v>
      </c>
      <c r="C845" s="2" t="s">
        <v>147</v>
      </c>
      <c r="D845" s="2" t="s">
        <v>1674</v>
      </c>
      <c r="E845" s="3" t="s">
        <v>1675</v>
      </c>
      <c r="G845" s="3" t="s">
        <v>48</v>
      </c>
      <c r="H845" s="22" t="s">
        <v>49</v>
      </c>
      <c r="I845" s="22"/>
      <c r="J845" s="22">
        <f>I844</f>
        <v>12000</v>
      </c>
      <c r="K845" s="22">
        <f t="shared" si="12"/>
        <v>12000</v>
      </c>
      <c r="L845" s="17"/>
      <c r="O845" s="12"/>
      <c r="P845" s="12"/>
    </row>
    <row r="846" spans="1:20" ht="36" x14ac:dyDescent="0.25">
      <c r="A846" s="10">
        <v>46076</v>
      </c>
      <c r="B846" s="2" t="s">
        <v>1677</v>
      </c>
      <c r="C846" s="2" t="s">
        <v>147</v>
      </c>
      <c r="D846" s="2" t="s">
        <v>1678</v>
      </c>
      <c r="E846" s="3" t="s">
        <v>1679</v>
      </c>
      <c r="F846" s="4">
        <v>10540</v>
      </c>
      <c r="G846" s="4" t="s">
        <v>1030</v>
      </c>
      <c r="H846" s="22" t="s">
        <v>78</v>
      </c>
      <c r="I846" s="22">
        <v>10540</v>
      </c>
      <c r="J846" s="22"/>
      <c r="K846" s="22">
        <f t="shared" si="12"/>
        <v>10540</v>
      </c>
      <c r="L846" s="17">
        <v>10540</v>
      </c>
      <c r="M846" s="23" t="s">
        <v>41</v>
      </c>
      <c r="N846" s="1" t="s">
        <v>1680</v>
      </c>
      <c r="O846" s="48" t="s">
        <v>1596</v>
      </c>
      <c r="P846" s="47"/>
      <c r="Q846" s="7" t="s">
        <v>81</v>
      </c>
      <c r="R846" s="7" t="s">
        <v>1653</v>
      </c>
      <c r="S846" s="3" t="s">
        <v>83</v>
      </c>
      <c r="T846" s="3" t="s">
        <v>1654</v>
      </c>
    </row>
    <row r="847" spans="1:20" x14ac:dyDescent="0.25">
      <c r="A847" s="10">
        <v>46076</v>
      </c>
      <c r="B847" s="2" t="s">
        <v>1677</v>
      </c>
      <c r="C847" s="2" t="s">
        <v>147</v>
      </c>
      <c r="D847" s="2" t="s">
        <v>1678</v>
      </c>
      <c r="E847" s="3" t="s">
        <v>1679</v>
      </c>
      <c r="G847" s="3" t="s">
        <v>48</v>
      </c>
      <c r="H847" s="22" t="s">
        <v>49</v>
      </c>
      <c r="I847" s="22"/>
      <c r="J847" s="22">
        <f>I846</f>
        <v>10540</v>
      </c>
      <c r="K847" s="22">
        <f t="shared" si="12"/>
        <v>10540</v>
      </c>
      <c r="L847" s="17"/>
      <c r="O847" s="12"/>
      <c r="P847" s="12"/>
    </row>
    <row r="848" spans="1:20" x14ac:dyDescent="0.25">
      <c r="A848" s="10">
        <v>46076</v>
      </c>
      <c r="B848" s="2" t="s">
        <v>1677</v>
      </c>
      <c r="C848" s="2" t="s">
        <v>147</v>
      </c>
      <c r="D848" s="2" t="s">
        <v>1678</v>
      </c>
      <c r="E848" s="3" t="s">
        <v>1679</v>
      </c>
      <c r="G848" s="4" t="s">
        <v>1030</v>
      </c>
      <c r="H848" s="22" t="s">
        <v>1186</v>
      </c>
      <c r="I848" s="22">
        <v>1253.46</v>
      </c>
      <c r="J848" s="22"/>
      <c r="K848" s="22">
        <f t="shared" si="12"/>
        <v>1253.46</v>
      </c>
      <c r="L848" s="17"/>
      <c r="O848" s="12"/>
      <c r="P848" s="12"/>
    </row>
    <row r="849" spans="1:20" x14ac:dyDescent="0.25">
      <c r="A849" s="10">
        <v>46076</v>
      </c>
      <c r="B849" s="2" t="s">
        <v>1677</v>
      </c>
      <c r="C849" s="2" t="s">
        <v>147</v>
      </c>
      <c r="D849" s="2" t="s">
        <v>1678</v>
      </c>
      <c r="E849" s="3" t="s">
        <v>1679</v>
      </c>
      <c r="G849" s="4" t="s">
        <v>1030</v>
      </c>
      <c r="H849" s="22" t="s">
        <v>899</v>
      </c>
      <c r="I849" s="22">
        <v>7392.85</v>
      </c>
      <c r="J849" s="22"/>
      <c r="K849" s="22">
        <f t="shared" si="12"/>
        <v>7392.85</v>
      </c>
      <c r="L849" s="17"/>
      <c r="O849" s="12"/>
      <c r="P849" s="12"/>
    </row>
    <row r="850" spans="1:20" x14ac:dyDescent="0.25">
      <c r="A850" s="10">
        <v>46076</v>
      </c>
      <c r="B850" s="2" t="s">
        <v>1677</v>
      </c>
      <c r="C850" s="2" t="s">
        <v>147</v>
      </c>
      <c r="D850" s="2" t="s">
        <v>1678</v>
      </c>
      <c r="E850" s="3" t="s">
        <v>1679</v>
      </c>
      <c r="G850" s="4" t="s">
        <v>1030</v>
      </c>
      <c r="H850" s="22" t="s">
        <v>237</v>
      </c>
      <c r="I850" s="22">
        <v>1150</v>
      </c>
      <c r="J850" s="22"/>
      <c r="K850" s="22">
        <f t="shared" si="12"/>
        <v>1150</v>
      </c>
      <c r="L850" s="17"/>
      <c r="O850" s="12"/>
      <c r="P850" s="12"/>
    </row>
    <row r="851" spans="1:20" x14ac:dyDescent="0.25">
      <c r="A851" s="10">
        <v>46076</v>
      </c>
      <c r="B851" s="2" t="s">
        <v>1677</v>
      </c>
      <c r="C851" s="2" t="s">
        <v>147</v>
      </c>
      <c r="D851" s="2" t="s">
        <v>1678</v>
      </c>
      <c r="E851" s="3" t="s">
        <v>1679</v>
      </c>
      <c r="G851" s="4" t="s">
        <v>1030</v>
      </c>
      <c r="H851" s="22" t="s">
        <v>239</v>
      </c>
      <c r="I851" s="22">
        <v>743.69</v>
      </c>
      <c r="J851" s="22"/>
      <c r="K851" s="22">
        <f t="shared" si="12"/>
        <v>743.69</v>
      </c>
      <c r="L851" s="17"/>
      <c r="O851" s="12"/>
      <c r="P851" s="12"/>
    </row>
    <row r="852" spans="1:20" x14ac:dyDescent="0.25">
      <c r="A852" s="10">
        <v>46076</v>
      </c>
      <c r="B852" s="2" t="s">
        <v>1677</v>
      </c>
      <c r="C852" s="2" t="s">
        <v>147</v>
      </c>
      <c r="D852" s="2" t="s">
        <v>1678</v>
      </c>
      <c r="E852" s="3" t="s">
        <v>1679</v>
      </c>
      <c r="G852" s="4" t="s">
        <v>1030</v>
      </c>
      <c r="H852" s="22" t="s">
        <v>78</v>
      </c>
      <c r="I852" s="22"/>
      <c r="J852" s="22">
        <f>I848+I849+I850+I851</f>
        <v>10540.000000000002</v>
      </c>
      <c r="K852" s="22">
        <f t="shared" si="12"/>
        <v>10540.000000000002</v>
      </c>
      <c r="L852" s="17"/>
      <c r="O852" s="12"/>
      <c r="P852" s="12"/>
    </row>
    <row r="853" spans="1:20" x14ac:dyDescent="0.25">
      <c r="A853" s="10">
        <v>46076</v>
      </c>
      <c r="B853" s="2" t="s">
        <v>1681</v>
      </c>
      <c r="C853" s="2" t="s">
        <v>601</v>
      </c>
      <c r="D853" s="2" t="s">
        <v>602</v>
      </c>
      <c r="E853" s="3" t="s">
        <v>603</v>
      </c>
      <c r="F853" s="4">
        <v>16100</v>
      </c>
      <c r="G853" s="3" t="s">
        <v>48</v>
      </c>
      <c r="H853" s="22" t="s">
        <v>604</v>
      </c>
      <c r="I853" s="22">
        <v>16100</v>
      </c>
      <c r="J853" s="22"/>
      <c r="K853" s="22">
        <f t="shared" si="12"/>
        <v>16100</v>
      </c>
      <c r="L853" s="17">
        <v>16100</v>
      </c>
      <c r="M853" s="23" t="s">
        <v>41</v>
      </c>
      <c r="N853" s="1" t="s">
        <v>1682</v>
      </c>
      <c r="O853" s="7" t="s">
        <v>1683</v>
      </c>
      <c r="Q853" s="7" t="s">
        <v>81</v>
      </c>
      <c r="R853" s="7" t="s">
        <v>1684</v>
      </c>
      <c r="S853" s="3" t="s">
        <v>83</v>
      </c>
    </row>
    <row r="854" spans="1:20" x14ac:dyDescent="0.25">
      <c r="A854" s="10">
        <v>46076</v>
      </c>
      <c r="B854" s="2" t="s">
        <v>1681</v>
      </c>
      <c r="C854" s="2" t="s">
        <v>601</v>
      </c>
      <c r="D854" s="2" t="s">
        <v>602</v>
      </c>
      <c r="E854" s="3" t="s">
        <v>603</v>
      </c>
      <c r="G854" s="3" t="s">
        <v>48</v>
      </c>
      <c r="H854" s="22" t="s">
        <v>49</v>
      </c>
      <c r="I854" s="22"/>
      <c r="J854" s="22">
        <f>I853</f>
        <v>16100</v>
      </c>
      <c r="K854" s="22">
        <f t="shared" si="12"/>
        <v>16100</v>
      </c>
      <c r="L854" s="17"/>
    </row>
    <row r="855" spans="1:20" ht="24" x14ac:dyDescent="0.25">
      <c r="A855" s="10">
        <v>46076</v>
      </c>
      <c r="B855" s="2" t="s">
        <v>1685</v>
      </c>
      <c r="E855" s="3" t="s">
        <v>27</v>
      </c>
      <c r="F855" s="4">
        <v>2500000</v>
      </c>
      <c r="G855" s="3" t="s">
        <v>48</v>
      </c>
      <c r="H855" s="22"/>
      <c r="I855" s="22"/>
      <c r="J855" s="22"/>
      <c r="K855" s="22">
        <f t="shared" si="12"/>
        <v>0</v>
      </c>
      <c r="L855" s="17"/>
      <c r="M855" s="23" t="s">
        <v>41</v>
      </c>
      <c r="N855" s="1" t="s">
        <v>1686</v>
      </c>
      <c r="O855" s="7" t="s">
        <v>143</v>
      </c>
      <c r="Q855" s="25" t="s">
        <v>1687</v>
      </c>
      <c r="R855" s="7" t="s">
        <v>1196</v>
      </c>
      <c r="S855" s="3" t="s">
        <v>145</v>
      </c>
      <c r="T855" s="3" t="s">
        <v>324</v>
      </c>
    </row>
    <row r="856" spans="1:20" ht="24" x14ac:dyDescent="0.25">
      <c r="A856" s="10">
        <v>46076</v>
      </c>
      <c r="B856" s="2" t="s">
        <v>1688</v>
      </c>
      <c r="E856" s="3" t="s">
        <v>27</v>
      </c>
      <c r="F856" s="4">
        <v>2500000</v>
      </c>
      <c r="G856" s="3" t="s">
        <v>48</v>
      </c>
      <c r="H856" s="22"/>
      <c r="I856" s="22"/>
      <c r="J856" s="22"/>
      <c r="K856" s="22">
        <f t="shared" si="12"/>
        <v>0</v>
      </c>
      <c r="L856" s="17"/>
      <c r="M856" s="23" t="s">
        <v>41</v>
      </c>
      <c r="N856" s="1" t="s">
        <v>1689</v>
      </c>
      <c r="O856" s="7" t="s">
        <v>313</v>
      </c>
      <c r="Q856" s="25" t="s">
        <v>1690</v>
      </c>
      <c r="R856" s="7" t="s">
        <v>1196</v>
      </c>
      <c r="S856" s="3" t="s">
        <v>442</v>
      </c>
      <c r="T856" s="3" t="s">
        <v>643</v>
      </c>
    </row>
    <row r="857" spans="1:20" x14ac:dyDescent="0.25">
      <c r="A857" s="10">
        <v>46076</v>
      </c>
      <c r="B857" s="2" t="s">
        <v>1691</v>
      </c>
      <c r="E857" s="3" t="s">
        <v>27</v>
      </c>
      <c r="F857" s="4">
        <v>2400000</v>
      </c>
      <c r="G857" s="4" t="s">
        <v>326</v>
      </c>
      <c r="H857" s="22"/>
      <c r="I857" s="22"/>
      <c r="J857" s="22"/>
      <c r="K857" s="22">
        <f t="shared" si="12"/>
        <v>0</v>
      </c>
      <c r="L857" s="17"/>
      <c r="M857" s="23" t="s">
        <v>41</v>
      </c>
      <c r="N857" s="1" t="s">
        <v>1692</v>
      </c>
      <c r="O857" s="7" t="s">
        <v>116</v>
      </c>
      <c r="Q857" s="7" t="s">
        <v>81</v>
      </c>
      <c r="R857" s="7" t="s">
        <v>1653</v>
      </c>
      <c r="S857" s="3" t="s">
        <v>1693</v>
      </c>
    </row>
    <row r="858" spans="1:20" x14ac:dyDescent="0.25">
      <c r="A858" s="10">
        <v>46076</v>
      </c>
      <c r="B858" s="2" t="s">
        <v>1694</v>
      </c>
      <c r="E858" s="3" t="s">
        <v>614</v>
      </c>
      <c r="F858" s="4">
        <v>100000</v>
      </c>
      <c r="G858" s="4" t="s">
        <v>167</v>
      </c>
      <c r="H858" s="22"/>
      <c r="I858" s="22"/>
      <c r="J858" s="22"/>
      <c r="K858" s="22">
        <f t="shared" si="12"/>
        <v>0</v>
      </c>
      <c r="L858" s="17"/>
      <c r="M858" s="23" t="s">
        <v>41</v>
      </c>
      <c r="N858" s="1" t="s">
        <v>1695</v>
      </c>
      <c r="O858" s="7" t="s">
        <v>116</v>
      </c>
      <c r="Q858" s="7" t="s">
        <v>81</v>
      </c>
      <c r="R858" s="7" t="s">
        <v>1653</v>
      </c>
      <c r="S858" s="3" t="s">
        <v>1693</v>
      </c>
    </row>
    <row r="859" spans="1:20" ht="24" x14ac:dyDescent="0.25">
      <c r="A859" s="10">
        <v>46076</v>
      </c>
      <c r="B859" s="2" t="s">
        <v>1696</v>
      </c>
      <c r="C859" s="2" t="s">
        <v>95</v>
      </c>
      <c r="D859" s="2" t="s">
        <v>1697</v>
      </c>
      <c r="E859" s="3" t="s">
        <v>1563</v>
      </c>
      <c r="F859" s="4">
        <v>25682.1</v>
      </c>
      <c r="G859" s="4" t="s">
        <v>28</v>
      </c>
      <c r="H859" s="22" t="s">
        <v>57</v>
      </c>
      <c r="I859" s="22">
        <v>25682.1</v>
      </c>
      <c r="J859" s="22"/>
      <c r="K859" s="22">
        <f t="shared" si="12"/>
        <v>25682.1</v>
      </c>
      <c r="L859" s="17"/>
      <c r="M859" s="6" t="s">
        <v>581</v>
      </c>
      <c r="N859" s="1" t="s">
        <v>1698</v>
      </c>
      <c r="O859" s="7" t="s">
        <v>1699</v>
      </c>
    </row>
    <row r="860" spans="1:20" x14ac:dyDescent="0.25">
      <c r="A860" s="10">
        <v>46076</v>
      </c>
      <c r="B860" s="2" t="s">
        <v>1696</v>
      </c>
      <c r="C860" s="2" t="s">
        <v>95</v>
      </c>
      <c r="D860" s="2" t="s">
        <v>1697</v>
      </c>
      <c r="E860" s="3" t="s">
        <v>1563</v>
      </c>
      <c r="G860" s="3" t="s">
        <v>48</v>
      </c>
      <c r="H860" s="22" t="s">
        <v>49</v>
      </c>
      <c r="I860" s="22"/>
      <c r="J860" s="22">
        <f>I859</f>
        <v>25682.1</v>
      </c>
      <c r="K860" s="22">
        <f t="shared" si="12"/>
        <v>25682.1</v>
      </c>
      <c r="L860" s="17"/>
    </row>
    <row r="861" spans="1:20" ht="24" x14ac:dyDescent="0.25">
      <c r="A861" s="10">
        <v>46076</v>
      </c>
      <c r="B861" s="2" t="s">
        <v>1700</v>
      </c>
      <c r="C861" s="2" t="s">
        <v>831</v>
      </c>
      <c r="D861" s="2" t="s">
        <v>1701</v>
      </c>
      <c r="E861" s="3" t="s">
        <v>833</v>
      </c>
      <c r="F861" s="4">
        <v>12350.32</v>
      </c>
      <c r="G861" s="4" t="s">
        <v>48</v>
      </c>
      <c r="H861" s="22"/>
      <c r="I861" s="22"/>
      <c r="J861" s="22"/>
      <c r="K861" s="22">
        <f t="shared" si="12"/>
        <v>0</v>
      </c>
      <c r="L861" s="17">
        <v>12350.32</v>
      </c>
      <c r="M861" s="23" t="s">
        <v>41</v>
      </c>
      <c r="N861" s="1" t="s">
        <v>1702</v>
      </c>
      <c r="O861" s="7" t="s">
        <v>1399</v>
      </c>
      <c r="P861" s="7" t="s">
        <v>81</v>
      </c>
      <c r="R861" s="7" t="s">
        <v>1703</v>
      </c>
      <c r="S861" s="3" t="s">
        <v>83</v>
      </c>
      <c r="T861" s="3" t="s">
        <v>1233</v>
      </c>
    </row>
    <row r="862" spans="1:20" ht="24" x14ac:dyDescent="0.25">
      <c r="A862" s="10">
        <v>46076</v>
      </c>
      <c r="B862" s="2" t="s">
        <v>1704</v>
      </c>
      <c r="C862" s="2" t="s">
        <v>837</v>
      </c>
      <c r="D862" s="2" t="s">
        <v>1701</v>
      </c>
      <c r="E862" s="3" t="s">
        <v>833</v>
      </c>
      <c r="F862" s="4">
        <v>7527.6</v>
      </c>
      <c r="G862" s="4" t="s">
        <v>98</v>
      </c>
      <c r="H862" s="22"/>
      <c r="I862" s="22"/>
      <c r="J862" s="22"/>
      <c r="K862" s="22">
        <f t="shared" si="12"/>
        <v>0</v>
      </c>
      <c r="L862" s="17">
        <v>7527.6</v>
      </c>
      <c r="M862" s="23" t="s">
        <v>41</v>
      </c>
      <c r="N862" s="1" t="s">
        <v>1705</v>
      </c>
      <c r="O862" s="7" t="s">
        <v>1399</v>
      </c>
      <c r="P862" s="7" t="s">
        <v>81</v>
      </c>
      <c r="R862" s="7" t="s">
        <v>1703</v>
      </c>
      <c r="S862" s="3" t="s">
        <v>83</v>
      </c>
      <c r="T862" s="3" t="s">
        <v>1233</v>
      </c>
    </row>
    <row r="863" spans="1:20" ht="24" x14ac:dyDescent="0.25">
      <c r="A863" s="10">
        <v>46077</v>
      </c>
      <c r="B863" s="2" t="s">
        <v>1706</v>
      </c>
      <c r="C863" s="2" t="s">
        <v>95</v>
      </c>
      <c r="D863" s="2" t="s">
        <v>1707</v>
      </c>
      <c r="E863" s="3" t="s">
        <v>1068</v>
      </c>
      <c r="F863" s="4">
        <v>9286</v>
      </c>
      <c r="G863" s="4" t="s">
        <v>48</v>
      </c>
      <c r="H863" s="22" t="s">
        <v>40</v>
      </c>
      <c r="I863" s="22">
        <v>9286</v>
      </c>
      <c r="J863" s="22"/>
      <c r="K863" s="22">
        <f t="shared" si="12"/>
        <v>9286</v>
      </c>
      <c r="L863" s="17"/>
      <c r="M863" s="6" t="s">
        <v>581</v>
      </c>
      <c r="N863" s="1" t="s">
        <v>1708</v>
      </c>
      <c r="O863" s="24" t="s">
        <v>1709</v>
      </c>
    </row>
    <row r="864" spans="1:20" x14ac:dyDescent="0.25">
      <c r="A864" s="10">
        <v>46077</v>
      </c>
      <c r="B864" s="2" t="s">
        <v>1706</v>
      </c>
      <c r="C864" s="2" t="s">
        <v>95</v>
      </c>
      <c r="D864" s="2" t="s">
        <v>1707</v>
      </c>
      <c r="E864" s="3" t="s">
        <v>1068</v>
      </c>
      <c r="G864" s="4" t="s">
        <v>48</v>
      </c>
      <c r="H864" s="22" t="s">
        <v>49</v>
      </c>
      <c r="I864" s="22"/>
      <c r="J864" s="22">
        <f>I863</f>
        <v>9286</v>
      </c>
      <c r="K864" s="22">
        <f t="shared" si="12"/>
        <v>9286</v>
      </c>
      <c r="L864" s="17"/>
    </row>
    <row r="865" spans="1:20" ht="24" x14ac:dyDescent="0.25">
      <c r="A865" s="10">
        <v>46077</v>
      </c>
      <c r="B865" s="2" t="s">
        <v>1710</v>
      </c>
      <c r="C865" s="2" t="s">
        <v>1711</v>
      </c>
      <c r="D865" s="2" t="s">
        <v>1712</v>
      </c>
      <c r="E865" s="3" t="s">
        <v>455</v>
      </c>
      <c r="F865" s="4">
        <f>(2590/1.12)+(2590/1.12*0.12)-(2590/1.12*0.01)</f>
        <v>2566.875</v>
      </c>
      <c r="G865" s="4" t="s">
        <v>801</v>
      </c>
      <c r="H865" s="22" t="s">
        <v>40</v>
      </c>
      <c r="I865" s="22">
        <f>2590/1.12</f>
        <v>2312.5</v>
      </c>
      <c r="J865" s="22"/>
      <c r="K865" s="22">
        <f t="shared" si="12"/>
        <v>2312.5</v>
      </c>
      <c r="L865" s="17">
        <v>2566.88</v>
      </c>
      <c r="M865" s="23" t="s">
        <v>41</v>
      </c>
      <c r="N865" s="1" t="s">
        <v>1713</v>
      </c>
      <c r="O865" s="7" t="s">
        <v>116</v>
      </c>
      <c r="P865" s="7" t="s">
        <v>81</v>
      </c>
      <c r="R865" s="7" t="s">
        <v>1232</v>
      </c>
      <c r="S865" s="3" t="s">
        <v>83</v>
      </c>
      <c r="T865" s="3" t="s">
        <v>1233</v>
      </c>
    </row>
    <row r="866" spans="1:20" x14ac:dyDescent="0.25">
      <c r="A866" s="10">
        <v>46077</v>
      </c>
      <c r="B866" s="2" t="s">
        <v>1710</v>
      </c>
      <c r="C866" s="2" t="s">
        <v>1711</v>
      </c>
      <c r="D866" s="2" t="s">
        <v>1712</v>
      </c>
      <c r="E866" s="3" t="s">
        <v>455</v>
      </c>
      <c r="G866" s="4" t="s">
        <v>801</v>
      </c>
      <c r="H866" s="22" t="s">
        <v>104</v>
      </c>
      <c r="I866" s="22">
        <f>I865*0.12</f>
        <v>277.5</v>
      </c>
      <c r="J866" s="22"/>
      <c r="K866" s="22">
        <f t="shared" si="12"/>
        <v>277.5</v>
      </c>
      <c r="L866" s="17"/>
    </row>
    <row r="867" spans="1:20" x14ac:dyDescent="0.25">
      <c r="A867" s="10">
        <v>46077</v>
      </c>
      <c r="B867" s="2" t="s">
        <v>1710</v>
      </c>
      <c r="C867" s="2" t="s">
        <v>1711</v>
      </c>
      <c r="D867" s="2" t="s">
        <v>1712</v>
      </c>
      <c r="E867" s="3" t="s">
        <v>455</v>
      </c>
      <c r="G867" s="4" t="s">
        <v>801</v>
      </c>
      <c r="H867" s="22" t="s">
        <v>105</v>
      </c>
      <c r="I867" s="22"/>
      <c r="J867" s="22">
        <f>I865*0.01</f>
        <v>23.125</v>
      </c>
      <c r="K867" s="22">
        <f t="shared" si="12"/>
        <v>23.125</v>
      </c>
      <c r="L867" s="17"/>
    </row>
    <row r="868" spans="1:20" x14ac:dyDescent="0.25">
      <c r="A868" s="10">
        <v>46077</v>
      </c>
      <c r="B868" s="2" t="s">
        <v>1710</v>
      </c>
      <c r="C868" s="2" t="s">
        <v>1711</v>
      </c>
      <c r="D868" s="2" t="s">
        <v>1712</v>
      </c>
      <c r="E868" s="3" t="s">
        <v>455</v>
      </c>
      <c r="G868" s="4" t="s">
        <v>48</v>
      </c>
      <c r="H868" s="22" t="s">
        <v>49</v>
      </c>
      <c r="I868" s="22"/>
      <c r="J868" s="22">
        <f>I865+I866-J867</f>
        <v>2566.875</v>
      </c>
      <c r="K868" s="22">
        <f t="shared" si="12"/>
        <v>2566.875</v>
      </c>
      <c r="L868" s="17"/>
    </row>
    <row r="869" spans="1:20" x14ac:dyDescent="0.25">
      <c r="A869" s="10">
        <v>46077</v>
      </c>
      <c r="B869" s="2" t="s">
        <v>1714</v>
      </c>
      <c r="E869" s="3" t="s">
        <v>377</v>
      </c>
      <c r="F869" s="4">
        <v>20500</v>
      </c>
      <c r="G869" s="4" t="s">
        <v>48</v>
      </c>
      <c r="H869" s="22" t="s">
        <v>862</v>
      </c>
      <c r="I869" s="22">
        <v>20500</v>
      </c>
      <c r="J869" s="22"/>
      <c r="K869" s="22">
        <f t="shared" si="12"/>
        <v>20500</v>
      </c>
      <c r="L869" s="17">
        <v>20500</v>
      </c>
      <c r="M869" s="23" t="s">
        <v>41</v>
      </c>
      <c r="N869" s="1" t="s">
        <v>1715</v>
      </c>
      <c r="O869" s="7" t="s">
        <v>116</v>
      </c>
      <c r="P869" s="7" t="s">
        <v>81</v>
      </c>
      <c r="S869" s="3" t="s">
        <v>83</v>
      </c>
    </row>
    <row r="870" spans="1:20" x14ac:dyDescent="0.25">
      <c r="A870" s="10">
        <v>46077</v>
      </c>
      <c r="B870" s="2" t="s">
        <v>1714</v>
      </c>
      <c r="E870" s="3" t="s">
        <v>377</v>
      </c>
      <c r="G870" s="4" t="s">
        <v>48</v>
      </c>
      <c r="H870" s="22" t="s">
        <v>49</v>
      </c>
      <c r="I870" s="22"/>
      <c r="J870" s="22">
        <f>I869</f>
        <v>20500</v>
      </c>
      <c r="K870" s="22">
        <f t="shared" si="12"/>
        <v>20500</v>
      </c>
      <c r="L870" s="17"/>
    </row>
    <row r="871" spans="1:20" ht="24" x14ac:dyDescent="0.25">
      <c r="A871" s="10">
        <v>46077</v>
      </c>
      <c r="B871" s="2" t="s">
        <v>1716</v>
      </c>
      <c r="C871" s="2" t="s">
        <v>141</v>
      </c>
      <c r="E871" s="3" t="s">
        <v>27</v>
      </c>
      <c r="F871" s="4">
        <v>161869.85</v>
      </c>
      <c r="G871" s="4" t="s">
        <v>48</v>
      </c>
      <c r="H871" s="22"/>
      <c r="I871" s="22"/>
      <c r="J871" s="22"/>
      <c r="K871" s="22">
        <f t="shared" si="12"/>
        <v>0</v>
      </c>
      <c r="L871" s="17"/>
      <c r="M871" s="6" t="s">
        <v>41</v>
      </c>
      <c r="N871" s="1" t="s">
        <v>1717</v>
      </c>
      <c r="O871" s="7" t="s">
        <v>143</v>
      </c>
      <c r="Q871" s="7">
        <v>2000000022</v>
      </c>
      <c r="R871" s="7" t="s">
        <v>1653</v>
      </c>
      <c r="S871" s="3" t="s">
        <v>1718</v>
      </c>
      <c r="T871" s="3" t="s">
        <v>1719</v>
      </c>
    </row>
    <row r="872" spans="1:20" ht="24" x14ac:dyDescent="0.25">
      <c r="A872" s="10">
        <v>46077</v>
      </c>
      <c r="B872" s="2" t="s">
        <v>1720</v>
      </c>
      <c r="C872" s="2" t="s">
        <v>141</v>
      </c>
      <c r="E872" s="3" t="s">
        <v>27</v>
      </c>
      <c r="F872" s="4">
        <v>550000</v>
      </c>
      <c r="G872" s="4" t="s">
        <v>48</v>
      </c>
      <c r="H872" s="22"/>
      <c r="I872" s="22"/>
      <c r="J872" s="22"/>
      <c r="K872" s="22">
        <f t="shared" si="12"/>
        <v>0</v>
      </c>
      <c r="L872" s="17"/>
      <c r="M872" s="6" t="s">
        <v>41</v>
      </c>
      <c r="N872" s="1" t="s">
        <v>1721</v>
      </c>
      <c r="O872" s="7" t="s">
        <v>143</v>
      </c>
      <c r="Q872" s="25" t="s">
        <v>1722</v>
      </c>
      <c r="R872" s="7" t="s">
        <v>1653</v>
      </c>
      <c r="S872" s="3" t="s">
        <v>442</v>
      </c>
      <c r="T872" s="3" t="s">
        <v>643</v>
      </c>
    </row>
    <row r="873" spans="1:20" x14ac:dyDescent="0.25">
      <c r="A873" s="10">
        <v>46077</v>
      </c>
      <c r="B873" s="2" t="s">
        <v>1723</v>
      </c>
      <c r="C873" s="2" t="s">
        <v>141</v>
      </c>
      <c r="E873" s="3" t="s">
        <v>27</v>
      </c>
      <c r="F873" s="4">
        <v>1800000</v>
      </c>
      <c r="G873" s="4" t="s">
        <v>48</v>
      </c>
      <c r="H873" s="22"/>
      <c r="I873" s="22"/>
      <c r="J873" s="22"/>
      <c r="K873" s="22">
        <f t="shared" si="12"/>
        <v>0</v>
      </c>
      <c r="L873" s="17"/>
      <c r="M873" s="6" t="s">
        <v>41</v>
      </c>
      <c r="N873" s="1" t="s">
        <v>1724</v>
      </c>
      <c r="O873" s="7" t="s">
        <v>143</v>
      </c>
      <c r="Q873" s="25" t="s">
        <v>1725</v>
      </c>
      <c r="R873" s="7" t="s">
        <v>1653</v>
      </c>
      <c r="S873" s="3" t="s">
        <v>145</v>
      </c>
      <c r="T873" s="3" t="s">
        <v>324</v>
      </c>
    </row>
    <row r="874" spans="1:20" x14ac:dyDescent="0.25">
      <c r="A874" s="10">
        <v>46077</v>
      </c>
      <c r="B874" s="2" t="s">
        <v>1726</v>
      </c>
      <c r="C874" s="2" t="s">
        <v>141</v>
      </c>
      <c r="E874" s="3" t="s">
        <v>27</v>
      </c>
      <c r="F874" s="4">
        <v>84000</v>
      </c>
      <c r="G874" s="4" t="s">
        <v>48</v>
      </c>
      <c r="H874" s="22"/>
      <c r="I874" s="22"/>
      <c r="J874" s="22"/>
      <c r="K874" s="22">
        <f t="shared" si="12"/>
        <v>0</v>
      </c>
      <c r="L874" s="17"/>
      <c r="M874" s="6" t="s">
        <v>41</v>
      </c>
      <c r="N874" s="1" t="s">
        <v>1727</v>
      </c>
      <c r="O874" s="7" t="s">
        <v>143</v>
      </c>
      <c r="Q874" s="25" t="s">
        <v>1728</v>
      </c>
      <c r="R874" s="7" t="s">
        <v>1653</v>
      </c>
      <c r="S874" s="3" t="s">
        <v>145</v>
      </c>
      <c r="T874" s="3" t="s">
        <v>324</v>
      </c>
    </row>
    <row r="875" spans="1:20" x14ac:dyDescent="0.25">
      <c r="A875" s="10">
        <v>46077</v>
      </c>
      <c r="B875" s="2" t="s">
        <v>1729</v>
      </c>
      <c r="E875" s="3" t="s">
        <v>398</v>
      </c>
      <c r="F875" s="4">
        <v>120000</v>
      </c>
      <c r="G875" s="4" t="s">
        <v>167</v>
      </c>
      <c r="H875" s="22"/>
      <c r="I875" s="22"/>
      <c r="J875" s="22"/>
      <c r="K875" s="22">
        <f t="shared" si="12"/>
        <v>0</v>
      </c>
      <c r="L875" s="17"/>
      <c r="M875" s="23" t="s">
        <v>41</v>
      </c>
      <c r="N875" s="1" t="s">
        <v>1730</v>
      </c>
      <c r="O875" s="7" t="s">
        <v>313</v>
      </c>
      <c r="P875" s="7" t="s">
        <v>32</v>
      </c>
      <c r="Q875" s="7">
        <v>2000000021</v>
      </c>
      <c r="R875" s="7" t="s">
        <v>1653</v>
      </c>
      <c r="S875" s="3" t="s">
        <v>1718</v>
      </c>
      <c r="T875" s="3" t="s">
        <v>1719</v>
      </c>
    </row>
    <row r="876" spans="1:20" x14ac:dyDescent="0.25">
      <c r="A876" s="10">
        <v>46077</v>
      </c>
      <c r="B876" s="2" t="s">
        <v>1731</v>
      </c>
      <c r="E876" s="3" t="s">
        <v>1732</v>
      </c>
      <c r="F876" s="4">
        <v>351313.25</v>
      </c>
      <c r="G876" s="4" t="s">
        <v>167</v>
      </c>
      <c r="H876" s="22"/>
      <c r="I876" s="22"/>
      <c r="J876" s="22"/>
      <c r="K876" s="22">
        <f t="shared" si="12"/>
        <v>0</v>
      </c>
      <c r="L876" s="17"/>
      <c r="M876" s="6" t="s">
        <v>41</v>
      </c>
      <c r="N876" s="1" t="s">
        <v>1733</v>
      </c>
      <c r="O876" s="7" t="s">
        <v>313</v>
      </c>
      <c r="Q876" s="7">
        <v>2000000020</v>
      </c>
      <c r="R876" s="7" t="s">
        <v>1653</v>
      </c>
      <c r="S876" s="3" t="s">
        <v>1718</v>
      </c>
      <c r="T876" s="3" t="s">
        <v>1719</v>
      </c>
    </row>
    <row r="877" spans="1:20" x14ac:dyDescent="0.25">
      <c r="A877" s="10">
        <v>46077</v>
      </c>
      <c r="B877" s="2" t="s">
        <v>1734</v>
      </c>
      <c r="D877" s="31" t="s">
        <v>180</v>
      </c>
      <c r="E877" s="3" t="s">
        <v>181</v>
      </c>
      <c r="F877" s="4">
        <v>300000</v>
      </c>
      <c r="G877" s="4" t="s">
        <v>167</v>
      </c>
      <c r="H877" s="22" t="s">
        <v>168</v>
      </c>
      <c r="I877" s="22">
        <v>300000</v>
      </c>
      <c r="J877" s="22"/>
      <c r="K877" s="22">
        <f t="shared" si="12"/>
        <v>300000</v>
      </c>
      <c r="L877" s="17">
        <v>300000</v>
      </c>
      <c r="M877" s="23" t="s">
        <v>41</v>
      </c>
      <c r="N877" s="1" t="s">
        <v>1735</v>
      </c>
      <c r="O877" s="7" t="s">
        <v>177</v>
      </c>
      <c r="P877" s="7" t="s">
        <v>81</v>
      </c>
      <c r="R877" s="7" t="s">
        <v>1653</v>
      </c>
      <c r="S877" s="3" t="s">
        <v>83</v>
      </c>
      <c r="T877" s="3" t="s">
        <v>1736</v>
      </c>
    </row>
    <row r="878" spans="1:20" x14ac:dyDescent="0.25">
      <c r="A878" s="10">
        <v>46077</v>
      </c>
      <c r="B878" s="2" t="s">
        <v>1734</v>
      </c>
      <c r="D878" s="31" t="s">
        <v>180</v>
      </c>
      <c r="E878" s="3" t="s">
        <v>181</v>
      </c>
      <c r="G878" s="4" t="s">
        <v>167</v>
      </c>
      <c r="H878" s="22" t="s">
        <v>81</v>
      </c>
      <c r="I878" s="22"/>
      <c r="J878" s="22">
        <f>I877</f>
        <v>300000</v>
      </c>
      <c r="K878" s="22">
        <f t="shared" si="12"/>
        <v>300000</v>
      </c>
      <c r="L878" s="17"/>
    </row>
    <row r="879" spans="1:20" x14ac:dyDescent="0.25">
      <c r="A879" s="10">
        <v>46077</v>
      </c>
      <c r="B879" s="2" t="s">
        <v>1737</v>
      </c>
      <c r="D879" s="31" t="s">
        <v>165</v>
      </c>
      <c r="E879" s="3" t="s">
        <v>166</v>
      </c>
      <c r="F879" s="4">
        <v>200000</v>
      </c>
      <c r="G879" s="4" t="s">
        <v>167</v>
      </c>
      <c r="H879" s="22" t="s">
        <v>168</v>
      </c>
      <c r="I879" s="22">
        <v>200000</v>
      </c>
      <c r="J879" s="22"/>
      <c r="K879" s="22">
        <f t="shared" si="12"/>
        <v>200000</v>
      </c>
      <c r="L879" s="17">
        <v>200000</v>
      </c>
      <c r="M879" s="23" t="s">
        <v>41</v>
      </c>
      <c r="N879" s="1" t="s">
        <v>1738</v>
      </c>
      <c r="O879" s="7" t="s">
        <v>177</v>
      </c>
      <c r="P879" s="7" t="s">
        <v>81</v>
      </c>
      <c r="R879" s="7" t="s">
        <v>1653</v>
      </c>
      <c r="S879" s="3" t="s">
        <v>83</v>
      </c>
      <c r="T879" s="3" t="s">
        <v>1736</v>
      </c>
    </row>
    <row r="880" spans="1:20" x14ac:dyDescent="0.25">
      <c r="A880" s="10">
        <v>46077</v>
      </c>
      <c r="B880" s="2" t="s">
        <v>1737</v>
      </c>
      <c r="D880" s="31" t="s">
        <v>165</v>
      </c>
      <c r="E880" s="3" t="s">
        <v>166</v>
      </c>
      <c r="G880" s="4" t="s">
        <v>167</v>
      </c>
      <c r="H880" s="22" t="s">
        <v>81</v>
      </c>
      <c r="I880" s="22"/>
      <c r="J880" s="22">
        <f>I879</f>
        <v>200000</v>
      </c>
      <c r="K880" s="22">
        <f t="shared" si="12"/>
        <v>200000</v>
      </c>
      <c r="L880" s="17"/>
      <c r="M880" s="23"/>
    </row>
    <row r="881" spans="1:20" x14ac:dyDescent="0.25">
      <c r="A881" s="10">
        <v>46077</v>
      </c>
      <c r="B881" s="2" t="s">
        <v>1739</v>
      </c>
      <c r="C881" s="2" t="s">
        <v>173</v>
      </c>
      <c r="D881" s="31" t="s">
        <v>174</v>
      </c>
      <c r="E881" s="3" t="s">
        <v>175</v>
      </c>
      <c r="F881" s="4">
        <v>50000</v>
      </c>
      <c r="G881" s="4" t="s">
        <v>167</v>
      </c>
      <c r="H881" s="22" t="s">
        <v>168</v>
      </c>
      <c r="I881" s="22">
        <v>50000</v>
      </c>
      <c r="J881" s="22"/>
      <c r="K881" s="22">
        <f t="shared" si="12"/>
        <v>50000</v>
      </c>
      <c r="L881" s="17">
        <v>50000</v>
      </c>
      <c r="M881" s="23" t="s">
        <v>41</v>
      </c>
      <c r="N881" s="1" t="s">
        <v>1740</v>
      </c>
      <c r="O881" s="7" t="s">
        <v>183</v>
      </c>
      <c r="P881" s="7" t="s">
        <v>81</v>
      </c>
      <c r="R881" s="7" t="s">
        <v>1653</v>
      </c>
      <c r="S881" s="3" t="s">
        <v>83</v>
      </c>
      <c r="T881" s="3" t="s">
        <v>1736</v>
      </c>
    </row>
    <row r="882" spans="1:20" x14ac:dyDescent="0.25">
      <c r="A882" s="10">
        <v>46077</v>
      </c>
      <c r="B882" s="2" t="s">
        <v>1739</v>
      </c>
      <c r="C882" s="2" t="s">
        <v>173</v>
      </c>
      <c r="D882" s="31" t="s">
        <v>174</v>
      </c>
      <c r="E882" s="3" t="s">
        <v>175</v>
      </c>
      <c r="G882" s="4" t="s">
        <v>167</v>
      </c>
      <c r="H882" s="22" t="s">
        <v>81</v>
      </c>
      <c r="I882" s="22"/>
      <c r="J882" s="22">
        <f>I881</f>
        <v>50000</v>
      </c>
      <c r="K882" s="22">
        <f t="shared" si="12"/>
        <v>50000</v>
      </c>
      <c r="L882" s="17"/>
      <c r="M882" s="23"/>
    </row>
    <row r="883" spans="1:20" ht="36" x14ac:dyDescent="0.25">
      <c r="A883" s="10">
        <v>46077</v>
      </c>
      <c r="B883" s="2" t="s">
        <v>1741</v>
      </c>
      <c r="E883" s="3" t="s">
        <v>921</v>
      </c>
      <c r="F883" s="4">
        <f>2000000+821500</f>
        <v>2821500</v>
      </c>
      <c r="G883" s="4" t="s">
        <v>48</v>
      </c>
      <c r="H883" s="22" t="s">
        <v>922</v>
      </c>
      <c r="I883" s="22">
        <v>2000000</v>
      </c>
      <c r="J883" s="22"/>
      <c r="K883" s="22">
        <f t="shared" si="12"/>
        <v>2000000</v>
      </c>
      <c r="L883" s="17">
        <v>2821500</v>
      </c>
      <c r="M883" s="23" t="s">
        <v>41</v>
      </c>
      <c r="N883" s="1" t="s">
        <v>1742</v>
      </c>
      <c r="O883" s="7" t="s">
        <v>1743</v>
      </c>
      <c r="Q883" s="25" t="s">
        <v>1744</v>
      </c>
      <c r="R883" s="7" t="s">
        <v>1745</v>
      </c>
      <c r="S883" s="3" t="s">
        <v>145</v>
      </c>
      <c r="T883" s="3" t="s">
        <v>324</v>
      </c>
    </row>
    <row r="884" spans="1:20" x14ac:dyDescent="0.25">
      <c r="A884" s="10">
        <v>46077</v>
      </c>
      <c r="B884" s="2" t="s">
        <v>1741</v>
      </c>
      <c r="E884" s="3" t="s">
        <v>921</v>
      </c>
      <c r="G884" s="4" t="s">
        <v>48</v>
      </c>
      <c r="H884" s="22" t="s">
        <v>632</v>
      </c>
      <c r="I884" s="22">
        <v>821500</v>
      </c>
      <c r="J884" s="22"/>
      <c r="K884" s="22">
        <f t="shared" si="12"/>
        <v>821500</v>
      </c>
      <c r="L884" s="17"/>
    </row>
    <row r="885" spans="1:20" x14ac:dyDescent="0.25">
      <c r="A885" s="10">
        <v>46077</v>
      </c>
      <c r="B885" s="2" t="s">
        <v>1741</v>
      </c>
      <c r="E885" s="3" t="s">
        <v>921</v>
      </c>
      <c r="G885" s="4" t="s">
        <v>48</v>
      </c>
      <c r="H885" s="22" t="s">
        <v>49</v>
      </c>
      <c r="I885" s="22"/>
      <c r="J885" s="22">
        <f>I883+I884</f>
        <v>2821500</v>
      </c>
      <c r="K885" s="22">
        <f t="shared" si="12"/>
        <v>2821500</v>
      </c>
      <c r="L885" s="17"/>
    </row>
    <row r="886" spans="1:20" ht="36" x14ac:dyDescent="0.25">
      <c r="A886" s="10">
        <v>46077</v>
      </c>
      <c r="B886" s="2" t="s">
        <v>1746</v>
      </c>
      <c r="C886" s="2" t="s">
        <v>95</v>
      </c>
      <c r="D886" s="2" t="s">
        <v>1747</v>
      </c>
      <c r="E886" s="3" t="s">
        <v>261</v>
      </c>
      <c r="F886" s="4">
        <v>13518</v>
      </c>
      <c r="G886" s="4" t="s">
        <v>48</v>
      </c>
      <c r="H886" s="22" t="s">
        <v>824</v>
      </c>
      <c r="I886" s="22">
        <v>13518</v>
      </c>
      <c r="J886" s="22"/>
      <c r="K886" s="22">
        <f t="shared" si="12"/>
        <v>13518</v>
      </c>
      <c r="L886" s="17"/>
      <c r="M886" s="6" t="s">
        <v>581</v>
      </c>
      <c r="N886" s="1" t="s">
        <v>1748</v>
      </c>
      <c r="O886" s="28" t="s">
        <v>1749</v>
      </c>
      <c r="P886" s="28"/>
    </row>
    <row r="887" spans="1:20" x14ac:dyDescent="0.25">
      <c r="A887" s="10">
        <v>46077</v>
      </c>
      <c r="B887" s="2" t="s">
        <v>1746</v>
      </c>
      <c r="C887" s="2" t="s">
        <v>95</v>
      </c>
      <c r="D887" s="2" t="s">
        <v>1747</v>
      </c>
      <c r="E887" s="3" t="s">
        <v>261</v>
      </c>
      <c r="G887" s="4" t="s">
        <v>48</v>
      </c>
      <c r="H887" s="22" t="s">
        <v>49</v>
      </c>
      <c r="I887" s="22"/>
      <c r="J887" s="22">
        <f>I886</f>
        <v>13518</v>
      </c>
      <c r="K887" s="22">
        <f t="shared" si="12"/>
        <v>13518</v>
      </c>
      <c r="L887" s="17"/>
    </row>
    <row r="888" spans="1:20" ht="24" x14ac:dyDescent="0.25">
      <c r="A888" s="10">
        <v>46077</v>
      </c>
      <c r="B888" s="2" t="s">
        <v>1750</v>
      </c>
      <c r="E888" s="3" t="s">
        <v>1751</v>
      </c>
      <c r="F888" s="4">
        <f>549338.21+376296.67</f>
        <v>925634.87999999989</v>
      </c>
      <c r="G888" s="4" t="s">
        <v>48</v>
      </c>
      <c r="H888" s="22" t="s">
        <v>922</v>
      </c>
      <c r="I888" s="22">
        <v>549338.21</v>
      </c>
      <c r="J888" s="22"/>
      <c r="K888" s="22">
        <f t="shared" si="12"/>
        <v>549338.21</v>
      </c>
      <c r="L888" s="17">
        <v>925634.88</v>
      </c>
      <c r="M888" s="23" t="s">
        <v>41</v>
      </c>
      <c r="N888" s="1" t="s">
        <v>1752</v>
      </c>
      <c r="O888" s="24" t="s">
        <v>1753</v>
      </c>
      <c r="P888" s="7" t="s">
        <v>81</v>
      </c>
      <c r="R888" s="7" t="s">
        <v>1745</v>
      </c>
      <c r="S888" s="3" t="s">
        <v>83</v>
      </c>
    </row>
    <row r="889" spans="1:20" x14ac:dyDescent="0.25">
      <c r="A889" s="10">
        <v>46077</v>
      </c>
      <c r="B889" s="2" t="s">
        <v>1750</v>
      </c>
      <c r="E889" s="3" t="s">
        <v>1751</v>
      </c>
      <c r="G889" s="4" t="s">
        <v>48</v>
      </c>
      <c r="H889" s="22" t="s">
        <v>632</v>
      </c>
      <c r="I889" s="22">
        <f>925634.88-549338.21</f>
        <v>376296.67000000004</v>
      </c>
      <c r="J889" s="22"/>
      <c r="K889" s="22">
        <f t="shared" si="12"/>
        <v>376296.67000000004</v>
      </c>
      <c r="L889" s="17"/>
      <c r="M889" s="23"/>
      <c r="O889" s="24"/>
    </row>
    <row r="890" spans="1:20" x14ac:dyDescent="0.25">
      <c r="A890" s="10">
        <v>46077</v>
      </c>
      <c r="B890" s="2" t="s">
        <v>1750</v>
      </c>
      <c r="E890" s="3" t="s">
        <v>1751</v>
      </c>
      <c r="G890" s="4" t="s">
        <v>48</v>
      </c>
      <c r="H890" s="22" t="s">
        <v>49</v>
      </c>
      <c r="I890" s="22"/>
      <c r="J890" s="22">
        <f>I888+I889</f>
        <v>925634.88</v>
      </c>
      <c r="K890" s="22">
        <f t="shared" si="12"/>
        <v>925634.88</v>
      </c>
      <c r="L890" s="17"/>
      <c r="M890" s="23"/>
      <c r="O890" s="24"/>
    </row>
    <row r="891" spans="1:20" x14ac:dyDescent="0.25">
      <c r="A891" s="10">
        <v>46077</v>
      </c>
      <c r="B891" s="2" t="s">
        <v>1754</v>
      </c>
      <c r="E891" s="3" t="s">
        <v>1751</v>
      </c>
      <c r="F891" s="4">
        <v>549338.21</v>
      </c>
      <c r="G891" s="4" t="s">
        <v>48</v>
      </c>
      <c r="H891" s="22" t="s">
        <v>922</v>
      </c>
      <c r="I891" s="22">
        <v>549338.21</v>
      </c>
      <c r="J891" s="22"/>
      <c r="K891" s="22">
        <f t="shared" si="12"/>
        <v>549338.21</v>
      </c>
      <c r="L891" s="17">
        <v>549338.21</v>
      </c>
      <c r="M891" s="23" t="s">
        <v>41</v>
      </c>
      <c r="N891" s="1" t="s">
        <v>1755</v>
      </c>
      <c r="O891" s="7" t="s">
        <v>1756</v>
      </c>
      <c r="P891" s="7" t="s">
        <v>43</v>
      </c>
      <c r="R891" s="7" t="s">
        <v>1757</v>
      </c>
      <c r="S891" s="3" t="s">
        <v>1758</v>
      </c>
    </row>
    <row r="892" spans="1:20" x14ac:dyDescent="0.25">
      <c r="A892" s="10">
        <v>46077</v>
      </c>
      <c r="B892" s="2" t="s">
        <v>1754</v>
      </c>
      <c r="E892" s="3" t="s">
        <v>1751</v>
      </c>
      <c r="G892" s="4" t="s">
        <v>48</v>
      </c>
      <c r="H892" s="22" t="s">
        <v>49</v>
      </c>
      <c r="I892" s="22"/>
      <c r="J892" s="22">
        <f>I891</f>
        <v>549338.21</v>
      </c>
      <c r="K892" s="22">
        <f t="shared" si="12"/>
        <v>549338.21</v>
      </c>
      <c r="L892" s="17"/>
      <c r="M892" s="23"/>
    </row>
    <row r="893" spans="1:20" x14ac:dyDescent="0.25">
      <c r="A893" s="10">
        <v>46077</v>
      </c>
      <c r="B893" s="2" t="s">
        <v>1759</v>
      </c>
      <c r="E893" s="3" t="s">
        <v>1751</v>
      </c>
      <c r="F893" s="4">
        <v>549338.21</v>
      </c>
      <c r="G893" s="4" t="s">
        <v>48</v>
      </c>
      <c r="H893" s="22" t="s">
        <v>922</v>
      </c>
      <c r="I893" s="22">
        <v>549338.21</v>
      </c>
      <c r="J893" s="22"/>
      <c r="K893" s="22">
        <f t="shared" si="12"/>
        <v>549338.21</v>
      </c>
      <c r="L893" s="17">
        <v>549338.21</v>
      </c>
      <c r="M893" s="23" t="s">
        <v>41</v>
      </c>
      <c r="N893" s="1" t="s">
        <v>1760</v>
      </c>
      <c r="O893" s="7" t="s">
        <v>1761</v>
      </c>
      <c r="P893" s="7" t="s">
        <v>32</v>
      </c>
      <c r="Q893" s="7">
        <v>6000142832</v>
      </c>
      <c r="R893" s="7" t="s">
        <v>1762</v>
      </c>
      <c r="S893" s="3" t="s">
        <v>1763</v>
      </c>
      <c r="T893" s="3" t="s">
        <v>1764</v>
      </c>
    </row>
    <row r="894" spans="1:20" x14ac:dyDescent="0.25">
      <c r="A894" s="10">
        <v>46077</v>
      </c>
      <c r="B894" s="2" t="s">
        <v>1759</v>
      </c>
      <c r="E894" s="3" t="s">
        <v>1751</v>
      </c>
      <c r="G894" s="4" t="s">
        <v>48</v>
      </c>
      <c r="H894" s="22" t="s">
        <v>49</v>
      </c>
      <c r="I894" s="22"/>
      <c r="J894" s="22">
        <f>I893</f>
        <v>549338.21</v>
      </c>
      <c r="K894" s="22">
        <f t="shared" si="12"/>
        <v>549338.21</v>
      </c>
      <c r="L894" s="17"/>
      <c r="M894" s="29"/>
    </row>
    <row r="895" spans="1:20" x14ac:dyDescent="0.25">
      <c r="A895" s="10">
        <v>46077</v>
      </c>
      <c r="B895" s="2" t="s">
        <v>1765</v>
      </c>
      <c r="E895" s="3" t="s">
        <v>1751</v>
      </c>
      <c r="F895" s="4">
        <v>549338.21</v>
      </c>
      <c r="G895" s="4" t="s">
        <v>48</v>
      </c>
      <c r="H895" s="22"/>
      <c r="I895" s="22"/>
      <c r="J895" s="22"/>
      <c r="K895" s="22">
        <f t="shared" si="12"/>
        <v>0</v>
      </c>
      <c r="L895" s="17"/>
      <c r="M895" s="74" t="s">
        <v>41</v>
      </c>
      <c r="N895" s="1" t="s">
        <v>1767</v>
      </c>
      <c r="O895" s="7" t="s">
        <v>1768</v>
      </c>
      <c r="P895" s="7" t="s">
        <v>32</v>
      </c>
      <c r="Q895" s="7">
        <v>6000142833</v>
      </c>
      <c r="R895" s="7" t="s">
        <v>1769</v>
      </c>
      <c r="S895" s="3" t="s">
        <v>1763</v>
      </c>
    </row>
    <row r="896" spans="1:20" x14ac:dyDescent="0.25">
      <c r="A896" s="10">
        <v>46077</v>
      </c>
      <c r="B896" s="2" t="s">
        <v>1770</v>
      </c>
      <c r="E896" s="3" t="s">
        <v>1751</v>
      </c>
      <c r="F896" s="4">
        <v>549338.21</v>
      </c>
      <c r="G896" s="4" t="s">
        <v>48</v>
      </c>
      <c r="H896" s="22"/>
      <c r="I896" s="22"/>
      <c r="J896" s="22"/>
      <c r="K896" s="22">
        <f t="shared" si="12"/>
        <v>0</v>
      </c>
      <c r="L896" s="17"/>
      <c r="M896" s="29" t="s">
        <v>1766</v>
      </c>
      <c r="N896" s="1" t="s">
        <v>1771</v>
      </c>
      <c r="O896" s="7" t="s">
        <v>1772</v>
      </c>
      <c r="P896" s="7" t="s">
        <v>32</v>
      </c>
      <c r="Q896" s="7">
        <v>6000142834</v>
      </c>
      <c r="R896" s="7" t="s">
        <v>1773</v>
      </c>
      <c r="S896" s="3" t="s">
        <v>1763</v>
      </c>
    </row>
    <row r="897" spans="1:23" x14ac:dyDescent="0.25">
      <c r="A897" s="10">
        <v>46077</v>
      </c>
      <c r="B897" s="2" t="s">
        <v>1774</v>
      </c>
      <c r="E897" s="3" t="s">
        <v>1751</v>
      </c>
      <c r="F897" s="4">
        <v>549338.21</v>
      </c>
      <c r="G897" s="4" t="s">
        <v>48</v>
      </c>
      <c r="H897" s="22"/>
      <c r="I897" s="22"/>
      <c r="J897" s="22"/>
      <c r="K897" s="22">
        <f t="shared" si="12"/>
        <v>0</v>
      </c>
      <c r="L897" s="17"/>
      <c r="M897" s="29" t="s">
        <v>1766</v>
      </c>
      <c r="N897" s="1" t="s">
        <v>1775</v>
      </c>
      <c r="O897" s="7" t="s">
        <v>1776</v>
      </c>
      <c r="P897" s="7" t="s">
        <v>32</v>
      </c>
      <c r="Q897" s="7">
        <v>6000142835</v>
      </c>
      <c r="R897" s="7" t="s">
        <v>1777</v>
      </c>
      <c r="S897" s="3" t="s">
        <v>1763</v>
      </c>
    </row>
    <row r="898" spans="1:23" x14ac:dyDescent="0.25">
      <c r="A898" s="10">
        <v>46077</v>
      </c>
      <c r="B898" s="2" t="s">
        <v>1778</v>
      </c>
      <c r="E898" s="3" t="s">
        <v>1751</v>
      </c>
      <c r="F898" s="4">
        <v>549338.21</v>
      </c>
      <c r="G898" s="4" t="s">
        <v>48</v>
      </c>
      <c r="H898" s="22"/>
      <c r="I898" s="22"/>
      <c r="J898" s="22"/>
      <c r="K898" s="22">
        <f t="shared" si="12"/>
        <v>0</v>
      </c>
      <c r="L898" s="17"/>
      <c r="M898" s="29" t="s">
        <v>1766</v>
      </c>
      <c r="N898" s="1" t="s">
        <v>1779</v>
      </c>
      <c r="O898" s="7" t="s">
        <v>1780</v>
      </c>
      <c r="P898" s="7" t="s">
        <v>32</v>
      </c>
      <c r="Q898" s="7">
        <v>6000142836</v>
      </c>
      <c r="R898" s="7" t="s">
        <v>1781</v>
      </c>
      <c r="S898" s="3" t="s">
        <v>1763</v>
      </c>
    </row>
    <row r="899" spans="1:23" x14ac:dyDescent="0.25">
      <c r="A899" s="10">
        <v>46077</v>
      </c>
      <c r="B899" s="2" t="s">
        <v>1782</v>
      </c>
      <c r="E899" s="3" t="s">
        <v>1751</v>
      </c>
      <c r="F899" s="4">
        <v>549338.21</v>
      </c>
      <c r="G899" s="4" t="s">
        <v>48</v>
      </c>
      <c r="H899" s="22"/>
      <c r="I899" s="22"/>
      <c r="J899" s="22"/>
      <c r="K899" s="22">
        <f t="shared" si="12"/>
        <v>0</v>
      </c>
      <c r="L899" s="17"/>
      <c r="M899" s="29" t="s">
        <v>1766</v>
      </c>
      <c r="N899" s="1" t="s">
        <v>1783</v>
      </c>
      <c r="O899" s="7" t="s">
        <v>1784</v>
      </c>
      <c r="P899" s="7" t="s">
        <v>32</v>
      </c>
      <c r="Q899" s="7">
        <v>6000142837</v>
      </c>
      <c r="R899" s="7" t="s">
        <v>1785</v>
      </c>
      <c r="S899" s="3" t="s">
        <v>1763</v>
      </c>
    </row>
    <row r="900" spans="1:23" x14ac:dyDescent="0.25">
      <c r="A900" s="10">
        <v>46077</v>
      </c>
      <c r="B900" s="2" t="s">
        <v>1786</v>
      </c>
      <c r="E900" s="3" t="s">
        <v>1751</v>
      </c>
      <c r="F900" s="4">
        <v>549338.21</v>
      </c>
      <c r="G900" s="4" t="s">
        <v>48</v>
      </c>
      <c r="H900" s="22"/>
      <c r="I900" s="22"/>
      <c r="J900" s="22"/>
      <c r="K900" s="22">
        <f t="shared" si="12"/>
        <v>0</v>
      </c>
      <c r="L900" s="17"/>
      <c r="M900" s="29" t="s">
        <v>1766</v>
      </c>
      <c r="N900" s="1" t="s">
        <v>1787</v>
      </c>
      <c r="O900" s="7" t="s">
        <v>1788</v>
      </c>
      <c r="P900" s="7" t="s">
        <v>32</v>
      </c>
      <c r="Q900" s="7">
        <v>6000142838</v>
      </c>
      <c r="R900" s="7" t="s">
        <v>1789</v>
      </c>
      <c r="S900" s="3" t="s">
        <v>1763</v>
      </c>
    </row>
    <row r="901" spans="1:23" x14ac:dyDescent="0.25">
      <c r="A901" s="10">
        <v>46077</v>
      </c>
      <c r="B901" s="2" t="s">
        <v>1790</v>
      </c>
      <c r="E901" s="3" t="s">
        <v>1751</v>
      </c>
      <c r="F901" s="4">
        <v>549338.21</v>
      </c>
      <c r="G901" s="4" t="s">
        <v>48</v>
      </c>
      <c r="H901" s="22"/>
      <c r="I901" s="22"/>
      <c r="J901" s="22"/>
      <c r="K901" s="22">
        <f t="shared" si="12"/>
        <v>0</v>
      </c>
      <c r="L901" s="17"/>
      <c r="M901" s="29" t="s">
        <v>1766</v>
      </c>
      <c r="N901" s="1" t="s">
        <v>1791</v>
      </c>
      <c r="O901" s="7" t="s">
        <v>1792</v>
      </c>
      <c r="P901" s="7" t="s">
        <v>32</v>
      </c>
      <c r="Q901" s="7">
        <v>6000142839</v>
      </c>
      <c r="R901" s="7" t="s">
        <v>1793</v>
      </c>
      <c r="S901" s="3" t="s">
        <v>1763</v>
      </c>
    </row>
    <row r="902" spans="1:23" x14ac:dyDescent="0.25">
      <c r="A902" s="10">
        <v>46077</v>
      </c>
      <c r="B902" s="2" t="s">
        <v>1794</v>
      </c>
      <c r="E902" s="3" t="s">
        <v>1751</v>
      </c>
      <c r="F902" s="4">
        <v>549338.21</v>
      </c>
      <c r="G902" s="4" t="s">
        <v>48</v>
      </c>
      <c r="H902" s="22"/>
      <c r="I902" s="22"/>
      <c r="J902" s="22"/>
      <c r="K902" s="22">
        <f t="shared" si="12"/>
        <v>0</v>
      </c>
      <c r="L902" s="17"/>
      <c r="M902" s="29" t="s">
        <v>1766</v>
      </c>
      <c r="N902" s="1" t="s">
        <v>1795</v>
      </c>
      <c r="O902" s="7" t="s">
        <v>1796</v>
      </c>
      <c r="P902" s="7" t="s">
        <v>32</v>
      </c>
      <c r="Q902" s="7">
        <v>6000142840</v>
      </c>
      <c r="R902" s="7" t="s">
        <v>1797</v>
      </c>
      <c r="S902" s="3" t="s">
        <v>1763</v>
      </c>
    </row>
    <row r="903" spans="1:23" x14ac:dyDescent="0.25">
      <c r="A903" s="10">
        <v>46077</v>
      </c>
      <c r="B903" s="2" t="s">
        <v>1798</v>
      </c>
      <c r="E903" s="3" t="s">
        <v>1751</v>
      </c>
      <c r="F903" s="4">
        <v>26917572.309999999</v>
      </c>
      <c r="G903" s="4" t="s">
        <v>48</v>
      </c>
      <c r="H903" s="22" t="s">
        <v>922</v>
      </c>
      <c r="I903" s="22">
        <v>26917572.309999999</v>
      </c>
      <c r="J903" s="22"/>
      <c r="K903" s="22">
        <f t="shared" si="12"/>
        <v>26917572.309999999</v>
      </c>
      <c r="L903" s="17">
        <v>0</v>
      </c>
      <c r="M903" s="29" t="s">
        <v>99</v>
      </c>
      <c r="N903" s="1" t="s">
        <v>1799</v>
      </c>
      <c r="O903" s="7" t="s">
        <v>1800</v>
      </c>
      <c r="P903" s="7" t="s">
        <v>32</v>
      </c>
      <c r="Q903" s="7">
        <v>6000142841</v>
      </c>
      <c r="R903" s="7" t="s">
        <v>1801</v>
      </c>
      <c r="S903" s="3" t="s">
        <v>1763</v>
      </c>
      <c r="W903" s="49" t="s">
        <v>99</v>
      </c>
    </row>
    <row r="904" spans="1:23" x14ac:dyDescent="0.25">
      <c r="A904" s="10">
        <v>46077</v>
      </c>
      <c r="B904" s="2" t="s">
        <v>1798</v>
      </c>
      <c r="E904" s="3" t="s">
        <v>1751</v>
      </c>
      <c r="G904" s="4" t="s">
        <v>48</v>
      </c>
      <c r="H904" s="22" t="s">
        <v>49</v>
      </c>
      <c r="I904" s="22"/>
      <c r="J904" s="22">
        <f>I903</f>
        <v>26917572.309999999</v>
      </c>
      <c r="K904" s="22">
        <f t="shared" si="12"/>
        <v>26917572.309999999</v>
      </c>
      <c r="L904" s="17"/>
      <c r="M904" s="29"/>
    </row>
    <row r="905" spans="1:23" ht="24" x14ac:dyDescent="0.25">
      <c r="A905" s="10">
        <v>46078</v>
      </c>
      <c r="B905" s="2" t="s">
        <v>1802</v>
      </c>
      <c r="C905" s="2" t="s">
        <v>1803</v>
      </c>
      <c r="D905" s="2" t="s">
        <v>1575</v>
      </c>
      <c r="E905" s="3" t="s">
        <v>1804</v>
      </c>
      <c r="F905" s="4">
        <v>760</v>
      </c>
      <c r="G905" s="4" t="s">
        <v>631</v>
      </c>
      <c r="H905" s="22" t="s">
        <v>1581</v>
      </c>
      <c r="I905" s="22">
        <v>760</v>
      </c>
      <c r="J905" s="22"/>
      <c r="K905" s="22">
        <f t="shared" si="12"/>
        <v>760</v>
      </c>
      <c r="L905" s="17"/>
      <c r="M905" s="6" t="s">
        <v>581</v>
      </c>
      <c r="N905" s="1" t="s">
        <v>1805</v>
      </c>
    </row>
    <row r="906" spans="1:23" x14ac:dyDescent="0.25">
      <c r="A906" s="10">
        <v>46078</v>
      </c>
      <c r="B906" s="2" t="s">
        <v>1802</v>
      </c>
      <c r="C906" s="2" t="s">
        <v>1803</v>
      </c>
      <c r="D906" s="2" t="s">
        <v>1575</v>
      </c>
      <c r="E906" s="3" t="s">
        <v>1804</v>
      </c>
      <c r="G906" s="4" t="s">
        <v>48</v>
      </c>
      <c r="H906" s="22" t="s">
        <v>49</v>
      </c>
      <c r="I906" s="22"/>
      <c r="J906" s="22">
        <f>I905</f>
        <v>760</v>
      </c>
      <c r="K906" s="22">
        <f t="shared" si="12"/>
        <v>760</v>
      </c>
      <c r="L906" s="17"/>
    </row>
    <row r="907" spans="1:23" ht="24" x14ac:dyDescent="0.25">
      <c r="A907" s="10">
        <v>46078</v>
      </c>
      <c r="B907" s="2" t="s">
        <v>1806</v>
      </c>
      <c r="C907" s="2" t="s">
        <v>95</v>
      </c>
      <c r="D907" s="2" t="s">
        <v>1807</v>
      </c>
      <c r="E907" s="3" t="s">
        <v>149</v>
      </c>
      <c r="F907" s="4">
        <v>25000</v>
      </c>
      <c r="G907" s="4" t="s">
        <v>48</v>
      </c>
      <c r="H907" s="22" t="s">
        <v>78</v>
      </c>
      <c r="I907" s="22">
        <v>25000</v>
      </c>
      <c r="J907" s="22"/>
      <c r="K907" s="22">
        <f t="shared" si="12"/>
        <v>25000</v>
      </c>
      <c r="L907" s="17"/>
      <c r="M907" s="6" t="s">
        <v>4023</v>
      </c>
      <c r="N907" s="1" t="s">
        <v>1808</v>
      </c>
      <c r="O907" s="7" t="s">
        <v>1809</v>
      </c>
      <c r="T907" s="3" t="s">
        <v>1810</v>
      </c>
    </row>
    <row r="908" spans="1:23" x14ac:dyDescent="0.25">
      <c r="A908" s="10">
        <v>46078</v>
      </c>
      <c r="B908" s="2" t="s">
        <v>1806</v>
      </c>
      <c r="C908" s="2" t="s">
        <v>95</v>
      </c>
      <c r="D908" s="2" t="s">
        <v>1807</v>
      </c>
      <c r="E908" s="3" t="s">
        <v>149</v>
      </c>
      <c r="G908" s="4" t="s">
        <v>48</v>
      </c>
      <c r="H908" s="22" t="s">
        <v>49</v>
      </c>
      <c r="I908" s="22"/>
      <c r="J908" s="22">
        <f>I907</f>
        <v>25000</v>
      </c>
      <c r="K908" s="22">
        <f t="shared" si="12"/>
        <v>25000</v>
      </c>
      <c r="L908" s="17"/>
    </row>
    <row r="909" spans="1:23" x14ac:dyDescent="0.25">
      <c r="A909" s="10">
        <v>46078</v>
      </c>
      <c r="B909" s="2" t="s">
        <v>1811</v>
      </c>
      <c r="C909" s="2" t="s">
        <v>396</v>
      </c>
      <c r="D909" s="2" t="s">
        <v>1812</v>
      </c>
      <c r="E909" s="3" t="s">
        <v>467</v>
      </c>
      <c r="F909" s="4">
        <f>650+1147+1000+4432.92+1000+1500+12000+575+5880</f>
        <v>28184.92</v>
      </c>
      <c r="G909" s="4" t="s">
        <v>167</v>
      </c>
      <c r="H909" s="22" t="s">
        <v>809</v>
      </c>
      <c r="I909" s="22">
        <v>17082.919999999998</v>
      </c>
      <c r="J909" s="22"/>
      <c r="K909" s="22">
        <f t="shared" si="12"/>
        <v>17082.919999999998</v>
      </c>
      <c r="L909" s="17">
        <v>28184.92</v>
      </c>
      <c r="M909" s="23" t="s">
        <v>41</v>
      </c>
      <c r="N909" s="1" t="s">
        <v>1813</v>
      </c>
      <c r="O909" s="7" t="s">
        <v>1587</v>
      </c>
      <c r="P909" s="7" t="s">
        <v>81</v>
      </c>
      <c r="R909" s="7" t="s">
        <v>1814</v>
      </c>
      <c r="S909" s="3" t="s">
        <v>83</v>
      </c>
      <c r="T909" s="3" t="s">
        <v>1233</v>
      </c>
    </row>
    <row r="910" spans="1:23" x14ac:dyDescent="0.25">
      <c r="A910" s="10">
        <v>46078</v>
      </c>
      <c r="B910" s="2" t="s">
        <v>1811</v>
      </c>
      <c r="C910" s="2" t="s">
        <v>396</v>
      </c>
      <c r="D910" s="2" t="s">
        <v>1812</v>
      </c>
      <c r="E910" s="3" t="s">
        <v>467</v>
      </c>
      <c r="G910" s="4" t="s">
        <v>167</v>
      </c>
      <c r="H910" s="22" t="s">
        <v>899</v>
      </c>
      <c r="I910" s="22">
        <v>3285.72</v>
      </c>
      <c r="J910" s="22"/>
      <c r="K910" s="22">
        <f t="shared" si="12"/>
        <v>3285.72</v>
      </c>
      <c r="L910" s="17"/>
      <c r="M910" s="23"/>
    </row>
    <row r="911" spans="1:23" x14ac:dyDescent="0.25">
      <c r="A911" s="10">
        <v>46078</v>
      </c>
      <c r="B911" s="2" t="s">
        <v>1811</v>
      </c>
      <c r="C911" s="2" t="s">
        <v>396</v>
      </c>
      <c r="D911" s="2" t="s">
        <v>1812</v>
      </c>
      <c r="E911" s="3" t="s">
        <v>467</v>
      </c>
      <c r="G911" s="4" t="s">
        <v>801</v>
      </c>
      <c r="H911" s="22" t="s">
        <v>40</v>
      </c>
      <c r="I911" s="22">
        <v>513.39</v>
      </c>
      <c r="J911" s="22"/>
      <c r="K911" s="22">
        <f t="shared" si="12"/>
        <v>513.39</v>
      </c>
      <c r="L911" s="17"/>
      <c r="M911" s="23"/>
    </row>
    <row r="912" spans="1:23" x14ac:dyDescent="0.25">
      <c r="A912" s="10">
        <v>46078</v>
      </c>
      <c r="B912" s="2" t="s">
        <v>1811</v>
      </c>
      <c r="C912" s="2" t="s">
        <v>396</v>
      </c>
      <c r="D912" s="2" t="s">
        <v>1812</v>
      </c>
      <c r="E912" s="3" t="s">
        <v>467</v>
      </c>
      <c r="G912" s="4" t="s">
        <v>28</v>
      </c>
      <c r="H912" s="22" t="s">
        <v>40</v>
      </c>
      <c r="I912" s="22">
        <v>1147</v>
      </c>
      <c r="J912" s="22"/>
      <c r="K912" s="22">
        <f t="shared" si="12"/>
        <v>1147</v>
      </c>
      <c r="L912" s="17"/>
      <c r="M912" s="23"/>
    </row>
    <row r="913" spans="1:20" x14ac:dyDescent="0.25">
      <c r="A913" s="10">
        <v>46078</v>
      </c>
      <c r="B913" s="2" t="s">
        <v>1811</v>
      </c>
      <c r="C913" s="2" t="s">
        <v>396</v>
      </c>
      <c r="D913" s="2" t="s">
        <v>1812</v>
      </c>
      <c r="E913" s="3" t="s">
        <v>467</v>
      </c>
      <c r="G913" s="4" t="s">
        <v>631</v>
      </c>
      <c r="H913" s="22" t="s">
        <v>40</v>
      </c>
      <c r="I913" s="22">
        <v>5250</v>
      </c>
      <c r="J913" s="22"/>
      <c r="K913" s="22">
        <f t="shared" si="12"/>
        <v>5250</v>
      </c>
      <c r="L913" s="17"/>
      <c r="M913" s="23"/>
    </row>
    <row r="914" spans="1:20" x14ac:dyDescent="0.25">
      <c r="A914" s="10">
        <v>46078</v>
      </c>
      <c r="B914" s="2" t="s">
        <v>1811</v>
      </c>
      <c r="C914" s="2" t="s">
        <v>396</v>
      </c>
      <c r="D914" s="2" t="s">
        <v>1812</v>
      </c>
      <c r="E914" s="3" t="s">
        <v>467</v>
      </c>
      <c r="G914" s="4" t="s">
        <v>48</v>
      </c>
      <c r="H914" s="22" t="s">
        <v>239</v>
      </c>
      <c r="I914" s="22">
        <v>905.89</v>
      </c>
      <c r="J914" s="22"/>
      <c r="K914" s="22">
        <f t="shared" si="12"/>
        <v>905.89</v>
      </c>
      <c r="L914" s="17"/>
      <c r="M914" s="23"/>
    </row>
    <row r="915" spans="1:20" x14ac:dyDescent="0.25">
      <c r="A915" s="10">
        <v>46078</v>
      </c>
      <c r="B915" s="2" t="s">
        <v>1811</v>
      </c>
      <c r="C915" s="2" t="s">
        <v>396</v>
      </c>
      <c r="D915" s="2" t="s">
        <v>1812</v>
      </c>
      <c r="E915" s="3" t="s">
        <v>467</v>
      </c>
      <c r="G915" s="4" t="s">
        <v>48</v>
      </c>
      <c r="H915" s="22" t="s">
        <v>49</v>
      </c>
      <c r="I915" s="22"/>
      <c r="J915" s="22">
        <f>SUM(I909:I914)</f>
        <v>28184.92</v>
      </c>
      <c r="K915" s="22">
        <f t="shared" si="12"/>
        <v>28184.92</v>
      </c>
      <c r="L915" s="17"/>
      <c r="M915" s="23"/>
    </row>
    <row r="916" spans="1:20" ht="24" x14ac:dyDescent="0.25">
      <c r="A916" s="10">
        <v>46079</v>
      </c>
      <c r="B916" s="2" t="s">
        <v>1815</v>
      </c>
      <c r="C916" s="2" t="s">
        <v>1244</v>
      </c>
      <c r="D916" s="2" t="s">
        <v>1245</v>
      </c>
      <c r="E916" s="3" t="s">
        <v>455</v>
      </c>
      <c r="F916" s="4">
        <f>(121147.5/1.12)+(121147.5/1.12*0.12)-(121147.5/1.12*0.01)</f>
        <v>120065.82589285714</v>
      </c>
      <c r="G916" s="4" t="s">
        <v>28</v>
      </c>
      <c r="H916" s="22" t="s">
        <v>40</v>
      </c>
      <c r="I916" s="22">
        <f>121147.5/1.12</f>
        <v>108167.41071428571</v>
      </c>
      <c r="J916" s="22"/>
      <c r="K916" s="22">
        <f t="shared" si="12"/>
        <v>108167.41071428571</v>
      </c>
      <c r="L916" s="17">
        <v>120065.83</v>
      </c>
      <c r="M916" s="23" t="s">
        <v>41</v>
      </c>
      <c r="N916" s="1" t="s">
        <v>1816</v>
      </c>
      <c r="O916" s="7" t="s">
        <v>116</v>
      </c>
      <c r="P916" s="7" t="s">
        <v>81</v>
      </c>
      <c r="R916" s="7" t="s">
        <v>1232</v>
      </c>
      <c r="S916" s="3" t="s">
        <v>83</v>
      </c>
      <c r="T916" s="3" t="s">
        <v>1233</v>
      </c>
    </row>
    <row r="917" spans="1:20" x14ac:dyDescent="0.25">
      <c r="A917" s="10">
        <v>46079</v>
      </c>
      <c r="B917" s="2" t="s">
        <v>1815</v>
      </c>
      <c r="C917" s="2" t="s">
        <v>1244</v>
      </c>
      <c r="D917" s="2" t="s">
        <v>1245</v>
      </c>
      <c r="E917" s="3" t="s">
        <v>455</v>
      </c>
      <c r="G917" s="4" t="s">
        <v>28</v>
      </c>
      <c r="H917" s="22" t="s">
        <v>104</v>
      </c>
      <c r="I917" s="22">
        <f>I916*0.12</f>
        <v>12980.089285714284</v>
      </c>
      <c r="J917" s="22"/>
      <c r="K917" s="22">
        <f t="shared" si="12"/>
        <v>12980.089285714284</v>
      </c>
      <c r="L917" s="17"/>
    </row>
    <row r="918" spans="1:20" x14ac:dyDescent="0.25">
      <c r="A918" s="10">
        <v>46079</v>
      </c>
      <c r="B918" s="2" t="s">
        <v>1815</v>
      </c>
      <c r="C918" s="2" t="s">
        <v>1244</v>
      </c>
      <c r="D918" s="2" t="s">
        <v>1245</v>
      </c>
      <c r="E918" s="3" t="s">
        <v>455</v>
      </c>
      <c r="G918" s="4" t="s">
        <v>28</v>
      </c>
      <c r="H918" s="22" t="s">
        <v>105</v>
      </c>
      <c r="I918" s="22"/>
      <c r="J918" s="22">
        <f>I916*0.01</f>
        <v>1081.6741071428571</v>
      </c>
      <c r="K918" s="22">
        <f t="shared" si="12"/>
        <v>1081.6741071428571</v>
      </c>
      <c r="L918" s="17"/>
    </row>
    <row r="919" spans="1:20" x14ac:dyDescent="0.25">
      <c r="A919" s="10">
        <v>46079</v>
      </c>
      <c r="B919" s="2" t="s">
        <v>1815</v>
      </c>
      <c r="C919" s="2" t="s">
        <v>1244</v>
      </c>
      <c r="D919" s="2" t="s">
        <v>1245</v>
      </c>
      <c r="E919" s="3" t="s">
        <v>455</v>
      </c>
      <c r="G919" s="4" t="s">
        <v>48</v>
      </c>
      <c r="H919" s="22" t="s">
        <v>49</v>
      </c>
      <c r="I919" s="22"/>
      <c r="J919" s="22">
        <f>I916+I917-J918</f>
        <v>120065.82589285714</v>
      </c>
      <c r="K919" s="22">
        <f t="shared" ref="K919:K1031" si="13">ABS(I919-J919)</f>
        <v>120065.82589285714</v>
      </c>
      <c r="L919" s="17"/>
    </row>
    <row r="920" spans="1:20" ht="24" x14ac:dyDescent="0.25">
      <c r="A920" s="10">
        <v>46079</v>
      </c>
      <c r="B920" s="2" t="s">
        <v>1817</v>
      </c>
      <c r="C920" s="2" t="s">
        <v>1250</v>
      </c>
      <c r="D920" s="2" t="s">
        <v>1245</v>
      </c>
      <c r="E920" s="3" t="s">
        <v>446</v>
      </c>
      <c r="F920" s="4">
        <f>(7360/1.12)+(7360/1.12*0.12)-(7360/1.12*0.01)</f>
        <v>7294.2857142857138</v>
      </c>
      <c r="G920" s="4" t="s">
        <v>28</v>
      </c>
      <c r="H920" s="22" t="s">
        <v>40</v>
      </c>
      <c r="I920" s="22">
        <f>7360/1.12</f>
        <v>6571.4285714285706</v>
      </c>
      <c r="J920" s="22"/>
      <c r="K920" s="22">
        <f t="shared" si="13"/>
        <v>6571.4285714285706</v>
      </c>
      <c r="L920" s="17">
        <v>7294.29</v>
      </c>
      <c r="M920" s="23" t="s">
        <v>41</v>
      </c>
      <c r="N920" s="1" t="s">
        <v>1818</v>
      </c>
      <c r="O920" s="7" t="s">
        <v>1238</v>
      </c>
      <c r="P920" s="7" t="s">
        <v>81</v>
      </c>
      <c r="R920" s="7" t="s">
        <v>1232</v>
      </c>
      <c r="S920" s="3" t="s">
        <v>83</v>
      </c>
      <c r="T920" s="3" t="s">
        <v>1233</v>
      </c>
    </row>
    <row r="921" spans="1:20" x14ac:dyDescent="0.25">
      <c r="A921" s="10">
        <v>46079</v>
      </c>
      <c r="B921" s="2" t="s">
        <v>1817</v>
      </c>
      <c r="C921" s="2" t="s">
        <v>1250</v>
      </c>
      <c r="D921" s="2" t="s">
        <v>1245</v>
      </c>
      <c r="E921" s="3" t="s">
        <v>446</v>
      </c>
      <c r="G921" s="4" t="s">
        <v>28</v>
      </c>
      <c r="H921" s="22" t="s">
        <v>104</v>
      </c>
      <c r="I921" s="22">
        <f>I920*0.12</f>
        <v>788.57142857142844</v>
      </c>
      <c r="J921" s="22"/>
      <c r="K921" s="22">
        <f t="shared" si="13"/>
        <v>788.57142857142844</v>
      </c>
      <c r="L921" s="17"/>
    </row>
    <row r="922" spans="1:20" x14ac:dyDescent="0.25">
      <c r="A922" s="10">
        <v>46079</v>
      </c>
      <c r="B922" s="2" t="s">
        <v>1817</v>
      </c>
      <c r="C922" s="2" t="s">
        <v>1250</v>
      </c>
      <c r="D922" s="2" t="s">
        <v>1245</v>
      </c>
      <c r="E922" s="3" t="s">
        <v>446</v>
      </c>
      <c r="G922" s="4" t="s">
        <v>28</v>
      </c>
      <c r="H922" s="22" t="s">
        <v>105</v>
      </c>
      <c r="I922" s="22"/>
      <c r="J922" s="22">
        <f>I920*0.01</f>
        <v>65.714285714285708</v>
      </c>
      <c r="K922" s="22">
        <f t="shared" si="13"/>
        <v>65.714285714285708</v>
      </c>
      <c r="L922" s="17"/>
    </row>
    <row r="923" spans="1:20" x14ac:dyDescent="0.25">
      <c r="A923" s="10">
        <v>46079</v>
      </c>
      <c r="B923" s="2" t="s">
        <v>1817</v>
      </c>
      <c r="C923" s="2" t="s">
        <v>1250</v>
      </c>
      <c r="D923" s="2" t="s">
        <v>1245</v>
      </c>
      <c r="E923" s="3" t="s">
        <v>446</v>
      </c>
      <c r="G923" s="4" t="s">
        <v>48</v>
      </c>
      <c r="H923" s="22" t="s">
        <v>49</v>
      </c>
      <c r="I923" s="22"/>
      <c r="J923" s="22">
        <f>I920+I921-J922</f>
        <v>7294.2857142857138</v>
      </c>
      <c r="K923" s="22">
        <f t="shared" si="13"/>
        <v>7294.2857142857138</v>
      </c>
      <c r="L923" s="17"/>
    </row>
    <row r="924" spans="1:20" ht="24" x14ac:dyDescent="0.25">
      <c r="A924" s="10">
        <v>46079</v>
      </c>
      <c r="B924" s="2" t="s">
        <v>1819</v>
      </c>
      <c r="C924" s="2" t="s">
        <v>1820</v>
      </c>
      <c r="D924" s="2" t="s">
        <v>1821</v>
      </c>
      <c r="E924" s="3" t="s">
        <v>1068</v>
      </c>
      <c r="F924" s="4">
        <v>1686</v>
      </c>
      <c r="G924" s="4" t="s">
        <v>28</v>
      </c>
      <c r="H924" s="22" t="s">
        <v>40</v>
      </c>
      <c r="I924" s="22">
        <v>1686</v>
      </c>
      <c r="J924" s="22"/>
      <c r="K924" s="22">
        <f t="shared" si="13"/>
        <v>1686</v>
      </c>
      <c r="L924" s="17">
        <v>1686</v>
      </c>
      <c r="M924" s="23" t="s">
        <v>41</v>
      </c>
      <c r="N924" s="1" t="s">
        <v>1822</v>
      </c>
      <c r="O924" s="7" t="s">
        <v>116</v>
      </c>
      <c r="P924" s="7" t="s">
        <v>81</v>
      </c>
      <c r="R924" s="7" t="s">
        <v>1232</v>
      </c>
      <c r="S924" s="3" t="s">
        <v>83</v>
      </c>
      <c r="T924" s="3" t="s">
        <v>1233</v>
      </c>
    </row>
    <row r="925" spans="1:20" x14ac:dyDescent="0.25">
      <c r="A925" s="10">
        <v>46079</v>
      </c>
      <c r="B925" s="2" t="s">
        <v>1819</v>
      </c>
      <c r="C925" s="2" t="s">
        <v>1820</v>
      </c>
      <c r="D925" s="2" t="s">
        <v>1821</v>
      </c>
      <c r="E925" s="3" t="s">
        <v>1068</v>
      </c>
      <c r="G925" s="4" t="s">
        <v>48</v>
      </c>
      <c r="H925" s="22" t="s">
        <v>49</v>
      </c>
      <c r="I925" s="22"/>
      <c r="J925" s="22">
        <f>I924</f>
        <v>1686</v>
      </c>
      <c r="K925" s="22">
        <f t="shared" si="13"/>
        <v>1686</v>
      </c>
      <c r="L925" s="17"/>
    </row>
    <row r="926" spans="1:20" ht="24" x14ac:dyDescent="0.25">
      <c r="A926" s="10">
        <v>46079</v>
      </c>
      <c r="B926" s="2" t="s">
        <v>1823</v>
      </c>
      <c r="C926" s="2" t="s">
        <v>1824</v>
      </c>
      <c r="D926" s="2" t="s">
        <v>1825</v>
      </c>
      <c r="E926" s="3" t="s">
        <v>1826</v>
      </c>
      <c r="F926" s="4">
        <v>9000</v>
      </c>
      <c r="G926" s="4" t="s">
        <v>48</v>
      </c>
      <c r="H926" s="22" t="s">
        <v>1827</v>
      </c>
      <c r="I926" s="22">
        <v>9000</v>
      </c>
      <c r="J926" s="22"/>
      <c r="K926" s="22">
        <f t="shared" si="13"/>
        <v>9000</v>
      </c>
      <c r="L926" s="17"/>
      <c r="M926" s="6" t="s">
        <v>581</v>
      </c>
      <c r="N926" s="1" t="s">
        <v>1828</v>
      </c>
    </row>
    <row r="927" spans="1:20" x14ac:dyDescent="0.25">
      <c r="A927" s="10">
        <v>46079</v>
      </c>
      <c r="B927" s="2" t="s">
        <v>1823</v>
      </c>
      <c r="C927" s="2" t="s">
        <v>1824</v>
      </c>
      <c r="D927" s="2" t="s">
        <v>1825</v>
      </c>
      <c r="E927" s="3" t="s">
        <v>1826</v>
      </c>
      <c r="G927" s="4" t="s">
        <v>48</v>
      </c>
      <c r="H927" s="22" t="s">
        <v>49</v>
      </c>
      <c r="I927" s="22"/>
      <c r="J927" s="22">
        <f>I926</f>
        <v>9000</v>
      </c>
      <c r="K927" s="22">
        <f t="shared" si="13"/>
        <v>9000</v>
      </c>
      <c r="L927" s="17"/>
    </row>
    <row r="928" spans="1:20" ht="24" x14ac:dyDescent="0.25">
      <c r="A928" s="10">
        <v>46080</v>
      </c>
      <c r="B928" s="2" t="s">
        <v>1829</v>
      </c>
      <c r="C928" s="2" t="s">
        <v>1830</v>
      </c>
      <c r="D928" s="2" t="s">
        <v>1831</v>
      </c>
      <c r="E928" s="3" t="s">
        <v>680</v>
      </c>
      <c r="F928" s="4">
        <f>2271-(2271*0.01)</f>
        <v>2248.29</v>
      </c>
      <c r="G928" s="3" t="s">
        <v>28</v>
      </c>
      <c r="H928" s="22" t="s">
        <v>40</v>
      </c>
      <c r="I928" s="22">
        <f>2271</f>
        <v>2271</v>
      </c>
      <c r="J928" s="22"/>
      <c r="K928" s="22">
        <f t="shared" si="13"/>
        <v>2271</v>
      </c>
      <c r="L928" s="17">
        <v>2248.29</v>
      </c>
      <c r="M928" s="23" t="s">
        <v>41</v>
      </c>
      <c r="N928" s="1" t="s">
        <v>1832</v>
      </c>
      <c r="P928" s="7" t="s">
        <v>81</v>
      </c>
      <c r="R928" s="7" t="s">
        <v>1232</v>
      </c>
      <c r="S928" s="3" t="s">
        <v>83</v>
      </c>
      <c r="T928" s="3" t="s">
        <v>1233</v>
      </c>
    </row>
    <row r="929" spans="1:21" x14ac:dyDescent="0.25">
      <c r="A929" s="10">
        <v>46080</v>
      </c>
      <c r="B929" s="2" t="s">
        <v>1829</v>
      </c>
      <c r="C929" s="2" t="s">
        <v>1830</v>
      </c>
      <c r="D929" s="2" t="s">
        <v>1831</v>
      </c>
      <c r="E929" s="3" t="s">
        <v>680</v>
      </c>
      <c r="G929" s="3" t="s">
        <v>28</v>
      </c>
      <c r="H929" s="22" t="s">
        <v>105</v>
      </c>
      <c r="I929" s="22"/>
      <c r="J929" s="22">
        <f>I928*0.01</f>
        <v>22.71</v>
      </c>
      <c r="K929" s="22">
        <f t="shared" si="13"/>
        <v>22.71</v>
      </c>
      <c r="L929" s="17"/>
    </row>
    <row r="930" spans="1:21" x14ac:dyDescent="0.25">
      <c r="A930" s="10">
        <v>46080</v>
      </c>
      <c r="B930" s="2" t="s">
        <v>1829</v>
      </c>
      <c r="C930" s="2" t="s">
        <v>1830</v>
      </c>
      <c r="D930" s="2" t="s">
        <v>1831</v>
      </c>
      <c r="E930" s="3" t="s">
        <v>680</v>
      </c>
      <c r="G930" s="4" t="s">
        <v>48</v>
      </c>
      <c r="H930" s="22" t="s">
        <v>49</v>
      </c>
      <c r="I930" s="22"/>
      <c r="J930" s="22">
        <f>I928-J929</f>
        <v>2248.29</v>
      </c>
      <c r="K930" s="22">
        <f t="shared" si="13"/>
        <v>2248.29</v>
      </c>
      <c r="L930" s="17"/>
    </row>
    <row r="931" spans="1:21" ht="24" x14ac:dyDescent="0.25">
      <c r="A931" s="10">
        <v>46080</v>
      </c>
      <c r="B931" s="2" t="s">
        <v>1833</v>
      </c>
      <c r="C931" s="2" t="s">
        <v>147</v>
      </c>
      <c r="D931" s="2" t="s">
        <v>1834</v>
      </c>
      <c r="E931" s="3" t="s">
        <v>149</v>
      </c>
      <c r="F931" s="4">
        <f>7000+2000+1800</f>
        <v>10800</v>
      </c>
      <c r="G931" s="4" t="s">
        <v>1030</v>
      </c>
      <c r="H931" s="22" t="s">
        <v>78</v>
      </c>
      <c r="I931" s="22">
        <v>10800</v>
      </c>
      <c r="J931" s="22"/>
      <c r="K931" s="22">
        <f t="shared" si="13"/>
        <v>10800</v>
      </c>
      <c r="L931" s="17">
        <v>10800</v>
      </c>
      <c r="M931" s="23" t="s">
        <v>41</v>
      </c>
      <c r="N931" s="1" t="s">
        <v>1835</v>
      </c>
      <c r="O931" s="47" t="s">
        <v>80</v>
      </c>
      <c r="P931" s="47"/>
      <c r="S931" s="3" t="s">
        <v>1087</v>
      </c>
      <c r="T931" s="3" t="s">
        <v>1088</v>
      </c>
    </row>
    <row r="932" spans="1:21" x14ac:dyDescent="0.25">
      <c r="A932" s="10">
        <v>46080</v>
      </c>
      <c r="B932" s="2" t="s">
        <v>1833</v>
      </c>
      <c r="C932" s="2" t="s">
        <v>147</v>
      </c>
      <c r="D932" s="2" t="s">
        <v>1834</v>
      </c>
      <c r="E932" s="3" t="s">
        <v>149</v>
      </c>
      <c r="G932" s="4" t="s">
        <v>48</v>
      </c>
      <c r="H932" s="22" t="s">
        <v>49</v>
      </c>
      <c r="I932" s="22"/>
      <c r="J932" s="22">
        <f>I931</f>
        <v>10800</v>
      </c>
      <c r="K932" s="22">
        <f t="shared" si="13"/>
        <v>10800</v>
      </c>
      <c r="L932" s="17"/>
      <c r="M932" s="23"/>
      <c r="O932" s="47"/>
      <c r="P932" s="47"/>
    </row>
    <row r="933" spans="1:21" ht="24" x14ac:dyDescent="0.25">
      <c r="A933" s="10">
        <v>46080</v>
      </c>
      <c r="B933" s="2" t="s">
        <v>1836</v>
      </c>
      <c r="C933" s="2" t="s">
        <v>95</v>
      </c>
      <c r="D933" s="2" t="s">
        <v>1837</v>
      </c>
      <c r="E933" s="3" t="s">
        <v>76</v>
      </c>
      <c r="F933" s="4">
        <v>7000</v>
      </c>
      <c r="G933" s="4" t="s">
        <v>77</v>
      </c>
      <c r="H933" s="22" t="s">
        <v>78</v>
      </c>
      <c r="I933" s="22">
        <v>7000</v>
      </c>
      <c r="J933" s="22"/>
      <c r="K933" s="22">
        <f t="shared" si="13"/>
        <v>7000</v>
      </c>
      <c r="L933" s="17">
        <v>7000</v>
      </c>
      <c r="M933" s="23" t="s">
        <v>41</v>
      </c>
      <c r="N933" s="1" t="s">
        <v>1838</v>
      </c>
      <c r="O933" s="50" t="s">
        <v>151</v>
      </c>
      <c r="P933" s="7" t="s">
        <v>81</v>
      </c>
      <c r="R933" s="7" t="s">
        <v>1839</v>
      </c>
      <c r="S933" s="3" t="s">
        <v>83</v>
      </c>
      <c r="U933" s="8" t="s">
        <v>1840</v>
      </c>
    </row>
    <row r="934" spans="1:21" x14ac:dyDescent="0.25">
      <c r="A934" s="10">
        <v>46080</v>
      </c>
      <c r="B934" s="2" t="s">
        <v>1836</v>
      </c>
      <c r="C934" s="2" t="s">
        <v>95</v>
      </c>
      <c r="D934" s="2" t="s">
        <v>1837</v>
      </c>
      <c r="E934" s="3" t="s">
        <v>76</v>
      </c>
      <c r="G934" s="4" t="s">
        <v>48</v>
      </c>
      <c r="H934" s="22" t="s">
        <v>49</v>
      </c>
      <c r="I934" s="22"/>
      <c r="J934" s="22">
        <f>I933</f>
        <v>7000</v>
      </c>
      <c r="K934" s="22">
        <f t="shared" si="13"/>
        <v>7000</v>
      </c>
      <c r="L934" s="17"/>
      <c r="O934" s="28"/>
      <c r="P934" s="28"/>
    </row>
    <row r="935" spans="1:21" ht="24" x14ac:dyDescent="0.25">
      <c r="A935" s="10">
        <v>46080</v>
      </c>
      <c r="B935" s="2" t="s">
        <v>1841</v>
      </c>
      <c r="C935" s="2" t="s">
        <v>1023</v>
      </c>
      <c r="D935" s="2" t="s">
        <v>1842</v>
      </c>
      <c r="E935" s="3" t="s">
        <v>1025</v>
      </c>
      <c r="F935" s="4">
        <f>167884-25182.6-16788.4-3357.68</f>
        <v>122555.32</v>
      </c>
      <c r="G935" s="4" t="s">
        <v>28</v>
      </c>
      <c r="H935" s="22" t="s">
        <v>57</v>
      </c>
      <c r="I935" s="22">
        <v>167884</v>
      </c>
      <c r="J935" s="22"/>
      <c r="K935" s="22">
        <f t="shared" si="13"/>
        <v>167884</v>
      </c>
      <c r="L935" s="17"/>
      <c r="M935" s="6" t="s">
        <v>581</v>
      </c>
      <c r="N935" s="1" t="s">
        <v>1843</v>
      </c>
    </row>
    <row r="936" spans="1:21" x14ac:dyDescent="0.25">
      <c r="A936" s="10">
        <v>46080</v>
      </c>
      <c r="B936" s="2" t="s">
        <v>1841</v>
      </c>
      <c r="C936" s="2" t="s">
        <v>1023</v>
      </c>
      <c r="D936" s="2" t="s">
        <v>1842</v>
      </c>
      <c r="E936" s="3" t="s">
        <v>1025</v>
      </c>
      <c r="G936" s="4" t="s">
        <v>28</v>
      </c>
      <c r="H936" s="22" t="s">
        <v>60</v>
      </c>
      <c r="I936" s="22"/>
      <c r="J936" s="22">
        <f>3357.68</f>
        <v>3357.68</v>
      </c>
      <c r="K936" s="22">
        <f t="shared" si="13"/>
        <v>3357.68</v>
      </c>
      <c r="L936" s="17"/>
    </row>
    <row r="937" spans="1:21" x14ac:dyDescent="0.25">
      <c r="A937" s="10">
        <v>46080</v>
      </c>
      <c r="B937" s="2" t="s">
        <v>1841</v>
      </c>
      <c r="C937" s="2" t="s">
        <v>1023</v>
      </c>
      <c r="D937" s="2" t="s">
        <v>1842</v>
      </c>
      <c r="E937" s="3" t="s">
        <v>1025</v>
      </c>
      <c r="G937" s="4" t="s">
        <v>28</v>
      </c>
      <c r="H937" s="22" t="s">
        <v>61</v>
      </c>
      <c r="I937" s="22"/>
      <c r="J937" s="22">
        <f>25182.6</f>
        <v>25182.6</v>
      </c>
      <c r="K937" s="22">
        <f t="shared" si="13"/>
        <v>25182.6</v>
      </c>
      <c r="L937" s="17"/>
    </row>
    <row r="938" spans="1:21" x14ac:dyDescent="0.25">
      <c r="A938" s="10">
        <v>46080</v>
      </c>
      <c r="B938" s="2" t="s">
        <v>1841</v>
      </c>
      <c r="C938" s="2" t="s">
        <v>1023</v>
      </c>
      <c r="D938" s="2" t="s">
        <v>1842</v>
      </c>
      <c r="E938" s="3" t="s">
        <v>1025</v>
      </c>
      <c r="G938" s="4" t="s">
        <v>28</v>
      </c>
      <c r="H938" s="22" t="s">
        <v>62</v>
      </c>
      <c r="I938" s="22"/>
      <c r="J938" s="22">
        <f>16788.4</f>
        <v>16788.400000000001</v>
      </c>
      <c r="K938" s="22">
        <f t="shared" si="13"/>
        <v>16788.400000000001</v>
      </c>
      <c r="L938" s="17"/>
    </row>
    <row r="939" spans="1:21" x14ac:dyDescent="0.25">
      <c r="A939" s="10">
        <v>46080</v>
      </c>
      <c r="B939" s="2" t="s">
        <v>1841</v>
      </c>
      <c r="C939" s="2" t="s">
        <v>1023</v>
      </c>
      <c r="D939" s="2" t="s">
        <v>1842</v>
      </c>
      <c r="E939" s="3" t="s">
        <v>1025</v>
      </c>
      <c r="G939" s="4" t="s">
        <v>48</v>
      </c>
      <c r="H939" s="22" t="s">
        <v>49</v>
      </c>
      <c r="I939" s="22"/>
      <c r="J939" s="22">
        <f>I935-J936-J937-J938</f>
        <v>122555.32</v>
      </c>
      <c r="K939" s="22">
        <f t="shared" si="13"/>
        <v>122555.32</v>
      </c>
      <c r="L939" s="17"/>
    </row>
    <row r="940" spans="1:21" ht="24" x14ac:dyDescent="0.25">
      <c r="A940" s="10">
        <v>46080</v>
      </c>
      <c r="B940" s="2" t="s">
        <v>1844</v>
      </c>
      <c r="C940" s="2" t="s">
        <v>1845</v>
      </c>
      <c r="D940" s="2" t="s">
        <v>1846</v>
      </c>
      <c r="E940" s="3" t="s">
        <v>1025</v>
      </c>
      <c r="F940" s="4">
        <f>196735-29510.25-19673.5-3934.7</f>
        <v>143616.54999999999</v>
      </c>
      <c r="G940" s="4" t="s">
        <v>28</v>
      </c>
      <c r="H940" s="22" t="s">
        <v>57</v>
      </c>
      <c r="I940" s="22">
        <v>196735</v>
      </c>
      <c r="J940" s="22"/>
      <c r="K940" s="22">
        <f t="shared" si="13"/>
        <v>196735</v>
      </c>
      <c r="L940" s="17"/>
      <c r="M940" s="6" t="s">
        <v>581</v>
      </c>
      <c r="N940" s="1" t="s">
        <v>1847</v>
      </c>
    </row>
    <row r="941" spans="1:21" x14ac:dyDescent="0.25">
      <c r="A941" s="10">
        <v>46080</v>
      </c>
      <c r="B941" s="2" t="s">
        <v>1844</v>
      </c>
      <c r="C941" s="2" t="s">
        <v>1845</v>
      </c>
      <c r="D941" s="2" t="s">
        <v>1846</v>
      </c>
      <c r="E941" s="3" t="s">
        <v>1025</v>
      </c>
      <c r="G941" s="4" t="s">
        <v>28</v>
      </c>
      <c r="H941" s="22" t="s">
        <v>60</v>
      </c>
      <c r="I941" s="22"/>
      <c r="J941" s="22">
        <v>3934.7</v>
      </c>
      <c r="K941" s="22">
        <f t="shared" si="13"/>
        <v>3934.7</v>
      </c>
      <c r="L941" s="17"/>
    </row>
    <row r="942" spans="1:21" x14ac:dyDescent="0.25">
      <c r="A942" s="10">
        <v>46080</v>
      </c>
      <c r="B942" s="2" t="s">
        <v>1844</v>
      </c>
      <c r="C942" s="2" t="s">
        <v>1845</v>
      </c>
      <c r="D942" s="2" t="s">
        <v>1846</v>
      </c>
      <c r="E942" s="3" t="s">
        <v>1025</v>
      </c>
      <c r="G942" s="4" t="s">
        <v>28</v>
      </c>
      <c r="H942" s="22" t="s">
        <v>61</v>
      </c>
      <c r="I942" s="22"/>
      <c r="J942" s="22">
        <v>29510.25</v>
      </c>
      <c r="K942" s="22">
        <f t="shared" si="13"/>
        <v>29510.25</v>
      </c>
      <c r="L942" s="17"/>
    </row>
    <row r="943" spans="1:21" x14ac:dyDescent="0.25">
      <c r="A943" s="10">
        <v>46080</v>
      </c>
      <c r="B943" s="2" t="s">
        <v>1844</v>
      </c>
      <c r="C943" s="2" t="s">
        <v>1845</v>
      </c>
      <c r="D943" s="2" t="s">
        <v>1846</v>
      </c>
      <c r="E943" s="3" t="s">
        <v>1025</v>
      </c>
      <c r="G943" s="4" t="s">
        <v>28</v>
      </c>
      <c r="H943" s="22" t="s">
        <v>62</v>
      </c>
      <c r="I943" s="22"/>
      <c r="J943" s="22">
        <v>19673.5</v>
      </c>
      <c r="K943" s="22">
        <f t="shared" si="13"/>
        <v>19673.5</v>
      </c>
      <c r="L943" s="17"/>
    </row>
    <row r="944" spans="1:21" x14ac:dyDescent="0.25">
      <c r="A944" s="10">
        <v>46080</v>
      </c>
      <c r="B944" s="2" t="s">
        <v>1844</v>
      </c>
      <c r="C944" s="2" t="s">
        <v>1845</v>
      </c>
      <c r="D944" s="2" t="s">
        <v>1846</v>
      </c>
      <c r="E944" s="3" t="s">
        <v>1025</v>
      </c>
      <c r="G944" s="4" t="s">
        <v>48</v>
      </c>
      <c r="H944" s="22" t="s">
        <v>49</v>
      </c>
      <c r="I944" s="22"/>
      <c r="J944" s="22">
        <f>I940-J941-J942-J943</f>
        <v>143616.54999999999</v>
      </c>
      <c r="K944" s="22">
        <f t="shared" si="13"/>
        <v>143616.54999999999</v>
      </c>
      <c r="L944" s="17"/>
    </row>
    <row r="945" spans="1:20" ht="36" x14ac:dyDescent="0.25">
      <c r="A945" s="10">
        <v>46080</v>
      </c>
      <c r="B945" s="2" t="s">
        <v>1848</v>
      </c>
      <c r="C945" s="2" t="s">
        <v>1849</v>
      </c>
      <c r="D945" s="2" t="s">
        <v>1850</v>
      </c>
      <c r="E945" s="3" t="s">
        <v>1025</v>
      </c>
      <c r="F945" s="4">
        <f>32000-3200-640</f>
        <v>28160</v>
      </c>
      <c r="G945" s="4" t="s">
        <v>28</v>
      </c>
      <c r="H945" s="22" t="s">
        <v>57</v>
      </c>
      <c r="I945" s="22">
        <v>32000</v>
      </c>
      <c r="J945" s="22"/>
      <c r="K945" s="22">
        <f>ABS(I945-J945)</f>
        <v>32000</v>
      </c>
      <c r="L945" s="17"/>
      <c r="M945" s="6" t="s">
        <v>581</v>
      </c>
      <c r="N945" s="1" t="s">
        <v>1851</v>
      </c>
    </row>
    <row r="946" spans="1:20" x14ac:dyDescent="0.25">
      <c r="A946" s="10">
        <v>46080</v>
      </c>
      <c r="B946" s="2" t="s">
        <v>1848</v>
      </c>
      <c r="C946" s="2" t="s">
        <v>1849</v>
      </c>
      <c r="D946" s="2" t="s">
        <v>1850</v>
      </c>
      <c r="E946" s="3" t="s">
        <v>1025</v>
      </c>
      <c r="G946" s="4" t="s">
        <v>28</v>
      </c>
      <c r="H946" s="22" t="s">
        <v>60</v>
      </c>
      <c r="I946" s="22"/>
      <c r="J946" s="22">
        <v>640</v>
      </c>
      <c r="K946" s="22">
        <f>ABS(I946-J946)</f>
        <v>640</v>
      </c>
      <c r="L946" s="17"/>
    </row>
    <row r="947" spans="1:20" x14ac:dyDescent="0.25">
      <c r="A947" s="10">
        <v>46080</v>
      </c>
      <c r="B947" s="2" t="s">
        <v>1848</v>
      </c>
      <c r="C947" s="2" t="s">
        <v>1849</v>
      </c>
      <c r="D947" s="2" t="s">
        <v>1850</v>
      </c>
      <c r="E947" s="3" t="s">
        <v>1025</v>
      </c>
      <c r="G947" s="4" t="s">
        <v>28</v>
      </c>
      <c r="H947" s="22" t="s">
        <v>62</v>
      </c>
      <c r="I947" s="22"/>
      <c r="J947" s="22">
        <v>3200</v>
      </c>
      <c r="K947" s="22">
        <f>ABS(I947-J947)</f>
        <v>3200</v>
      </c>
      <c r="L947" s="17"/>
    </row>
    <row r="948" spans="1:20" x14ac:dyDescent="0.25">
      <c r="A948" s="10">
        <v>46080</v>
      </c>
      <c r="B948" s="2" t="s">
        <v>1848</v>
      </c>
      <c r="C948" s="2" t="s">
        <v>1849</v>
      </c>
      <c r="D948" s="2" t="s">
        <v>1850</v>
      </c>
      <c r="E948" s="3" t="s">
        <v>1025</v>
      </c>
      <c r="G948" s="4" t="s">
        <v>48</v>
      </c>
      <c r="H948" s="22" t="s">
        <v>49</v>
      </c>
      <c r="I948" s="22"/>
      <c r="J948" s="22">
        <f>I945-J946-J947</f>
        <v>28160</v>
      </c>
      <c r="K948" s="22">
        <f>ABS(I948-J948)</f>
        <v>28160</v>
      </c>
      <c r="L948" s="17"/>
    </row>
    <row r="949" spans="1:20" ht="24" x14ac:dyDescent="0.25">
      <c r="A949" s="10">
        <v>46080</v>
      </c>
      <c r="B949" s="2" t="s">
        <v>1852</v>
      </c>
      <c r="C949" s="2" t="s">
        <v>1853</v>
      </c>
      <c r="D949" s="2" t="s">
        <v>1854</v>
      </c>
      <c r="E949" s="3" t="s">
        <v>1455</v>
      </c>
      <c r="F949" s="4">
        <v>91027.75</v>
      </c>
      <c r="G949" s="4" t="s">
        <v>28</v>
      </c>
      <c r="H949" s="22" t="s">
        <v>57</v>
      </c>
      <c r="I949" s="22">
        <f>523750*0.1975</f>
        <v>103440.625</v>
      </c>
      <c r="J949" s="22"/>
      <c r="K949" s="22">
        <f t="shared" si="13"/>
        <v>103440.625</v>
      </c>
      <c r="L949" s="17"/>
      <c r="M949" s="6" t="s">
        <v>581</v>
      </c>
      <c r="N949" s="1" t="s">
        <v>1855</v>
      </c>
    </row>
    <row r="950" spans="1:20" x14ac:dyDescent="0.25">
      <c r="A950" s="10">
        <v>46080</v>
      </c>
      <c r="B950" s="2" t="s">
        <v>1852</v>
      </c>
      <c r="C950" s="2" t="s">
        <v>1853</v>
      </c>
      <c r="D950" s="2" t="s">
        <v>1854</v>
      </c>
      <c r="E950" s="3" t="s">
        <v>1455</v>
      </c>
      <c r="G950" s="4" t="s">
        <v>28</v>
      </c>
      <c r="H950" s="22" t="s">
        <v>60</v>
      </c>
      <c r="I950" s="22"/>
      <c r="J950" s="22">
        <f>10475*0.1975</f>
        <v>2068.8125</v>
      </c>
      <c r="K950" s="22">
        <f t="shared" si="13"/>
        <v>2068.8125</v>
      </c>
      <c r="L950" s="17"/>
    </row>
    <row r="951" spans="1:20" x14ac:dyDescent="0.25">
      <c r="A951" s="10">
        <v>46080</v>
      </c>
      <c r="B951" s="2" t="s">
        <v>1852</v>
      </c>
      <c r="C951" s="2" t="s">
        <v>1853</v>
      </c>
      <c r="D951" s="2" t="s">
        <v>1854</v>
      </c>
      <c r="E951" s="3" t="s">
        <v>1455</v>
      </c>
      <c r="G951" s="4" t="s">
        <v>28</v>
      </c>
      <c r="H951" s="22" t="s">
        <v>62</v>
      </c>
      <c r="I951" s="22"/>
      <c r="J951" s="22">
        <v>10344.06</v>
      </c>
      <c r="K951" s="22">
        <f t="shared" si="13"/>
        <v>10344.06</v>
      </c>
      <c r="L951" s="17"/>
    </row>
    <row r="952" spans="1:20" x14ac:dyDescent="0.25">
      <c r="A952" s="10">
        <v>46080</v>
      </c>
      <c r="B952" s="2" t="s">
        <v>1852</v>
      </c>
      <c r="C952" s="2" t="s">
        <v>1853</v>
      </c>
      <c r="D952" s="2" t="s">
        <v>1854</v>
      </c>
      <c r="E952" s="3" t="s">
        <v>1455</v>
      </c>
      <c r="G952" s="4" t="s">
        <v>48</v>
      </c>
      <c r="H952" s="22" t="s">
        <v>49</v>
      </c>
      <c r="I952" s="22"/>
      <c r="J952" s="22">
        <f>I949-J950-J951</f>
        <v>91027.752500000002</v>
      </c>
      <c r="K952" s="22">
        <f t="shared" si="13"/>
        <v>91027.752500000002</v>
      </c>
      <c r="L952" s="17"/>
    </row>
    <row r="953" spans="1:20" ht="24" x14ac:dyDescent="0.25">
      <c r="A953" s="10">
        <v>46083</v>
      </c>
      <c r="B953" s="2" t="s">
        <v>1856</v>
      </c>
      <c r="C953" s="2" t="s">
        <v>95</v>
      </c>
      <c r="D953" s="31" t="s">
        <v>1857</v>
      </c>
      <c r="E953" s="3" t="s">
        <v>76</v>
      </c>
      <c r="F953" s="4">
        <v>10300</v>
      </c>
      <c r="G953" s="4" t="s">
        <v>77</v>
      </c>
      <c r="H953" s="22" t="s">
        <v>78</v>
      </c>
      <c r="I953" s="22">
        <v>10300</v>
      </c>
      <c r="J953" s="22"/>
      <c r="K953" s="22">
        <f t="shared" si="13"/>
        <v>10300</v>
      </c>
      <c r="L953" s="17">
        <v>10300</v>
      </c>
      <c r="M953" s="23" t="s">
        <v>41</v>
      </c>
      <c r="N953" s="1" t="s">
        <v>1858</v>
      </c>
      <c r="O953" s="28" t="s">
        <v>80</v>
      </c>
      <c r="Q953" s="7" t="s">
        <v>81</v>
      </c>
      <c r="R953" s="7" t="s">
        <v>1814</v>
      </c>
      <c r="S953" s="3" t="s">
        <v>83</v>
      </c>
      <c r="T953" s="3" t="s">
        <v>1859</v>
      </c>
    </row>
    <row r="954" spans="1:20" x14ac:dyDescent="0.25">
      <c r="A954" s="10">
        <v>46083</v>
      </c>
      <c r="B954" s="2" t="s">
        <v>1856</v>
      </c>
      <c r="C954" s="2" t="s">
        <v>95</v>
      </c>
      <c r="D954" s="31" t="s">
        <v>1857</v>
      </c>
      <c r="E954" s="3" t="s">
        <v>76</v>
      </c>
      <c r="G954" s="4" t="s">
        <v>48</v>
      </c>
      <c r="H954" s="22" t="s">
        <v>49</v>
      </c>
      <c r="I954" s="22"/>
      <c r="J954" s="22">
        <f>I953</f>
        <v>10300</v>
      </c>
      <c r="K954" s="22">
        <f t="shared" si="13"/>
        <v>10300</v>
      </c>
      <c r="L954" s="17"/>
    </row>
    <row r="955" spans="1:20" x14ac:dyDescent="0.25">
      <c r="A955" s="10">
        <v>46083</v>
      </c>
      <c r="B955" s="2" t="s">
        <v>1860</v>
      </c>
      <c r="C955" s="2" t="s">
        <v>134</v>
      </c>
      <c r="D955" s="2" t="s">
        <v>1861</v>
      </c>
      <c r="E955" s="3" t="s">
        <v>1862</v>
      </c>
      <c r="F955" s="4">
        <v>4500</v>
      </c>
      <c r="G955" s="4" t="s">
        <v>48</v>
      </c>
      <c r="H955" s="22" t="s">
        <v>137</v>
      </c>
      <c r="I955" s="22">
        <v>4500</v>
      </c>
      <c r="J955" s="22"/>
      <c r="K955" s="22">
        <f t="shared" si="13"/>
        <v>4500</v>
      </c>
      <c r="L955" s="17">
        <v>4500</v>
      </c>
      <c r="M955" s="23" t="s">
        <v>41</v>
      </c>
      <c r="N955" s="1" t="s">
        <v>1863</v>
      </c>
      <c r="O955" s="7" t="s">
        <v>1864</v>
      </c>
      <c r="P955" s="7" t="s">
        <v>81</v>
      </c>
      <c r="R955" s="7" t="s">
        <v>1814</v>
      </c>
      <c r="S955" s="3" t="s">
        <v>83</v>
      </c>
      <c r="T955" s="3" t="s">
        <v>1233</v>
      </c>
    </row>
    <row r="956" spans="1:20" x14ac:dyDescent="0.25">
      <c r="A956" s="10">
        <v>46083</v>
      </c>
      <c r="B956" s="2" t="s">
        <v>1860</v>
      </c>
      <c r="C956" s="2" t="s">
        <v>134</v>
      </c>
      <c r="D956" s="2" t="s">
        <v>1861</v>
      </c>
      <c r="E956" s="3" t="s">
        <v>1862</v>
      </c>
      <c r="G956" s="4" t="s">
        <v>48</v>
      </c>
      <c r="H956" s="22" t="s">
        <v>49</v>
      </c>
      <c r="I956" s="22"/>
      <c r="J956" s="22">
        <f>I955</f>
        <v>4500</v>
      </c>
      <c r="K956" s="22">
        <f t="shared" si="13"/>
        <v>4500</v>
      </c>
      <c r="L956" s="17"/>
      <c r="M956" s="23"/>
    </row>
    <row r="957" spans="1:20" ht="24" x14ac:dyDescent="0.25">
      <c r="A957" s="10">
        <v>46083</v>
      </c>
      <c r="B957" s="2" t="s">
        <v>1865</v>
      </c>
      <c r="C957" s="2" t="s">
        <v>141</v>
      </c>
      <c r="D957" s="31"/>
      <c r="E957" s="3" t="s">
        <v>27</v>
      </c>
      <c r="F957" s="4">
        <v>997000</v>
      </c>
      <c r="G957" s="4" t="s">
        <v>48</v>
      </c>
      <c r="H957" s="22"/>
      <c r="I957" s="22"/>
      <c r="J957" s="22"/>
      <c r="K957" s="22">
        <f t="shared" si="13"/>
        <v>0</v>
      </c>
      <c r="L957" s="17"/>
      <c r="M957" s="23" t="s">
        <v>41</v>
      </c>
      <c r="N957" s="1" t="s">
        <v>1866</v>
      </c>
    </row>
    <row r="958" spans="1:20" ht="24" x14ac:dyDescent="0.25">
      <c r="A958" s="10">
        <v>46083</v>
      </c>
      <c r="B958" s="2" t="s">
        <v>1867</v>
      </c>
      <c r="D958" s="31"/>
      <c r="E958" s="3" t="s">
        <v>27</v>
      </c>
      <c r="F958" s="4">
        <v>71365.119999999995</v>
      </c>
      <c r="G958" s="4" t="s">
        <v>48</v>
      </c>
      <c r="H958" s="22"/>
      <c r="I958" s="22"/>
      <c r="J958" s="22"/>
      <c r="K958" s="22">
        <f t="shared" si="13"/>
        <v>0</v>
      </c>
      <c r="L958" s="17"/>
      <c r="M958" s="23" t="s">
        <v>41</v>
      </c>
      <c r="N958" s="1" t="s">
        <v>1868</v>
      </c>
    </row>
    <row r="959" spans="1:20" ht="24" x14ac:dyDescent="0.25">
      <c r="A959" s="10">
        <v>46083</v>
      </c>
      <c r="B959" s="2" t="s">
        <v>1869</v>
      </c>
      <c r="C959" s="2" t="s">
        <v>141</v>
      </c>
      <c r="E959" s="3" t="s">
        <v>27</v>
      </c>
      <c r="F959" s="4">
        <v>1400000</v>
      </c>
      <c r="G959" s="4" t="s">
        <v>48</v>
      </c>
      <c r="H959" s="22"/>
      <c r="I959" s="22"/>
      <c r="J959" s="22"/>
      <c r="K959" s="22">
        <f t="shared" si="13"/>
        <v>0</v>
      </c>
      <c r="L959" s="17"/>
      <c r="M959" s="23" t="s">
        <v>41</v>
      </c>
      <c r="N959" s="1" t="s">
        <v>1870</v>
      </c>
    </row>
    <row r="960" spans="1:20" x14ac:dyDescent="0.25">
      <c r="A960" s="10">
        <v>46083</v>
      </c>
      <c r="B960" s="2" t="s">
        <v>1871</v>
      </c>
      <c r="E960" s="3" t="s">
        <v>614</v>
      </c>
      <c r="F960" s="4">
        <v>459877.71</v>
      </c>
      <c r="G960" s="4" t="s">
        <v>167</v>
      </c>
      <c r="H960" s="22"/>
      <c r="I960" s="22"/>
      <c r="J960" s="22"/>
      <c r="K960" s="22">
        <f t="shared" si="13"/>
        <v>0</v>
      </c>
      <c r="L960" s="17"/>
      <c r="M960" s="23" t="s">
        <v>41</v>
      </c>
      <c r="N960" s="1" t="s">
        <v>1872</v>
      </c>
    </row>
    <row r="961" spans="1:20" x14ac:dyDescent="0.25">
      <c r="A961" s="10">
        <v>46083</v>
      </c>
      <c r="B961" s="2" t="s">
        <v>1873</v>
      </c>
      <c r="E961" s="3" t="s">
        <v>27</v>
      </c>
      <c r="F961" s="4">
        <v>214896.56</v>
      </c>
      <c r="G961" s="4" t="s">
        <v>48</v>
      </c>
      <c r="H961" s="22"/>
      <c r="I961" s="22"/>
      <c r="J961" s="22"/>
      <c r="K961" s="22">
        <f t="shared" si="13"/>
        <v>0</v>
      </c>
      <c r="L961" s="17"/>
      <c r="M961" s="23" t="s">
        <v>41</v>
      </c>
      <c r="N961" s="1" t="s">
        <v>1874</v>
      </c>
    </row>
    <row r="962" spans="1:20" x14ac:dyDescent="0.25">
      <c r="A962" s="10">
        <v>46083</v>
      </c>
      <c r="B962" s="2" t="s">
        <v>1875</v>
      </c>
      <c r="E962" s="3" t="s">
        <v>27</v>
      </c>
      <c r="F962" s="4">
        <v>175593.95</v>
      </c>
      <c r="G962" s="4" t="s">
        <v>326</v>
      </c>
      <c r="H962" s="22"/>
      <c r="I962" s="22"/>
      <c r="J962" s="22"/>
      <c r="K962" s="22">
        <f t="shared" si="13"/>
        <v>0</v>
      </c>
      <c r="L962" s="17"/>
      <c r="M962" s="23" t="s">
        <v>41</v>
      </c>
      <c r="N962" s="1" t="s">
        <v>1876</v>
      </c>
    </row>
    <row r="963" spans="1:20" x14ac:dyDescent="0.25">
      <c r="A963" s="10">
        <v>46083</v>
      </c>
      <c r="B963" s="2" t="s">
        <v>1877</v>
      </c>
      <c r="E963" s="3" t="s">
        <v>261</v>
      </c>
      <c r="F963" s="4">
        <f>117609.69+64603.44+23958</f>
        <v>206171.13</v>
      </c>
      <c r="G963" s="4" t="s">
        <v>488</v>
      </c>
      <c r="H963" s="22"/>
      <c r="I963" s="22"/>
      <c r="J963" s="22"/>
      <c r="K963" s="22">
        <f t="shared" si="13"/>
        <v>0</v>
      </c>
      <c r="L963" s="17"/>
      <c r="M963" s="23" t="s">
        <v>41</v>
      </c>
    </row>
    <row r="964" spans="1:20" ht="24" x14ac:dyDescent="0.25">
      <c r="A964" s="10">
        <v>46083</v>
      </c>
      <c r="B964" s="2" t="s">
        <v>1878</v>
      </c>
      <c r="C964" s="2" t="s">
        <v>376</v>
      </c>
      <c r="D964" s="31" t="s">
        <v>1521</v>
      </c>
      <c r="E964" s="3" t="s">
        <v>1103</v>
      </c>
      <c r="F964" s="4">
        <v>50000</v>
      </c>
      <c r="G964" s="4" t="s">
        <v>48</v>
      </c>
      <c r="H964" s="22"/>
      <c r="I964" s="22"/>
      <c r="J964" s="22"/>
      <c r="K964" s="22">
        <f t="shared" si="13"/>
        <v>0</v>
      </c>
      <c r="L964" s="17">
        <v>50000</v>
      </c>
      <c r="M964" s="23" t="s">
        <v>41</v>
      </c>
      <c r="N964" s="1" t="s">
        <v>1879</v>
      </c>
    </row>
    <row r="965" spans="1:20" ht="24" x14ac:dyDescent="0.25">
      <c r="A965" s="10">
        <v>46083</v>
      </c>
      <c r="B965" s="2" t="s">
        <v>1880</v>
      </c>
      <c r="C965" s="2" t="s">
        <v>376</v>
      </c>
      <c r="D965" s="31" t="s">
        <v>1521</v>
      </c>
      <c r="E965" s="3" t="s">
        <v>1881</v>
      </c>
      <c r="F965" s="4">
        <v>60000</v>
      </c>
      <c r="G965" s="4" t="s">
        <v>1882</v>
      </c>
      <c r="H965" s="22"/>
      <c r="I965" s="22"/>
      <c r="J965" s="22"/>
      <c r="K965" s="22">
        <f t="shared" si="13"/>
        <v>0</v>
      </c>
      <c r="L965" s="17"/>
      <c r="M965" s="23" t="s">
        <v>41</v>
      </c>
      <c r="N965" s="1" t="s">
        <v>1883</v>
      </c>
    </row>
    <row r="966" spans="1:20" ht="24" x14ac:dyDescent="0.25">
      <c r="A966" s="10">
        <v>46083</v>
      </c>
      <c r="B966" s="2" t="s">
        <v>1884</v>
      </c>
      <c r="E966" s="3" t="s">
        <v>398</v>
      </c>
      <c r="F966" s="4">
        <v>50000</v>
      </c>
      <c r="G966" s="4" t="s">
        <v>262</v>
      </c>
      <c r="H966" s="22"/>
      <c r="I966" s="22"/>
      <c r="J966" s="22"/>
      <c r="K966" s="22">
        <f t="shared" si="13"/>
        <v>0</v>
      </c>
      <c r="L966" s="17"/>
      <c r="M966" s="23" t="s">
        <v>41</v>
      </c>
      <c r="N966" s="1" t="s">
        <v>1885</v>
      </c>
    </row>
    <row r="967" spans="1:20" x14ac:dyDescent="0.25">
      <c r="A967" s="10">
        <v>46083</v>
      </c>
      <c r="B967" s="2" t="s">
        <v>1886</v>
      </c>
      <c r="D967" s="31" t="s">
        <v>1521</v>
      </c>
      <c r="E967" s="3" t="s">
        <v>1109</v>
      </c>
      <c r="F967" s="4">
        <v>8125</v>
      </c>
      <c r="G967" s="4" t="s">
        <v>1110</v>
      </c>
      <c r="H967" s="22"/>
      <c r="I967" s="22"/>
      <c r="J967" s="22"/>
      <c r="K967" s="22">
        <f t="shared" si="13"/>
        <v>0</v>
      </c>
      <c r="L967" s="17">
        <v>8125</v>
      </c>
      <c r="M967" s="23" t="s">
        <v>41</v>
      </c>
      <c r="N967" s="1" t="s">
        <v>1887</v>
      </c>
      <c r="O967" s="7" t="s">
        <v>1888</v>
      </c>
      <c r="P967" s="7" t="s">
        <v>81</v>
      </c>
      <c r="R967" s="7" t="s">
        <v>1889</v>
      </c>
      <c r="S967" s="3" t="s">
        <v>83</v>
      </c>
    </row>
    <row r="968" spans="1:20" x14ac:dyDescent="0.25">
      <c r="A968" s="10">
        <v>46083</v>
      </c>
      <c r="B968" s="2" t="s">
        <v>1890</v>
      </c>
      <c r="E968" s="3" t="s">
        <v>1891</v>
      </c>
      <c r="F968" s="4">
        <v>45000</v>
      </c>
      <c r="G968" s="4" t="s">
        <v>48</v>
      </c>
      <c r="H968" s="22"/>
      <c r="I968" s="22"/>
      <c r="J968" s="22"/>
      <c r="K968" s="22">
        <f t="shared" si="13"/>
        <v>0</v>
      </c>
      <c r="L968" s="17"/>
      <c r="M968" s="23" t="s">
        <v>41</v>
      </c>
      <c r="N968" s="8" t="s">
        <v>1892</v>
      </c>
    </row>
    <row r="969" spans="1:20" x14ac:dyDescent="0.25">
      <c r="A969" s="10">
        <v>46083</v>
      </c>
      <c r="B969" s="2" t="s">
        <v>1893</v>
      </c>
      <c r="C969" s="2" t="s">
        <v>259</v>
      </c>
      <c r="E969" s="3" t="s">
        <v>371</v>
      </c>
      <c r="F969" s="4">
        <f>50000+49572.84</f>
        <v>99572.84</v>
      </c>
      <c r="G969" s="4" t="s">
        <v>98</v>
      </c>
      <c r="H969" s="22" t="s">
        <v>1894</v>
      </c>
      <c r="I969" s="22">
        <v>99572.84</v>
      </c>
      <c r="J969" s="22"/>
      <c r="K969" s="22">
        <f t="shared" si="13"/>
        <v>99572.84</v>
      </c>
      <c r="L969" s="17">
        <f>50000+49572.84</f>
        <v>99572.84</v>
      </c>
      <c r="M969" s="23" t="s">
        <v>41</v>
      </c>
      <c r="N969" s="1" t="s">
        <v>1895</v>
      </c>
      <c r="O969" s="7" t="s">
        <v>1896</v>
      </c>
      <c r="P969" s="7" t="s">
        <v>81</v>
      </c>
      <c r="R969" s="7" t="s">
        <v>1745</v>
      </c>
      <c r="T969" s="3" t="s">
        <v>1897</v>
      </c>
    </row>
    <row r="970" spans="1:20" x14ac:dyDescent="0.25">
      <c r="A970" s="10">
        <v>46083</v>
      </c>
      <c r="B970" s="2" t="s">
        <v>1893</v>
      </c>
      <c r="C970" s="2" t="s">
        <v>259</v>
      </c>
      <c r="E970" s="3" t="s">
        <v>371</v>
      </c>
      <c r="G970" s="4" t="s">
        <v>48</v>
      </c>
      <c r="H970" s="22" t="s">
        <v>81</v>
      </c>
      <c r="I970" s="22"/>
      <c r="J970" s="22">
        <f>I969</f>
        <v>99572.84</v>
      </c>
      <c r="K970" s="22">
        <f t="shared" si="13"/>
        <v>99572.84</v>
      </c>
      <c r="L970" s="17"/>
      <c r="M970" s="23"/>
    </row>
    <row r="971" spans="1:20" ht="24" x14ac:dyDescent="0.25">
      <c r="A971" s="10">
        <v>46083</v>
      </c>
      <c r="B971" s="2" t="s">
        <v>1898</v>
      </c>
      <c r="C971" s="2" t="s">
        <v>1899</v>
      </c>
      <c r="D971" s="2" t="s">
        <v>1900</v>
      </c>
      <c r="E971" s="3" t="s">
        <v>109</v>
      </c>
      <c r="F971" s="4">
        <v>18520</v>
      </c>
      <c r="G971" s="4" t="s">
        <v>110</v>
      </c>
      <c r="H971" s="22" t="s">
        <v>1901</v>
      </c>
      <c r="I971" s="22">
        <v>18500</v>
      </c>
      <c r="J971" s="22"/>
      <c r="K971" s="22">
        <f t="shared" si="13"/>
        <v>18500</v>
      </c>
      <c r="L971" s="17">
        <v>18520</v>
      </c>
      <c r="M971" s="23" t="s">
        <v>41</v>
      </c>
      <c r="N971" s="1" t="s">
        <v>1902</v>
      </c>
      <c r="O971" s="7" t="s">
        <v>1903</v>
      </c>
      <c r="R971" s="7" t="s">
        <v>1745</v>
      </c>
      <c r="S971" s="3" t="s">
        <v>1087</v>
      </c>
      <c r="T971" s="3" t="s">
        <v>1088</v>
      </c>
    </row>
    <row r="972" spans="1:20" x14ac:dyDescent="0.25">
      <c r="A972" s="10">
        <v>46083</v>
      </c>
      <c r="B972" s="2" t="s">
        <v>1898</v>
      </c>
      <c r="C972" s="2" t="s">
        <v>1899</v>
      </c>
      <c r="D972" s="2" t="s">
        <v>1900</v>
      </c>
      <c r="E972" s="3" t="s">
        <v>109</v>
      </c>
      <c r="G972" s="4" t="s">
        <v>48</v>
      </c>
      <c r="H972" s="22" t="s">
        <v>47</v>
      </c>
      <c r="I972" s="22">
        <v>20</v>
      </c>
      <c r="J972" s="22"/>
      <c r="K972" s="22">
        <f t="shared" si="13"/>
        <v>20</v>
      </c>
      <c r="L972" s="17"/>
      <c r="M972" s="23"/>
    </row>
    <row r="973" spans="1:20" x14ac:dyDescent="0.25">
      <c r="A973" s="10">
        <v>46083</v>
      </c>
      <c r="B973" s="2" t="s">
        <v>1898</v>
      </c>
      <c r="C973" s="2" t="s">
        <v>1899</v>
      </c>
      <c r="D973" s="2" t="s">
        <v>1900</v>
      </c>
      <c r="E973" s="3" t="s">
        <v>109</v>
      </c>
      <c r="G973" s="4" t="s">
        <v>48</v>
      </c>
      <c r="H973" s="22" t="s">
        <v>81</v>
      </c>
      <c r="I973" s="22"/>
      <c r="J973" s="22">
        <f>I971+I972</f>
        <v>18520</v>
      </c>
      <c r="K973" s="22">
        <f t="shared" si="13"/>
        <v>18520</v>
      </c>
      <c r="L973" s="17"/>
      <c r="M973" s="23"/>
    </row>
    <row r="974" spans="1:20" ht="24" x14ac:dyDescent="0.25">
      <c r="A974" s="10">
        <v>46083</v>
      </c>
      <c r="B974" s="2" t="s">
        <v>1904</v>
      </c>
      <c r="C974" s="2" t="s">
        <v>1905</v>
      </c>
      <c r="D974" s="2" t="s">
        <v>1900</v>
      </c>
      <c r="E974" s="3" t="s">
        <v>1174</v>
      </c>
      <c r="F974" s="4">
        <f>2375+20</f>
        <v>2395</v>
      </c>
      <c r="G974" s="4" t="s">
        <v>110</v>
      </c>
      <c r="H974" s="22" t="s">
        <v>1901</v>
      </c>
      <c r="I974" s="22">
        <v>2375</v>
      </c>
      <c r="J974" s="22"/>
      <c r="K974" s="22">
        <f t="shared" si="13"/>
        <v>2375</v>
      </c>
      <c r="L974" s="17">
        <f>2375+20</f>
        <v>2395</v>
      </c>
      <c r="M974" s="23" t="s">
        <v>41</v>
      </c>
      <c r="N974" s="1" t="s">
        <v>1906</v>
      </c>
      <c r="O974" s="7" t="s">
        <v>1903</v>
      </c>
      <c r="R974" s="7" t="s">
        <v>1745</v>
      </c>
      <c r="S974" s="3" t="s">
        <v>1087</v>
      </c>
      <c r="T974" s="3" t="s">
        <v>1088</v>
      </c>
    </row>
    <row r="975" spans="1:20" x14ac:dyDescent="0.25">
      <c r="A975" s="10">
        <v>46083</v>
      </c>
      <c r="B975" s="2" t="s">
        <v>1904</v>
      </c>
      <c r="C975" s="2" t="s">
        <v>1905</v>
      </c>
      <c r="D975" s="2" t="s">
        <v>1900</v>
      </c>
      <c r="E975" s="3" t="s">
        <v>1174</v>
      </c>
      <c r="G975" s="4" t="s">
        <v>48</v>
      </c>
      <c r="H975" s="22" t="s">
        <v>47</v>
      </c>
      <c r="I975" s="22">
        <v>20</v>
      </c>
      <c r="J975" s="22"/>
      <c r="K975" s="22">
        <f t="shared" si="13"/>
        <v>20</v>
      </c>
      <c r="L975" s="17"/>
      <c r="M975" s="23"/>
    </row>
    <row r="976" spans="1:20" x14ac:dyDescent="0.25">
      <c r="A976" s="10">
        <v>46083</v>
      </c>
      <c r="B976" s="2" t="s">
        <v>1904</v>
      </c>
      <c r="C976" s="2" t="s">
        <v>1905</v>
      </c>
      <c r="D976" s="2" t="s">
        <v>1900</v>
      </c>
      <c r="E976" s="3" t="s">
        <v>1174</v>
      </c>
      <c r="G976" s="4" t="s">
        <v>48</v>
      </c>
      <c r="H976" s="22" t="s">
        <v>81</v>
      </c>
      <c r="I976" s="22"/>
      <c r="J976" s="22">
        <f>I974+I975</f>
        <v>2395</v>
      </c>
      <c r="K976" s="22">
        <f t="shared" si="13"/>
        <v>2395</v>
      </c>
      <c r="L976" s="17"/>
      <c r="M976" s="23"/>
    </row>
    <row r="977" spans="1:20" ht="24" x14ac:dyDescent="0.25">
      <c r="A977" s="10">
        <v>46083</v>
      </c>
      <c r="B977" s="2" t="s">
        <v>1907</v>
      </c>
      <c r="C977" s="2" t="s">
        <v>1908</v>
      </c>
      <c r="D977" s="2" t="s">
        <v>1900</v>
      </c>
      <c r="E977" s="3" t="s">
        <v>1909</v>
      </c>
      <c r="F977" s="4">
        <f>3750+20</f>
        <v>3770</v>
      </c>
      <c r="G977" s="4" t="s">
        <v>110</v>
      </c>
      <c r="H977" s="22" t="s">
        <v>1901</v>
      </c>
      <c r="I977" s="22">
        <v>3750</v>
      </c>
      <c r="J977" s="22"/>
      <c r="K977" s="22">
        <f t="shared" si="13"/>
        <v>3750</v>
      </c>
      <c r="L977" s="17">
        <f>3750+20</f>
        <v>3770</v>
      </c>
      <c r="M977" s="23" t="s">
        <v>41</v>
      </c>
      <c r="N977" s="1" t="s">
        <v>1910</v>
      </c>
      <c r="O977" s="7" t="s">
        <v>1903</v>
      </c>
      <c r="R977" s="7" t="s">
        <v>1745</v>
      </c>
      <c r="S977" s="3" t="s">
        <v>1087</v>
      </c>
      <c r="T977" s="3" t="s">
        <v>1088</v>
      </c>
    </row>
    <row r="978" spans="1:20" x14ac:dyDescent="0.25">
      <c r="A978" s="10">
        <v>46083</v>
      </c>
      <c r="B978" s="2" t="s">
        <v>1907</v>
      </c>
      <c r="C978" s="2" t="s">
        <v>1908</v>
      </c>
      <c r="D978" s="2" t="s">
        <v>1900</v>
      </c>
      <c r="E978" s="3" t="s">
        <v>1909</v>
      </c>
      <c r="G978" s="4" t="s">
        <v>48</v>
      </c>
      <c r="H978" s="22" t="s">
        <v>47</v>
      </c>
      <c r="I978" s="22">
        <v>20</v>
      </c>
      <c r="J978" s="22"/>
      <c r="K978" s="22">
        <f t="shared" si="13"/>
        <v>20</v>
      </c>
      <c r="L978" s="17"/>
      <c r="M978" s="23"/>
    </row>
    <row r="979" spans="1:20" x14ac:dyDescent="0.25">
      <c r="A979" s="10">
        <v>46083</v>
      </c>
      <c r="B979" s="2" t="s">
        <v>1907</v>
      </c>
      <c r="C979" s="2" t="s">
        <v>1908</v>
      </c>
      <c r="D979" s="2" t="s">
        <v>1900</v>
      </c>
      <c r="E979" s="3" t="s">
        <v>1909</v>
      </c>
      <c r="G979" s="4" t="s">
        <v>48</v>
      </c>
      <c r="H979" s="22" t="s">
        <v>81</v>
      </c>
      <c r="I979" s="22"/>
      <c r="J979" s="22">
        <f>I977+I978</f>
        <v>3770</v>
      </c>
      <c r="K979" s="22">
        <f t="shared" si="13"/>
        <v>3770</v>
      </c>
      <c r="L979" s="17"/>
      <c r="M979" s="23"/>
    </row>
    <row r="980" spans="1:20" ht="24" x14ac:dyDescent="0.25">
      <c r="A980" s="10">
        <v>46083</v>
      </c>
      <c r="B980" s="2" t="s">
        <v>1911</v>
      </c>
      <c r="C980" s="2" t="s">
        <v>1912</v>
      </c>
      <c r="D980" s="2" t="s">
        <v>1900</v>
      </c>
      <c r="E980" s="3" t="s">
        <v>114</v>
      </c>
      <c r="F980" s="4">
        <f>15400+20</f>
        <v>15420</v>
      </c>
      <c r="G980" s="4" t="s">
        <v>110</v>
      </c>
      <c r="H980" s="22" t="s">
        <v>1901</v>
      </c>
      <c r="I980" s="22">
        <v>15400</v>
      </c>
      <c r="J980" s="22"/>
      <c r="K980" s="22">
        <f t="shared" si="13"/>
        <v>15400</v>
      </c>
      <c r="L980" s="17">
        <f>15400+20</f>
        <v>15420</v>
      </c>
      <c r="M980" s="23" t="s">
        <v>41</v>
      </c>
      <c r="N980" s="1" t="s">
        <v>1913</v>
      </c>
    </row>
    <row r="981" spans="1:20" x14ac:dyDescent="0.25">
      <c r="A981" s="10">
        <v>46083</v>
      </c>
      <c r="B981" s="2" t="s">
        <v>1911</v>
      </c>
      <c r="C981" s="2" t="s">
        <v>1912</v>
      </c>
      <c r="D981" s="2" t="s">
        <v>1900</v>
      </c>
      <c r="E981" s="3" t="s">
        <v>114</v>
      </c>
      <c r="G981" s="4" t="s">
        <v>48</v>
      </c>
      <c r="H981" s="22" t="s">
        <v>47</v>
      </c>
      <c r="I981" s="22">
        <v>20</v>
      </c>
      <c r="J981" s="22"/>
      <c r="K981" s="22">
        <f t="shared" si="13"/>
        <v>20</v>
      </c>
      <c r="L981" s="17"/>
      <c r="M981" s="23"/>
    </row>
    <row r="982" spans="1:20" x14ac:dyDescent="0.25">
      <c r="A982" s="10">
        <v>46083</v>
      </c>
      <c r="B982" s="2" t="s">
        <v>1911</v>
      </c>
      <c r="C982" s="2" t="s">
        <v>1912</v>
      </c>
      <c r="D982" s="2" t="s">
        <v>1900</v>
      </c>
      <c r="E982" s="3" t="s">
        <v>114</v>
      </c>
      <c r="G982" s="4" t="s">
        <v>48</v>
      </c>
      <c r="H982" s="22" t="s">
        <v>81</v>
      </c>
      <c r="I982" s="22"/>
      <c r="J982" s="22">
        <f>I980+I981</f>
        <v>15420</v>
      </c>
      <c r="K982" s="22">
        <f t="shared" si="13"/>
        <v>15420</v>
      </c>
      <c r="L982" s="17"/>
      <c r="M982" s="23"/>
    </row>
    <row r="983" spans="1:20" ht="24" x14ac:dyDescent="0.25">
      <c r="A983" s="10">
        <v>46084</v>
      </c>
      <c r="B983" s="2" t="s">
        <v>1914</v>
      </c>
      <c r="C983" s="2" t="s">
        <v>1915</v>
      </c>
      <c r="D983" s="2" t="s">
        <v>709</v>
      </c>
      <c r="E983" s="3" t="s">
        <v>710</v>
      </c>
      <c r="F983" s="4">
        <f>(220979.5/1.12)+(220979.5/1.12*0.12)-(220979.5/1.12*0.01)</f>
        <v>219006.46874999997</v>
      </c>
      <c r="G983" s="4" t="s">
        <v>128</v>
      </c>
      <c r="H983" s="22" t="s">
        <v>1916</v>
      </c>
      <c r="I983" s="22">
        <f>220979.5/1.12</f>
        <v>197303.12499999997</v>
      </c>
      <c r="J983" s="22"/>
      <c r="K983" s="22">
        <f t="shared" si="13"/>
        <v>197303.12499999997</v>
      </c>
      <c r="L983" s="17">
        <v>219006.47</v>
      </c>
      <c r="M983" s="23" t="s">
        <v>41</v>
      </c>
      <c r="N983" s="1" t="s">
        <v>1917</v>
      </c>
      <c r="O983" s="7" t="s">
        <v>116</v>
      </c>
      <c r="Q983" s="7">
        <v>2000000024</v>
      </c>
      <c r="R983" s="7" t="s">
        <v>1889</v>
      </c>
      <c r="S983" s="3" t="s">
        <v>1718</v>
      </c>
      <c r="T983" s="3" t="s">
        <v>1719</v>
      </c>
    </row>
    <row r="984" spans="1:20" x14ac:dyDescent="0.25">
      <c r="A984" s="10">
        <v>46084</v>
      </c>
      <c r="B984" s="2" t="s">
        <v>1914</v>
      </c>
      <c r="C984" s="2" t="s">
        <v>1915</v>
      </c>
      <c r="D984" s="2" t="s">
        <v>709</v>
      </c>
      <c r="E984" s="3" t="s">
        <v>710</v>
      </c>
      <c r="G984" s="4" t="s">
        <v>128</v>
      </c>
      <c r="H984" s="22" t="s">
        <v>104</v>
      </c>
      <c r="I984" s="22">
        <f>I983*0.12</f>
        <v>23676.374999999996</v>
      </c>
      <c r="J984" s="22"/>
      <c r="K984" s="22">
        <f t="shared" si="13"/>
        <v>23676.374999999996</v>
      </c>
      <c r="L984" s="17"/>
    </row>
    <row r="985" spans="1:20" x14ac:dyDescent="0.25">
      <c r="A985" s="10">
        <v>46084</v>
      </c>
      <c r="B985" s="2" t="s">
        <v>1914</v>
      </c>
      <c r="C985" s="2" t="s">
        <v>1915</v>
      </c>
      <c r="D985" s="2" t="s">
        <v>709</v>
      </c>
      <c r="E985" s="3" t="s">
        <v>710</v>
      </c>
      <c r="G985" s="4" t="s">
        <v>128</v>
      </c>
      <c r="H985" s="22" t="s">
        <v>105</v>
      </c>
      <c r="I985" s="22"/>
      <c r="J985" s="22">
        <f>I983*0.01</f>
        <v>1973.0312499999998</v>
      </c>
      <c r="K985" s="22">
        <f t="shared" si="13"/>
        <v>1973.0312499999998</v>
      </c>
      <c r="L985" s="17"/>
    </row>
    <row r="986" spans="1:20" x14ac:dyDescent="0.25">
      <c r="A986" s="10">
        <v>46084</v>
      </c>
      <c r="B986" s="2" t="s">
        <v>1914</v>
      </c>
      <c r="C986" s="2" t="s">
        <v>1915</v>
      </c>
      <c r="D986" s="2" t="s">
        <v>709</v>
      </c>
      <c r="E986" s="3" t="s">
        <v>710</v>
      </c>
      <c r="G986" s="4" t="s">
        <v>48</v>
      </c>
      <c r="H986" s="22" t="s">
        <v>81</v>
      </c>
      <c r="I986" s="22"/>
      <c r="J986" s="22">
        <f>I983+I984-J985</f>
        <v>219006.46874999997</v>
      </c>
      <c r="K986" s="22">
        <f t="shared" si="13"/>
        <v>219006.46874999997</v>
      </c>
      <c r="L986" s="17"/>
    </row>
    <row r="987" spans="1:20" x14ac:dyDescent="0.25">
      <c r="A987" s="10">
        <v>46084</v>
      </c>
      <c r="B987" s="2" t="s">
        <v>1918</v>
      </c>
      <c r="C987" s="2" t="s">
        <v>1919</v>
      </c>
      <c r="D987" s="2" t="s">
        <v>1920</v>
      </c>
      <c r="E987" s="3" t="s">
        <v>710</v>
      </c>
      <c r="F987" s="4">
        <f>(4900/1.12)+(4900/1.12*0.12)-(4900/1.12*0.01)</f>
        <v>4856.25</v>
      </c>
      <c r="G987" s="4" t="s">
        <v>128</v>
      </c>
      <c r="H987" s="22" t="s">
        <v>1916</v>
      </c>
      <c r="I987" s="22">
        <f>4900/1.12</f>
        <v>4375</v>
      </c>
      <c r="J987" s="22"/>
      <c r="K987" s="22">
        <f t="shared" si="13"/>
        <v>4375</v>
      </c>
      <c r="L987" s="17">
        <v>4856.25</v>
      </c>
      <c r="M987" s="23" t="s">
        <v>41</v>
      </c>
      <c r="N987" s="1" t="s">
        <v>1921</v>
      </c>
      <c r="O987" s="7" t="s">
        <v>116</v>
      </c>
      <c r="Q987" s="7">
        <v>2000000024</v>
      </c>
      <c r="R987" s="7" t="s">
        <v>1889</v>
      </c>
      <c r="S987" s="3" t="s">
        <v>1718</v>
      </c>
      <c r="T987" s="3" t="s">
        <v>1719</v>
      </c>
    </row>
    <row r="988" spans="1:20" x14ac:dyDescent="0.25">
      <c r="A988" s="10">
        <v>46084</v>
      </c>
      <c r="B988" s="2" t="s">
        <v>1918</v>
      </c>
      <c r="C988" s="2" t="s">
        <v>1919</v>
      </c>
      <c r="D988" s="2" t="s">
        <v>1920</v>
      </c>
      <c r="E988" s="3" t="s">
        <v>710</v>
      </c>
      <c r="G988" s="4" t="s">
        <v>128</v>
      </c>
      <c r="H988" s="22" t="s">
        <v>104</v>
      </c>
      <c r="I988" s="22">
        <f>I987*0.12</f>
        <v>525</v>
      </c>
      <c r="J988" s="22"/>
      <c r="K988" s="22">
        <f t="shared" si="13"/>
        <v>525</v>
      </c>
      <c r="L988" s="17"/>
    </row>
    <row r="989" spans="1:20" x14ac:dyDescent="0.25">
      <c r="A989" s="10">
        <v>46084</v>
      </c>
      <c r="B989" s="2" t="s">
        <v>1918</v>
      </c>
      <c r="C989" s="2" t="s">
        <v>1919</v>
      </c>
      <c r="D989" s="2" t="s">
        <v>1920</v>
      </c>
      <c r="E989" s="3" t="s">
        <v>710</v>
      </c>
      <c r="G989" s="4" t="s">
        <v>128</v>
      </c>
      <c r="H989" s="22" t="s">
        <v>105</v>
      </c>
      <c r="I989" s="22"/>
      <c r="J989" s="22">
        <f>I987*0.01</f>
        <v>43.75</v>
      </c>
      <c r="K989" s="22">
        <f t="shared" si="13"/>
        <v>43.75</v>
      </c>
      <c r="L989" s="17"/>
    </row>
    <row r="990" spans="1:20" x14ac:dyDescent="0.25">
      <c r="A990" s="10">
        <v>46084</v>
      </c>
      <c r="B990" s="2" t="s">
        <v>1918</v>
      </c>
      <c r="C990" s="2" t="s">
        <v>1919</v>
      </c>
      <c r="D990" s="2" t="s">
        <v>1920</v>
      </c>
      <c r="E990" s="3" t="s">
        <v>710</v>
      </c>
      <c r="G990" s="4" t="s">
        <v>48</v>
      </c>
      <c r="H990" s="22" t="s">
        <v>81</v>
      </c>
      <c r="I990" s="22"/>
      <c r="J990" s="22">
        <f>I987+I988-J989</f>
        <v>4856.25</v>
      </c>
      <c r="K990" s="22">
        <f t="shared" si="13"/>
        <v>4856.25</v>
      </c>
      <c r="L990" s="17"/>
    </row>
    <row r="991" spans="1:20" ht="24" x14ac:dyDescent="0.25">
      <c r="A991" s="10">
        <v>46084</v>
      </c>
      <c r="B991" s="2" t="s">
        <v>1922</v>
      </c>
      <c r="C991" s="2" t="s">
        <v>1923</v>
      </c>
      <c r="D991" s="2" t="s">
        <v>709</v>
      </c>
      <c r="E991" s="3" t="s">
        <v>710</v>
      </c>
      <c r="F991" s="4">
        <f>(262720.5/1.12)+(262720.5/1.12*0.12)-(262720.5/1.12*0.01)</f>
        <v>260374.78124999994</v>
      </c>
      <c r="G991" s="4" t="s">
        <v>128</v>
      </c>
      <c r="H991" s="22" t="s">
        <v>1916</v>
      </c>
      <c r="I991" s="22">
        <f>262720.5/1.12</f>
        <v>234571.87499999997</v>
      </c>
      <c r="J991" s="22"/>
      <c r="K991" s="22">
        <f t="shared" si="13"/>
        <v>234571.87499999997</v>
      </c>
      <c r="L991" s="17">
        <v>260374.78</v>
      </c>
      <c r="M991" s="23" t="s">
        <v>41</v>
      </c>
      <c r="N991" s="1" t="s">
        <v>1924</v>
      </c>
      <c r="O991" s="24" t="s">
        <v>712</v>
      </c>
      <c r="P991" s="24"/>
      <c r="T991" s="3" t="s">
        <v>1925</v>
      </c>
    </row>
    <row r="992" spans="1:20" x14ac:dyDescent="0.25">
      <c r="A992" s="10">
        <v>46084</v>
      </c>
      <c r="B992" s="2" t="s">
        <v>1922</v>
      </c>
      <c r="C992" s="2" t="s">
        <v>1923</v>
      </c>
      <c r="D992" s="2" t="s">
        <v>709</v>
      </c>
      <c r="E992" s="3" t="s">
        <v>710</v>
      </c>
      <c r="G992" s="4" t="s">
        <v>128</v>
      </c>
      <c r="H992" s="22" t="s">
        <v>104</v>
      </c>
      <c r="I992" s="22">
        <f>I991*0.12</f>
        <v>28148.624999999996</v>
      </c>
      <c r="J992" s="22"/>
      <c r="K992" s="22">
        <f>ABS(I992-J992)</f>
        <v>28148.624999999996</v>
      </c>
      <c r="L992" s="17"/>
      <c r="O992" s="24"/>
      <c r="P992" s="24"/>
    </row>
    <row r="993" spans="1:20" x14ac:dyDescent="0.25">
      <c r="A993" s="10">
        <v>46084</v>
      </c>
      <c r="B993" s="2" t="s">
        <v>1922</v>
      </c>
      <c r="C993" s="2" t="s">
        <v>1923</v>
      </c>
      <c r="D993" s="2" t="s">
        <v>709</v>
      </c>
      <c r="E993" s="3" t="s">
        <v>710</v>
      </c>
      <c r="G993" s="4" t="s">
        <v>128</v>
      </c>
      <c r="H993" s="22" t="s">
        <v>105</v>
      </c>
      <c r="I993" s="22"/>
      <c r="J993" s="22">
        <f>I991*0.01</f>
        <v>2345.7187499999995</v>
      </c>
      <c r="K993" s="22">
        <f>ABS(I993-J993)</f>
        <v>2345.7187499999995</v>
      </c>
      <c r="L993" s="17"/>
      <c r="O993" s="24"/>
      <c r="P993" s="24"/>
    </row>
    <row r="994" spans="1:20" x14ac:dyDescent="0.25">
      <c r="A994" s="10">
        <v>46084</v>
      </c>
      <c r="B994" s="2" t="s">
        <v>1922</v>
      </c>
      <c r="C994" s="2" t="s">
        <v>1923</v>
      </c>
      <c r="D994" s="2" t="s">
        <v>709</v>
      </c>
      <c r="E994" s="3" t="s">
        <v>710</v>
      </c>
      <c r="G994" s="4" t="s">
        <v>48</v>
      </c>
      <c r="H994" s="22" t="s">
        <v>81</v>
      </c>
      <c r="I994" s="22"/>
      <c r="J994" s="22">
        <f>I991+I992-J993</f>
        <v>260374.78124999994</v>
      </c>
      <c r="K994" s="22">
        <f>ABS(I994-J994)</f>
        <v>260374.78124999994</v>
      </c>
      <c r="L994" s="17"/>
      <c r="O994" s="24"/>
      <c r="P994" s="24"/>
    </row>
    <row r="995" spans="1:20" ht="24" x14ac:dyDescent="0.25">
      <c r="A995" s="10">
        <v>46084</v>
      </c>
      <c r="B995" s="2" t="s">
        <v>1926</v>
      </c>
      <c r="C995" s="2" t="s">
        <v>1927</v>
      </c>
      <c r="E995" s="3" t="s">
        <v>833</v>
      </c>
      <c r="F995" s="4">
        <v>2114</v>
      </c>
      <c r="G995" s="4" t="s">
        <v>128</v>
      </c>
      <c r="H995" s="22" t="s">
        <v>834</v>
      </c>
      <c r="I995" s="22">
        <v>2114</v>
      </c>
      <c r="J995" s="22"/>
      <c r="K995" s="22">
        <f t="shared" si="13"/>
        <v>2114</v>
      </c>
      <c r="L995" s="17">
        <v>2114</v>
      </c>
      <c r="M995" s="23" t="s">
        <v>41</v>
      </c>
      <c r="N995" s="1" t="s">
        <v>1928</v>
      </c>
      <c r="O995" s="7" t="s">
        <v>1399</v>
      </c>
      <c r="P995" s="7" t="s">
        <v>81</v>
      </c>
      <c r="R995" s="7" t="s">
        <v>1703</v>
      </c>
      <c r="S995" s="3" t="s">
        <v>83</v>
      </c>
      <c r="T995" s="3" t="s">
        <v>1233</v>
      </c>
    </row>
    <row r="996" spans="1:20" x14ac:dyDescent="0.25">
      <c r="A996" s="10">
        <v>46084</v>
      </c>
      <c r="B996" s="2" t="s">
        <v>1926</v>
      </c>
      <c r="C996" s="2" t="s">
        <v>1927</v>
      </c>
      <c r="E996" s="3" t="s">
        <v>833</v>
      </c>
      <c r="G996" s="4" t="s">
        <v>48</v>
      </c>
      <c r="H996" s="22" t="s">
        <v>49</v>
      </c>
      <c r="I996" s="22"/>
      <c r="J996" s="22">
        <f>I995</f>
        <v>2114</v>
      </c>
      <c r="K996" s="22">
        <f t="shared" si="13"/>
        <v>2114</v>
      </c>
      <c r="L996" s="17"/>
    </row>
    <row r="997" spans="1:20" ht="24" x14ac:dyDescent="0.25">
      <c r="A997" s="10">
        <v>46084</v>
      </c>
      <c r="B997" s="2" t="s">
        <v>1929</v>
      </c>
      <c r="C997" s="2" t="s">
        <v>997</v>
      </c>
      <c r="D997" s="2" t="s">
        <v>1930</v>
      </c>
      <c r="E997" s="3" t="s">
        <v>833</v>
      </c>
      <c r="F997" s="4">
        <v>2054.7199999999998</v>
      </c>
      <c r="G997" s="4" t="s">
        <v>265</v>
      </c>
      <c r="H997" s="22" t="s">
        <v>834</v>
      </c>
      <c r="I997" s="22">
        <v>2054.7199999999998</v>
      </c>
      <c r="J997" s="22"/>
      <c r="K997" s="22">
        <f t="shared" si="13"/>
        <v>2054.7199999999998</v>
      </c>
      <c r="L997" s="17">
        <v>2054.7199999999998</v>
      </c>
      <c r="M997" s="23" t="s">
        <v>41</v>
      </c>
      <c r="N997" s="1" t="s">
        <v>1931</v>
      </c>
      <c r="O997" s="7" t="s">
        <v>1399</v>
      </c>
      <c r="P997" s="7" t="s">
        <v>81</v>
      </c>
      <c r="R997" s="7" t="s">
        <v>1703</v>
      </c>
      <c r="S997" s="3" t="s">
        <v>83</v>
      </c>
      <c r="T997" s="3" t="s">
        <v>1233</v>
      </c>
    </row>
    <row r="998" spans="1:20" x14ac:dyDescent="0.25">
      <c r="A998" s="10">
        <v>46084</v>
      </c>
      <c r="B998" s="2" t="s">
        <v>1929</v>
      </c>
      <c r="C998" s="2" t="s">
        <v>997</v>
      </c>
      <c r="D998" s="2" t="s">
        <v>1930</v>
      </c>
      <c r="E998" s="3" t="s">
        <v>833</v>
      </c>
      <c r="G998" s="4" t="s">
        <v>48</v>
      </c>
      <c r="H998" s="22" t="s">
        <v>49</v>
      </c>
      <c r="I998" s="22"/>
      <c r="J998" s="22">
        <f>I997</f>
        <v>2054.7199999999998</v>
      </c>
      <c r="K998" s="22">
        <f t="shared" si="13"/>
        <v>2054.7199999999998</v>
      </c>
      <c r="L998" s="17"/>
    </row>
    <row r="999" spans="1:20" ht="24" x14ac:dyDescent="0.25">
      <c r="A999" s="10">
        <v>46084</v>
      </c>
      <c r="B999" s="2" t="s">
        <v>1932</v>
      </c>
      <c r="C999" s="2" t="s">
        <v>1138</v>
      </c>
      <c r="D999" s="2" t="s">
        <v>1933</v>
      </c>
      <c r="E999" s="3" t="s">
        <v>833</v>
      </c>
      <c r="F999" s="4">
        <v>1359.88</v>
      </c>
      <c r="G999" s="4" t="s">
        <v>1140</v>
      </c>
      <c r="H999" s="22" t="s">
        <v>834</v>
      </c>
      <c r="I999" s="22">
        <v>1359.88</v>
      </c>
      <c r="J999" s="22"/>
      <c r="K999" s="22">
        <f>ABS(I999-J999)</f>
        <v>1359.88</v>
      </c>
      <c r="L999" s="17">
        <v>1359.88</v>
      </c>
      <c r="M999" s="23" t="s">
        <v>41</v>
      </c>
      <c r="N999" s="1" t="s">
        <v>1934</v>
      </c>
      <c r="O999" s="7" t="s">
        <v>1399</v>
      </c>
      <c r="P999" s="7" t="s">
        <v>81</v>
      </c>
      <c r="R999" s="7" t="s">
        <v>1703</v>
      </c>
      <c r="S999" s="3" t="s">
        <v>83</v>
      </c>
      <c r="T999" s="3" t="s">
        <v>1233</v>
      </c>
    </row>
    <row r="1000" spans="1:20" x14ac:dyDescent="0.25">
      <c r="A1000" s="10">
        <v>46084</v>
      </c>
      <c r="B1000" s="2" t="s">
        <v>1932</v>
      </c>
      <c r="C1000" s="2" t="s">
        <v>1138</v>
      </c>
      <c r="D1000" s="2" t="s">
        <v>1933</v>
      </c>
      <c r="E1000" s="3" t="s">
        <v>833</v>
      </c>
      <c r="G1000" s="4" t="s">
        <v>48</v>
      </c>
      <c r="H1000" s="22" t="s">
        <v>49</v>
      </c>
      <c r="I1000" s="22"/>
      <c r="J1000" s="22">
        <f>I999</f>
        <v>1359.88</v>
      </c>
      <c r="K1000" s="22">
        <f>ABS(I1000-J1000)</f>
        <v>1359.88</v>
      </c>
      <c r="L1000" s="32"/>
    </row>
    <row r="1001" spans="1:20" ht="24" x14ac:dyDescent="0.25">
      <c r="A1001" s="10">
        <v>46084</v>
      </c>
      <c r="B1001" s="2" t="s">
        <v>1935</v>
      </c>
      <c r="C1001" s="2" t="s">
        <v>1936</v>
      </c>
      <c r="D1001" s="2" t="s">
        <v>1937</v>
      </c>
      <c r="E1001" s="3" t="s">
        <v>109</v>
      </c>
      <c r="F1001" s="4">
        <v>2781</v>
      </c>
      <c r="G1001" s="4" t="s">
        <v>128</v>
      </c>
      <c r="H1001" s="22" t="s">
        <v>1916</v>
      </c>
      <c r="I1001" s="22">
        <v>2781</v>
      </c>
      <c r="J1001" s="22"/>
      <c r="K1001" s="22">
        <f>ABS(I1001-J1001)</f>
        <v>2781</v>
      </c>
      <c r="L1001" s="17">
        <v>2781</v>
      </c>
      <c r="M1001" s="23" t="s">
        <v>41</v>
      </c>
      <c r="N1001" s="1" t="s">
        <v>1938</v>
      </c>
    </row>
    <row r="1002" spans="1:20" x14ac:dyDescent="0.25">
      <c r="A1002" s="10">
        <v>46084</v>
      </c>
      <c r="B1002" s="2" t="s">
        <v>1935</v>
      </c>
      <c r="C1002" s="2" t="s">
        <v>1936</v>
      </c>
      <c r="D1002" s="2" t="s">
        <v>1937</v>
      </c>
      <c r="E1002" s="3" t="s">
        <v>109</v>
      </c>
      <c r="G1002" s="4" t="s">
        <v>48</v>
      </c>
      <c r="H1002" s="22" t="s">
        <v>49</v>
      </c>
      <c r="I1002" s="22"/>
      <c r="J1002" s="22">
        <f>I1001</f>
        <v>2781</v>
      </c>
      <c r="K1002" s="22">
        <f>ABS(I1002-J1002)</f>
        <v>2781</v>
      </c>
      <c r="L1002" s="17"/>
    </row>
    <row r="1003" spans="1:20" ht="24" x14ac:dyDescent="0.25">
      <c r="A1003" s="10">
        <v>46084</v>
      </c>
      <c r="B1003" s="2" t="s">
        <v>1939</v>
      </c>
      <c r="C1003" s="2" t="s">
        <v>1940</v>
      </c>
      <c r="D1003" s="2" t="s">
        <v>1941</v>
      </c>
      <c r="E1003" s="3" t="s">
        <v>548</v>
      </c>
      <c r="F1003" s="4">
        <f>(18350/1.12)+(18350/1.12*0.12)-(18350/1.12*0.01)</f>
        <v>18186.160714285714</v>
      </c>
      <c r="G1003" s="4" t="s">
        <v>128</v>
      </c>
      <c r="H1003" s="22" t="s">
        <v>1916</v>
      </c>
      <c r="I1003" s="22">
        <f>18350/1.12</f>
        <v>16383.928571428571</v>
      </c>
      <c r="J1003" s="22"/>
      <c r="K1003" s="22">
        <f t="shared" si="13"/>
        <v>16383.928571428571</v>
      </c>
      <c r="L1003" s="17">
        <v>18186.16</v>
      </c>
      <c r="M1003" s="23" t="s">
        <v>41</v>
      </c>
      <c r="N1003" s="1" t="s">
        <v>1942</v>
      </c>
    </row>
    <row r="1004" spans="1:20" x14ac:dyDescent="0.25">
      <c r="A1004" s="10">
        <v>46084</v>
      </c>
      <c r="B1004" s="2" t="s">
        <v>1939</v>
      </c>
      <c r="C1004" s="2" t="s">
        <v>1940</v>
      </c>
      <c r="D1004" s="2" t="s">
        <v>1941</v>
      </c>
      <c r="E1004" s="3" t="s">
        <v>548</v>
      </c>
      <c r="G1004" s="4" t="s">
        <v>128</v>
      </c>
      <c r="H1004" s="22" t="s">
        <v>104</v>
      </c>
      <c r="I1004" s="22">
        <f>I1003*0.12</f>
        <v>1966.0714285714284</v>
      </c>
      <c r="J1004" s="22"/>
      <c r="K1004" s="22">
        <f t="shared" si="13"/>
        <v>1966.0714285714284</v>
      </c>
      <c r="L1004" s="17"/>
    </row>
    <row r="1005" spans="1:20" x14ac:dyDescent="0.25">
      <c r="A1005" s="10">
        <v>46084</v>
      </c>
      <c r="B1005" s="2" t="s">
        <v>1939</v>
      </c>
      <c r="C1005" s="2" t="s">
        <v>1940</v>
      </c>
      <c r="D1005" s="2" t="s">
        <v>1941</v>
      </c>
      <c r="E1005" s="3" t="s">
        <v>548</v>
      </c>
      <c r="G1005" s="4" t="s">
        <v>128</v>
      </c>
      <c r="H1005" s="22" t="s">
        <v>105</v>
      </c>
      <c r="I1005" s="22"/>
      <c r="J1005" s="22">
        <f>I1003*0.01</f>
        <v>163.83928571428572</v>
      </c>
      <c r="K1005" s="22">
        <f t="shared" si="13"/>
        <v>163.83928571428572</v>
      </c>
      <c r="L1005" s="17"/>
    </row>
    <row r="1006" spans="1:20" x14ac:dyDescent="0.25">
      <c r="A1006" s="10">
        <v>46084</v>
      </c>
      <c r="B1006" s="2" t="s">
        <v>1939</v>
      </c>
      <c r="C1006" s="2" t="s">
        <v>1940</v>
      </c>
      <c r="D1006" s="2" t="s">
        <v>1941</v>
      </c>
      <c r="E1006" s="3" t="s">
        <v>548</v>
      </c>
      <c r="G1006" s="4" t="s">
        <v>48</v>
      </c>
      <c r="H1006" s="22" t="s">
        <v>49</v>
      </c>
      <c r="I1006" s="22"/>
      <c r="J1006" s="22">
        <f>I1003+I1004-J1005</f>
        <v>18186.160714285714</v>
      </c>
      <c r="K1006" s="22">
        <f t="shared" si="13"/>
        <v>18186.160714285714</v>
      </c>
      <c r="L1006" s="17"/>
    </row>
    <row r="1007" spans="1:20" ht="24" x14ac:dyDescent="0.25">
      <c r="A1007" s="10">
        <v>46084</v>
      </c>
      <c r="B1007" s="2" t="s">
        <v>1943</v>
      </c>
      <c r="C1007" s="2" t="s">
        <v>95</v>
      </c>
      <c r="D1007" s="2" t="s">
        <v>1944</v>
      </c>
      <c r="E1007" s="3" t="s">
        <v>1891</v>
      </c>
      <c r="F1007" s="4">
        <v>30000</v>
      </c>
      <c r="G1007" s="4" t="s">
        <v>48</v>
      </c>
      <c r="H1007" s="22" t="s">
        <v>1945</v>
      </c>
      <c r="I1007" s="22">
        <v>30000</v>
      </c>
      <c r="J1007" s="22"/>
      <c r="K1007" s="22">
        <f t="shared" si="13"/>
        <v>30000</v>
      </c>
      <c r="L1007" s="17"/>
      <c r="M1007" s="6" t="s">
        <v>581</v>
      </c>
      <c r="N1007" s="1" t="s">
        <v>1946</v>
      </c>
    </row>
    <row r="1008" spans="1:20" x14ac:dyDescent="0.25">
      <c r="A1008" s="10">
        <v>46084</v>
      </c>
      <c r="B1008" s="2" t="s">
        <v>1943</v>
      </c>
      <c r="C1008" s="2" t="s">
        <v>95</v>
      </c>
      <c r="D1008" s="2" t="s">
        <v>1944</v>
      </c>
      <c r="E1008" s="3" t="s">
        <v>1891</v>
      </c>
      <c r="G1008" s="4" t="s">
        <v>48</v>
      </c>
      <c r="H1008" s="22" t="s">
        <v>49</v>
      </c>
      <c r="I1008" s="22"/>
      <c r="J1008" s="22">
        <f>I1007</f>
        <v>30000</v>
      </c>
      <c r="K1008" s="22">
        <f t="shared" si="13"/>
        <v>30000</v>
      </c>
      <c r="L1008" s="17"/>
    </row>
    <row r="1009" spans="1:20" x14ac:dyDescent="0.25">
      <c r="A1009" s="10">
        <v>46084</v>
      </c>
      <c r="B1009" s="2" t="s">
        <v>1947</v>
      </c>
      <c r="C1009" s="2" t="s">
        <v>134</v>
      </c>
      <c r="D1009" s="2" t="s">
        <v>1948</v>
      </c>
      <c r="E1009" s="3" t="s">
        <v>293</v>
      </c>
      <c r="F1009" s="4">
        <v>45000</v>
      </c>
      <c r="G1009" s="4" t="s">
        <v>48</v>
      </c>
      <c r="H1009" s="22" t="s">
        <v>137</v>
      </c>
      <c r="I1009" s="22">
        <v>45000</v>
      </c>
      <c r="J1009" s="22"/>
      <c r="K1009" s="22">
        <f t="shared" si="13"/>
        <v>45000</v>
      </c>
      <c r="L1009" s="17"/>
      <c r="M1009" s="6" t="s">
        <v>581</v>
      </c>
      <c r="N1009" s="1" t="s">
        <v>1949</v>
      </c>
      <c r="O1009" s="7" t="s">
        <v>1950</v>
      </c>
    </row>
    <row r="1010" spans="1:20" x14ac:dyDescent="0.25">
      <c r="A1010" s="10">
        <v>46084</v>
      </c>
      <c r="B1010" s="2" t="s">
        <v>1947</v>
      </c>
      <c r="C1010" s="2" t="s">
        <v>134</v>
      </c>
      <c r="D1010" s="2" t="s">
        <v>1948</v>
      </c>
      <c r="E1010" s="3" t="s">
        <v>293</v>
      </c>
      <c r="G1010" s="4" t="s">
        <v>48</v>
      </c>
      <c r="H1010" s="22" t="s">
        <v>49</v>
      </c>
      <c r="I1010" s="22"/>
      <c r="J1010" s="22">
        <f>I1009</f>
        <v>45000</v>
      </c>
      <c r="K1010" s="22">
        <f t="shared" si="13"/>
        <v>45000</v>
      </c>
      <c r="L1010" s="17"/>
    </row>
    <row r="1011" spans="1:20" ht="24" x14ac:dyDescent="0.25">
      <c r="A1011" s="10">
        <v>46084</v>
      </c>
      <c r="B1011" s="2" t="s">
        <v>1951</v>
      </c>
      <c r="C1011" s="2" t="s">
        <v>470</v>
      </c>
      <c r="D1011" s="2" t="s">
        <v>1952</v>
      </c>
      <c r="E1011" s="3" t="s">
        <v>261</v>
      </c>
      <c r="F1011" s="4">
        <v>4675.3900000000003</v>
      </c>
      <c r="G1011" s="4" t="s">
        <v>48</v>
      </c>
      <c r="H1011" s="22" t="s">
        <v>1953</v>
      </c>
      <c r="I1011" s="22">
        <v>32.159999999999997</v>
      </c>
      <c r="J1011" s="22"/>
      <c r="K1011" s="22">
        <f t="shared" si="13"/>
        <v>32.159999999999997</v>
      </c>
      <c r="L1011" s="17">
        <v>4700</v>
      </c>
      <c r="M1011" s="23" t="s">
        <v>41</v>
      </c>
      <c r="N1011" s="1" t="s">
        <v>1954</v>
      </c>
      <c r="O1011" s="7" t="s">
        <v>1955</v>
      </c>
      <c r="P1011" s="7" t="s">
        <v>81</v>
      </c>
      <c r="R1011" s="7" t="s">
        <v>1956</v>
      </c>
      <c r="S1011" s="3" t="s">
        <v>1957</v>
      </c>
      <c r="T1011" s="3" t="s">
        <v>1618</v>
      </c>
    </row>
    <row r="1012" spans="1:20" x14ac:dyDescent="0.25">
      <c r="A1012" s="10">
        <v>46084</v>
      </c>
      <c r="B1012" s="2" t="s">
        <v>1951</v>
      </c>
      <c r="C1012" s="2" t="s">
        <v>470</v>
      </c>
      <c r="D1012" s="2" t="s">
        <v>1952</v>
      </c>
      <c r="E1012" s="3" t="s">
        <v>261</v>
      </c>
      <c r="G1012" s="4" t="s">
        <v>48</v>
      </c>
      <c r="H1012" s="22" t="s">
        <v>786</v>
      </c>
      <c r="I1012" s="22">
        <v>499.67</v>
      </c>
      <c r="J1012" s="22"/>
      <c r="K1012" s="22">
        <f t="shared" si="13"/>
        <v>499.67</v>
      </c>
      <c r="L1012" s="17"/>
    </row>
    <row r="1013" spans="1:20" x14ac:dyDescent="0.25">
      <c r="A1013" s="10">
        <v>46084</v>
      </c>
      <c r="B1013" s="2" t="s">
        <v>1951</v>
      </c>
      <c r="C1013" s="2" t="s">
        <v>470</v>
      </c>
      <c r="D1013" s="2" t="s">
        <v>1952</v>
      </c>
      <c r="E1013" s="3" t="s">
        <v>261</v>
      </c>
      <c r="G1013" s="4" t="s">
        <v>48</v>
      </c>
      <c r="H1013" s="22" t="s">
        <v>899</v>
      </c>
      <c r="I1013" s="22">
        <v>1607.14</v>
      </c>
      <c r="J1013" s="22"/>
      <c r="K1013" s="22">
        <f t="shared" si="13"/>
        <v>1607.14</v>
      </c>
      <c r="L1013" s="17"/>
    </row>
    <row r="1014" spans="1:20" x14ac:dyDescent="0.25">
      <c r="A1014" s="10">
        <v>46084</v>
      </c>
      <c r="B1014" s="2" t="s">
        <v>1951</v>
      </c>
      <c r="C1014" s="2" t="s">
        <v>470</v>
      </c>
      <c r="D1014" s="2" t="s">
        <v>1952</v>
      </c>
      <c r="E1014" s="3" t="s">
        <v>261</v>
      </c>
      <c r="G1014" s="4" t="s">
        <v>48</v>
      </c>
      <c r="H1014" s="22" t="s">
        <v>1958</v>
      </c>
      <c r="I1014" s="22">
        <v>800</v>
      </c>
      <c r="J1014" s="22"/>
      <c r="K1014" s="22">
        <f t="shared" si="13"/>
        <v>800</v>
      </c>
      <c r="L1014" s="17"/>
    </row>
    <row r="1015" spans="1:20" x14ac:dyDescent="0.25">
      <c r="A1015" s="10">
        <v>46084</v>
      </c>
      <c r="B1015" s="2" t="s">
        <v>1951</v>
      </c>
      <c r="C1015" s="2" t="s">
        <v>470</v>
      </c>
      <c r="D1015" s="2" t="s">
        <v>1952</v>
      </c>
      <c r="E1015" s="3" t="s">
        <v>261</v>
      </c>
      <c r="G1015" s="4" t="s">
        <v>167</v>
      </c>
      <c r="H1015" s="22" t="s">
        <v>168</v>
      </c>
      <c r="I1015" s="22">
        <v>180</v>
      </c>
      <c r="J1015" s="22"/>
      <c r="K1015" s="22">
        <f t="shared" si="13"/>
        <v>180</v>
      </c>
      <c r="L1015" s="17"/>
    </row>
    <row r="1016" spans="1:20" x14ac:dyDescent="0.25">
      <c r="A1016" s="10">
        <v>46084</v>
      </c>
      <c r="B1016" s="2" t="s">
        <v>1951</v>
      </c>
      <c r="C1016" s="2" t="s">
        <v>470</v>
      </c>
      <c r="D1016" s="2" t="s">
        <v>1952</v>
      </c>
      <c r="E1016" s="3" t="s">
        <v>261</v>
      </c>
      <c r="G1016" s="4" t="s">
        <v>48</v>
      </c>
      <c r="H1016" s="22" t="s">
        <v>735</v>
      </c>
      <c r="I1016" s="22">
        <v>1300</v>
      </c>
      <c r="J1016" s="22"/>
      <c r="K1016" s="22">
        <f t="shared" si="13"/>
        <v>1300</v>
      </c>
      <c r="L1016" s="17"/>
    </row>
    <row r="1017" spans="1:20" x14ac:dyDescent="0.25">
      <c r="A1017" s="10">
        <v>46084</v>
      </c>
      <c r="B1017" s="2" t="s">
        <v>1951</v>
      </c>
      <c r="C1017" s="2" t="s">
        <v>470</v>
      </c>
      <c r="D1017" s="2" t="s">
        <v>1952</v>
      </c>
      <c r="E1017" s="3" t="s">
        <v>261</v>
      </c>
      <c r="G1017" s="4" t="s">
        <v>48</v>
      </c>
      <c r="H1017" s="22" t="s">
        <v>1187</v>
      </c>
      <c r="I1017" s="22">
        <v>256.42</v>
      </c>
      <c r="J1017" s="22"/>
      <c r="K1017" s="22">
        <f t="shared" si="13"/>
        <v>256.42</v>
      </c>
      <c r="L1017" s="17"/>
    </row>
    <row r="1018" spans="1:20" x14ac:dyDescent="0.25">
      <c r="A1018" s="10">
        <v>46084</v>
      </c>
      <c r="B1018" s="2" t="s">
        <v>1951</v>
      </c>
      <c r="C1018" s="2" t="s">
        <v>470</v>
      </c>
      <c r="D1018" s="2" t="s">
        <v>1952</v>
      </c>
      <c r="E1018" s="3" t="s">
        <v>261</v>
      </c>
      <c r="G1018" s="4" t="s">
        <v>48</v>
      </c>
      <c r="H1018" s="22" t="s">
        <v>49</v>
      </c>
      <c r="I1018" s="22"/>
      <c r="J1018" s="22">
        <f>SUM(I1011:I1017)</f>
        <v>4675.3900000000003</v>
      </c>
      <c r="K1018" s="22"/>
      <c r="L1018" s="17"/>
    </row>
    <row r="1019" spans="1:20" x14ac:dyDescent="0.25">
      <c r="A1019" s="10">
        <v>46084</v>
      </c>
      <c r="B1019" s="2" t="s">
        <v>1959</v>
      </c>
      <c r="C1019" s="2" t="s">
        <v>396</v>
      </c>
      <c r="D1019" s="2" t="s">
        <v>1960</v>
      </c>
      <c r="E1019" s="3" t="s">
        <v>467</v>
      </c>
      <c r="F1019" s="4">
        <f>4554.8</f>
        <v>4554.8</v>
      </c>
      <c r="G1019" s="4" t="s">
        <v>167</v>
      </c>
      <c r="H1019" s="22" t="s">
        <v>899</v>
      </c>
      <c r="I1019" s="22">
        <v>892.86</v>
      </c>
      <c r="J1019" s="22"/>
      <c r="K1019" s="22">
        <f t="shared" si="13"/>
        <v>892.86</v>
      </c>
      <c r="L1019" s="17">
        <v>4554.8</v>
      </c>
      <c r="M1019" s="23" t="s">
        <v>41</v>
      </c>
      <c r="N1019" s="1" t="s">
        <v>1961</v>
      </c>
      <c r="O1019" s="7" t="s">
        <v>177</v>
      </c>
      <c r="P1019" s="7" t="s">
        <v>81</v>
      </c>
      <c r="R1019" s="7" t="s">
        <v>1962</v>
      </c>
      <c r="S1019" s="3" t="s">
        <v>83</v>
      </c>
      <c r="T1019" s="3" t="s">
        <v>1963</v>
      </c>
    </row>
    <row r="1020" spans="1:20" x14ac:dyDescent="0.25">
      <c r="A1020" s="10">
        <v>46084</v>
      </c>
      <c r="B1020" s="2" t="s">
        <v>1959</v>
      </c>
      <c r="C1020" s="2" t="s">
        <v>396</v>
      </c>
      <c r="D1020" s="2" t="s">
        <v>1960</v>
      </c>
      <c r="E1020" s="3" t="s">
        <v>467</v>
      </c>
      <c r="G1020" s="4" t="s">
        <v>167</v>
      </c>
      <c r="H1020" s="22" t="s">
        <v>1186</v>
      </c>
      <c r="I1020" s="22">
        <v>3554.8</v>
      </c>
      <c r="J1020" s="22"/>
      <c r="K1020" s="22">
        <f t="shared" si="13"/>
        <v>3554.8</v>
      </c>
      <c r="L1020" s="17"/>
    </row>
    <row r="1021" spans="1:20" x14ac:dyDescent="0.25">
      <c r="A1021" s="10">
        <v>46084</v>
      </c>
      <c r="B1021" s="2" t="s">
        <v>1959</v>
      </c>
      <c r="C1021" s="2" t="s">
        <v>396</v>
      </c>
      <c r="D1021" s="2" t="s">
        <v>1960</v>
      </c>
      <c r="E1021" s="3" t="s">
        <v>467</v>
      </c>
      <c r="G1021" s="4" t="s">
        <v>167</v>
      </c>
      <c r="H1021" s="22" t="s">
        <v>1187</v>
      </c>
      <c r="I1021" s="22">
        <v>107.14</v>
      </c>
      <c r="J1021" s="22"/>
      <c r="K1021" s="22">
        <f t="shared" si="13"/>
        <v>107.14</v>
      </c>
      <c r="L1021" s="17"/>
    </row>
    <row r="1022" spans="1:20" x14ac:dyDescent="0.25">
      <c r="A1022" s="10">
        <v>46084</v>
      </c>
      <c r="B1022" s="2" t="s">
        <v>1959</v>
      </c>
      <c r="C1022" s="2" t="s">
        <v>396</v>
      </c>
      <c r="D1022" s="2" t="s">
        <v>1960</v>
      </c>
      <c r="E1022" s="3" t="s">
        <v>467</v>
      </c>
      <c r="G1022" s="4" t="s">
        <v>48</v>
      </c>
      <c r="H1022" s="22" t="s">
        <v>49</v>
      </c>
      <c r="I1022" s="22"/>
      <c r="J1022" s="22">
        <f>SUM(I1019:I1021)</f>
        <v>4554.8</v>
      </c>
      <c r="K1022" s="22"/>
      <c r="L1022" s="17"/>
    </row>
    <row r="1023" spans="1:20" ht="36" x14ac:dyDescent="0.25">
      <c r="A1023" s="10">
        <v>46085</v>
      </c>
      <c r="B1023" s="2" t="s">
        <v>1964</v>
      </c>
      <c r="C1023" s="2" t="s">
        <v>147</v>
      </c>
      <c r="D1023" s="2" t="s">
        <v>1965</v>
      </c>
      <c r="E1023" s="3" t="s">
        <v>614</v>
      </c>
      <c r="F1023" s="4">
        <v>5000</v>
      </c>
      <c r="G1023" s="4" t="s">
        <v>48</v>
      </c>
      <c r="H1023" s="22" t="s">
        <v>78</v>
      </c>
      <c r="I1023" s="22">
        <v>5000</v>
      </c>
      <c r="J1023" s="22"/>
      <c r="K1023" s="22">
        <f t="shared" si="13"/>
        <v>5000</v>
      </c>
      <c r="L1023" s="17"/>
      <c r="M1023" s="6" t="s">
        <v>99</v>
      </c>
      <c r="N1023" s="1" t="s">
        <v>1966</v>
      </c>
    </row>
    <row r="1024" spans="1:20" x14ac:dyDescent="0.25">
      <c r="A1024" s="10">
        <v>46085</v>
      </c>
      <c r="B1024" s="2" t="s">
        <v>1964</v>
      </c>
      <c r="C1024" s="2" t="s">
        <v>147</v>
      </c>
      <c r="D1024" s="2" t="s">
        <v>1965</v>
      </c>
      <c r="E1024" s="3" t="s">
        <v>614</v>
      </c>
      <c r="G1024" s="4" t="s">
        <v>48</v>
      </c>
      <c r="H1024" s="22" t="s">
        <v>49</v>
      </c>
      <c r="I1024" s="22"/>
      <c r="J1024" s="22">
        <f>I1023</f>
        <v>5000</v>
      </c>
      <c r="K1024" s="22"/>
      <c r="L1024" s="17"/>
    </row>
    <row r="1025" spans="1:23" x14ac:dyDescent="0.25">
      <c r="A1025" s="10">
        <v>46085</v>
      </c>
      <c r="B1025" s="2" t="s">
        <v>1967</v>
      </c>
      <c r="C1025" s="2" t="s">
        <v>95</v>
      </c>
      <c r="D1025" s="2" t="s">
        <v>1968</v>
      </c>
      <c r="E1025" s="3" t="s">
        <v>76</v>
      </c>
      <c r="F1025" s="4">
        <v>5100</v>
      </c>
      <c r="G1025" s="4" t="s">
        <v>128</v>
      </c>
      <c r="H1025" s="22" t="s">
        <v>78</v>
      </c>
      <c r="I1025" s="22">
        <v>5100</v>
      </c>
      <c r="J1025" s="22"/>
      <c r="K1025" s="22">
        <f t="shared" si="13"/>
        <v>5100</v>
      </c>
      <c r="L1025" s="17">
        <v>5100</v>
      </c>
      <c r="M1025" s="23" t="s">
        <v>41</v>
      </c>
      <c r="N1025" s="1" t="s">
        <v>1969</v>
      </c>
      <c r="O1025" s="28" t="s">
        <v>80</v>
      </c>
      <c r="P1025" s="28"/>
      <c r="Q1025" s="7" t="s">
        <v>81</v>
      </c>
      <c r="R1025" s="7" t="s">
        <v>1970</v>
      </c>
      <c r="S1025" s="3" t="s">
        <v>1087</v>
      </c>
      <c r="T1025" s="3" t="s">
        <v>1088</v>
      </c>
    </row>
    <row r="1026" spans="1:23" x14ac:dyDescent="0.25">
      <c r="A1026" s="10">
        <v>46085</v>
      </c>
      <c r="B1026" s="2" t="s">
        <v>1967</v>
      </c>
      <c r="C1026" s="2" t="s">
        <v>95</v>
      </c>
      <c r="D1026" s="2" t="s">
        <v>1968</v>
      </c>
      <c r="E1026" s="3" t="s">
        <v>76</v>
      </c>
      <c r="G1026" s="4" t="s">
        <v>48</v>
      </c>
      <c r="H1026" s="22" t="s">
        <v>49</v>
      </c>
      <c r="I1026" s="22"/>
      <c r="J1026" s="22">
        <f>I1025</f>
        <v>5100</v>
      </c>
      <c r="K1026" s="22"/>
      <c r="L1026" s="17"/>
    </row>
    <row r="1027" spans="1:23" x14ac:dyDescent="0.25">
      <c r="A1027" s="10">
        <v>46085</v>
      </c>
      <c r="B1027" s="2" t="s">
        <v>1971</v>
      </c>
      <c r="C1027" s="2" t="s">
        <v>1957</v>
      </c>
      <c r="D1027" s="2" t="s">
        <v>1972</v>
      </c>
      <c r="E1027" s="3" t="s">
        <v>27</v>
      </c>
      <c r="F1027" s="4">
        <v>30000</v>
      </c>
      <c r="G1027" s="3" t="s">
        <v>48</v>
      </c>
      <c r="H1027" s="34" t="s">
        <v>1973</v>
      </c>
      <c r="I1027" s="22">
        <v>30000</v>
      </c>
      <c r="J1027" s="34"/>
      <c r="K1027" s="22">
        <f t="shared" si="13"/>
        <v>30000</v>
      </c>
      <c r="L1027" s="17">
        <v>30000</v>
      </c>
      <c r="M1027" s="23" t="s">
        <v>41</v>
      </c>
      <c r="N1027" s="1" t="s">
        <v>1974</v>
      </c>
      <c r="O1027" s="7" t="s">
        <v>1957</v>
      </c>
      <c r="P1027" s="7" t="s">
        <v>81</v>
      </c>
      <c r="R1027" s="7" t="s">
        <v>1588</v>
      </c>
      <c r="S1027" s="3" t="s">
        <v>83</v>
      </c>
      <c r="T1027" s="3" t="s">
        <v>1975</v>
      </c>
    </row>
    <row r="1028" spans="1:23" x14ac:dyDescent="0.25">
      <c r="A1028" s="10">
        <v>46085</v>
      </c>
      <c r="B1028" s="2" t="s">
        <v>1971</v>
      </c>
      <c r="C1028" s="2" t="s">
        <v>1957</v>
      </c>
      <c r="D1028" s="2" t="s">
        <v>1972</v>
      </c>
      <c r="E1028" s="3" t="s">
        <v>27</v>
      </c>
      <c r="G1028" s="3" t="s">
        <v>48</v>
      </c>
      <c r="H1028" s="22" t="s">
        <v>49</v>
      </c>
      <c r="I1028" s="34"/>
      <c r="J1028" s="35">
        <f>I1027</f>
        <v>30000</v>
      </c>
      <c r="K1028" s="22"/>
      <c r="L1028" s="32"/>
    </row>
    <row r="1029" spans="1:23" ht="24" x14ac:dyDescent="0.25">
      <c r="A1029" s="10">
        <v>46085</v>
      </c>
      <c r="B1029" s="2" t="s">
        <v>1976</v>
      </c>
      <c r="C1029" s="2" t="s">
        <v>95</v>
      </c>
      <c r="D1029" s="2" t="s">
        <v>1977</v>
      </c>
      <c r="E1029" s="3" t="s">
        <v>955</v>
      </c>
      <c r="F1029" s="4">
        <v>3500</v>
      </c>
      <c r="G1029" s="4" t="s">
        <v>128</v>
      </c>
      <c r="H1029" s="22" t="s">
        <v>78</v>
      </c>
      <c r="I1029" s="22">
        <v>3500</v>
      </c>
      <c r="J1029" s="22"/>
      <c r="K1029" s="22">
        <f t="shared" si="13"/>
        <v>3500</v>
      </c>
      <c r="L1029" s="17">
        <v>3500</v>
      </c>
      <c r="M1029" s="23" t="s">
        <v>41</v>
      </c>
      <c r="N1029" s="1" t="s">
        <v>1978</v>
      </c>
      <c r="O1029" s="7" t="s">
        <v>1950</v>
      </c>
    </row>
    <row r="1030" spans="1:23" x14ac:dyDescent="0.25">
      <c r="A1030" s="10">
        <v>46085</v>
      </c>
      <c r="B1030" s="2" t="s">
        <v>1976</v>
      </c>
      <c r="C1030" s="2" t="s">
        <v>95</v>
      </c>
      <c r="D1030" s="2" t="s">
        <v>1977</v>
      </c>
      <c r="E1030" s="3" t="s">
        <v>955</v>
      </c>
      <c r="G1030" s="3" t="s">
        <v>48</v>
      </c>
      <c r="H1030" s="22" t="s">
        <v>49</v>
      </c>
      <c r="I1030" s="22"/>
      <c r="J1030" s="22">
        <f>I1029</f>
        <v>3500</v>
      </c>
      <c r="K1030" s="22"/>
      <c r="L1030" s="17"/>
    </row>
    <row r="1031" spans="1:23" ht="24" x14ac:dyDescent="0.25">
      <c r="A1031" s="10">
        <v>46085</v>
      </c>
      <c r="B1031" s="2" t="s">
        <v>1979</v>
      </c>
      <c r="C1031" s="2" t="s">
        <v>95</v>
      </c>
      <c r="D1031" s="2" t="s">
        <v>1980</v>
      </c>
      <c r="E1031" s="3" t="s">
        <v>614</v>
      </c>
      <c r="F1031" s="4">
        <v>112500</v>
      </c>
      <c r="G1031" s="4" t="s">
        <v>1882</v>
      </c>
      <c r="H1031" s="22" t="s">
        <v>1981</v>
      </c>
      <c r="I1031" s="22">
        <v>112500</v>
      </c>
      <c r="J1031" s="22"/>
      <c r="K1031" s="22">
        <f t="shared" si="13"/>
        <v>112500</v>
      </c>
      <c r="L1031" s="17">
        <v>112500</v>
      </c>
      <c r="M1031" s="23" t="s">
        <v>41</v>
      </c>
      <c r="N1031" s="1" t="s">
        <v>1982</v>
      </c>
      <c r="O1031" s="24" t="s">
        <v>1983</v>
      </c>
      <c r="P1031" s="24"/>
      <c r="Q1031" s="25" t="s">
        <v>1984</v>
      </c>
      <c r="R1031" s="7" t="s">
        <v>1970</v>
      </c>
      <c r="S1031" s="3" t="s">
        <v>145</v>
      </c>
      <c r="T1031" s="3" t="s">
        <v>324</v>
      </c>
      <c r="U1031" s="51" t="s">
        <v>1985</v>
      </c>
    </row>
    <row r="1032" spans="1:23" x14ac:dyDescent="0.25">
      <c r="A1032" s="10">
        <v>46085</v>
      </c>
      <c r="B1032" s="2" t="s">
        <v>1979</v>
      </c>
      <c r="C1032" s="2" t="s">
        <v>95</v>
      </c>
      <c r="D1032" s="2" t="s">
        <v>1980</v>
      </c>
      <c r="E1032" s="3" t="s">
        <v>614</v>
      </c>
      <c r="G1032" s="3" t="s">
        <v>48</v>
      </c>
      <c r="H1032" s="22" t="s">
        <v>49</v>
      </c>
      <c r="I1032" s="22"/>
      <c r="J1032" s="22">
        <f>I1031</f>
        <v>112500</v>
      </c>
      <c r="K1032" s="22"/>
      <c r="L1032" s="17"/>
    </row>
    <row r="1033" spans="1:23" x14ac:dyDescent="0.25">
      <c r="A1033" s="10">
        <v>46085</v>
      </c>
      <c r="B1033" s="2" t="s">
        <v>1986</v>
      </c>
      <c r="C1033" s="2" t="s">
        <v>95</v>
      </c>
      <c r="D1033" s="2" t="s">
        <v>1987</v>
      </c>
      <c r="E1033" s="3" t="s">
        <v>293</v>
      </c>
      <c r="F1033" s="4">
        <v>600</v>
      </c>
      <c r="G1033" s="4" t="s">
        <v>128</v>
      </c>
      <c r="H1033" s="22" t="s">
        <v>1916</v>
      </c>
      <c r="I1033" s="22">
        <v>600</v>
      </c>
      <c r="J1033" s="22"/>
      <c r="K1033" s="22">
        <f t="shared" ref="K1033:K1193" si="14">ABS(I1033-J1033)</f>
        <v>600</v>
      </c>
      <c r="L1033" s="17">
        <v>600</v>
      </c>
      <c r="M1033" s="23" t="s">
        <v>41</v>
      </c>
      <c r="N1033" s="8" t="s">
        <v>1988</v>
      </c>
      <c r="O1033" s="7" t="s">
        <v>1950</v>
      </c>
    </row>
    <row r="1034" spans="1:23" x14ac:dyDescent="0.25">
      <c r="A1034" s="10">
        <v>46085</v>
      </c>
      <c r="B1034" s="2" t="s">
        <v>1986</v>
      </c>
      <c r="C1034" s="2" t="s">
        <v>95</v>
      </c>
      <c r="D1034" s="2" t="s">
        <v>1987</v>
      </c>
      <c r="E1034" s="3" t="s">
        <v>293</v>
      </c>
      <c r="G1034" s="3" t="s">
        <v>48</v>
      </c>
      <c r="H1034" s="22" t="s">
        <v>49</v>
      </c>
      <c r="I1034" s="22"/>
      <c r="J1034" s="22">
        <f>I1033</f>
        <v>600</v>
      </c>
      <c r="K1034" s="22"/>
      <c r="L1034" s="17"/>
    </row>
    <row r="1035" spans="1:23" ht="24" x14ac:dyDescent="0.25">
      <c r="A1035" s="10">
        <v>46085</v>
      </c>
      <c r="B1035" s="2" t="s">
        <v>1989</v>
      </c>
      <c r="C1035" s="2" t="s">
        <v>141</v>
      </c>
      <c r="E1035" s="3" t="s">
        <v>27</v>
      </c>
      <c r="F1035" s="4">
        <v>21131</v>
      </c>
      <c r="G1035" s="3" t="s">
        <v>48</v>
      </c>
      <c r="H1035" s="22" t="s">
        <v>81</v>
      </c>
      <c r="I1035" s="22">
        <v>21131</v>
      </c>
      <c r="J1035" s="22"/>
      <c r="K1035" s="22">
        <f t="shared" si="14"/>
        <v>21131</v>
      </c>
      <c r="L1035" s="17"/>
      <c r="M1035" s="23" t="s">
        <v>41</v>
      </c>
      <c r="N1035" s="1" t="s">
        <v>1990</v>
      </c>
      <c r="O1035" s="7" t="s">
        <v>143</v>
      </c>
      <c r="Q1035" s="7">
        <v>2000000025</v>
      </c>
      <c r="R1035" s="7" t="s">
        <v>1970</v>
      </c>
      <c r="S1035" s="3" t="s">
        <v>1718</v>
      </c>
      <c r="T1035" s="3" t="s">
        <v>1991</v>
      </c>
    </row>
    <row r="1036" spans="1:23" x14ac:dyDescent="0.25">
      <c r="A1036" s="10">
        <v>46085</v>
      </c>
      <c r="B1036" s="2" t="s">
        <v>1989</v>
      </c>
      <c r="C1036" s="2" t="s">
        <v>141</v>
      </c>
      <c r="E1036" s="3" t="s">
        <v>27</v>
      </c>
      <c r="G1036" s="3" t="s">
        <v>48</v>
      </c>
      <c r="H1036" s="22" t="s">
        <v>1992</v>
      </c>
      <c r="I1036" s="22"/>
      <c r="J1036" s="22">
        <f>I1035</f>
        <v>21131</v>
      </c>
      <c r="K1036" s="22">
        <f t="shared" si="14"/>
        <v>21131</v>
      </c>
      <c r="L1036" s="17"/>
      <c r="M1036" s="23"/>
    </row>
    <row r="1037" spans="1:23" ht="24" x14ac:dyDescent="0.25">
      <c r="A1037" s="10">
        <v>46086</v>
      </c>
      <c r="B1037" s="2" t="s">
        <v>1993</v>
      </c>
      <c r="C1037" s="2" t="s">
        <v>141</v>
      </c>
      <c r="E1037" s="3" t="s">
        <v>27</v>
      </c>
      <c r="F1037" s="4">
        <v>415000</v>
      </c>
      <c r="G1037" s="4" t="s">
        <v>326</v>
      </c>
      <c r="H1037" s="22" t="s">
        <v>731</v>
      </c>
      <c r="I1037" s="22">
        <v>415000</v>
      </c>
      <c r="J1037" s="22"/>
      <c r="K1037" s="22">
        <f t="shared" si="14"/>
        <v>415000</v>
      </c>
      <c r="L1037" s="17"/>
      <c r="M1037" s="23" t="s">
        <v>41</v>
      </c>
      <c r="N1037" s="1" t="s">
        <v>1994</v>
      </c>
      <c r="O1037" s="7" t="s">
        <v>1995</v>
      </c>
      <c r="Q1037" s="25" t="s">
        <v>1996</v>
      </c>
      <c r="R1037" s="7" t="s">
        <v>1997</v>
      </c>
      <c r="S1037" s="3" t="s">
        <v>442</v>
      </c>
      <c r="T1037" s="3" t="s">
        <v>643</v>
      </c>
    </row>
    <row r="1038" spans="1:23" x14ac:dyDescent="0.25">
      <c r="A1038" s="10">
        <v>46086</v>
      </c>
      <c r="B1038" s="2" t="s">
        <v>1993</v>
      </c>
      <c r="C1038" s="2" t="s">
        <v>141</v>
      </c>
      <c r="E1038" s="3" t="s">
        <v>27</v>
      </c>
      <c r="G1038" s="4" t="s">
        <v>326</v>
      </c>
      <c r="H1038" s="22" t="s">
        <v>327</v>
      </c>
      <c r="I1038" s="22"/>
      <c r="J1038" s="22">
        <f>I1037</f>
        <v>415000</v>
      </c>
      <c r="K1038" s="22">
        <f t="shared" si="14"/>
        <v>415000</v>
      </c>
      <c r="L1038" s="17"/>
      <c r="M1038" s="23"/>
      <c r="Q1038" s="25"/>
    </row>
    <row r="1039" spans="1:23" ht="24" x14ac:dyDescent="0.25">
      <c r="A1039" s="10">
        <v>46086</v>
      </c>
      <c r="B1039" s="2" t="s">
        <v>1998</v>
      </c>
      <c r="C1039" s="2" t="s">
        <v>1999</v>
      </c>
      <c r="D1039" s="2" t="s">
        <v>2000</v>
      </c>
      <c r="E1039" s="3" t="s">
        <v>553</v>
      </c>
      <c r="F1039" s="4">
        <v>280</v>
      </c>
      <c r="G1039" s="4" t="s">
        <v>801</v>
      </c>
      <c r="H1039" s="22" t="s">
        <v>40</v>
      </c>
      <c r="I1039" s="22">
        <v>280</v>
      </c>
      <c r="J1039" s="22"/>
      <c r="K1039" s="22">
        <f t="shared" si="14"/>
        <v>280</v>
      </c>
      <c r="L1039" s="17"/>
      <c r="M1039" s="23" t="s">
        <v>41</v>
      </c>
      <c r="N1039" s="1" t="s">
        <v>2001</v>
      </c>
      <c r="O1039" s="7" t="s">
        <v>2002</v>
      </c>
      <c r="P1039" s="7" t="s">
        <v>81</v>
      </c>
      <c r="R1039" s="7" t="s">
        <v>1997</v>
      </c>
      <c r="S1039" s="3" t="s">
        <v>83</v>
      </c>
      <c r="T1039" s="3" t="s">
        <v>1618</v>
      </c>
      <c r="U1039" s="8" t="s">
        <v>2003</v>
      </c>
      <c r="W1039" s="9" t="s">
        <v>2004</v>
      </c>
    </row>
    <row r="1040" spans="1:23" x14ac:dyDescent="0.25">
      <c r="A1040" s="10">
        <v>46086</v>
      </c>
      <c r="B1040" s="2" t="s">
        <v>1998</v>
      </c>
      <c r="C1040" s="2" t="s">
        <v>1999</v>
      </c>
      <c r="D1040" s="2" t="s">
        <v>2000</v>
      </c>
      <c r="E1040" s="3" t="s">
        <v>553</v>
      </c>
      <c r="G1040" s="3" t="s">
        <v>48</v>
      </c>
      <c r="H1040" s="22" t="s">
        <v>49</v>
      </c>
      <c r="I1040" s="22"/>
      <c r="J1040" s="22">
        <f>I1039</f>
        <v>280</v>
      </c>
      <c r="K1040" s="22">
        <f t="shared" si="14"/>
        <v>280</v>
      </c>
      <c r="L1040" s="17"/>
      <c r="M1040" s="23"/>
    </row>
    <row r="1041" spans="1:21" ht="24" x14ac:dyDescent="0.25">
      <c r="A1041" s="10">
        <v>46086</v>
      </c>
      <c r="B1041" s="2" t="s">
        <v>2005</v>
      </c>
      <c r="C1041" s="2" t="s">
        <v>95</v>
      </c>
      <c r="D1041" s="2" t="s">
        <v>2006</v>
      </c>
      <c r="E1041" s="3" t="s">
        <v>76</v>
      </c>
      <c r="F1041" s="4">
        <v>2680</v>
      </c>
      <c r="G1041" s="4" t="s">
        <v>77</v>
      </c>
      <c r="H1041" s="22" t="s">
        <v>78</v>
      </c>
      <c r="I1041" s="22">
        <v>2680</v>
      </c>
      <c r="J1041" s="22"/>
      <c r="K1041" s="22">
        <f>ABS(I1041-J1041)</f>
        <v>2680</v>
      </c>
      <c r="L1041" s="17"/>
      <c r="M1041" s="6" t="s">
        <v>581</v>
      </c>
      <c r="N1041" s="1" t="s">
        <v>2007</v>
      </c>
    </row>
    <row r="1042" spans="1:21" x14ac:dyDescent="0.25">
      <c r="A1042" s="10">
        <v>46086</v>
      </c>
      <c r="B1042" s="2" t="s">
        <v>2005</v>
      </c>
      <c r="C1042" s="2" t="s">
        <v>95</v>
      </c>
      <c r="D1042" s="2" t="s">
        <v>2006</v>
      </c>
      <c r="E1042" s="3" t="s">
        <v>76</v>
      </c>
      <c r="G1042" s="3" t="s">
        <v>48</v>
      </c>
      <c r="H1042" s="22" t="s">
        <v>49</v>
      </c>
      <c r="I1042" s="22"/>
      <c r="J1042" s="22">
        <f>I1041</f>
        <v>2680</v>
      </c>
      <c r="K1042" s="22">
        <f>ABS(I1042-J1042)</f>
        <v>2680</v>
      </c>
      <c r="L1042" s="17"/>
    </row>
    <row r="1043" spans="1:21" ht="24" x14ac:dyDescent="0.25">
      <c r="A1043" s="10">
        <v>46086</v>
      </c>
      <c r="B1043" s="2" t="s">
        <v>2008</v>
      </c>
      <c r="C1043" s="2" t="s">
        <v>95</v>
      </c>
      <c r="D1043" s="2" t="s">
        <v>2009</v>
      </c>
      <c r="E1043" s="3" t="s">
        <v>76</v>
      </c>
      <c r="F1043" s="4">
        <v>10300</v>
      </c>
      <c r="G1043" s="4" t="s">
        <v>77</v>
      </c>
      <c r="H1043" s="22" t="s">
        <v>78</v>
      </c>
      <c r="I1043" s="22">
        <v>10300</v>
      </c>
      <c r="J1043" s="22"/>
      <c r="K1043" s="22">
        <f t="shared" si="14"/>
        <v>10300</v>
      </c>
      <c r="L1043" s="17">
        <v>10300</v>
      </c>
      <c r="M1043" s="23" t="s">
        <v>41</v>
      </c>
      <c r="N1043" s="1" t="s">
        <v>2010</v>
      </c>
    </row>
    <row r="1044" spans="1:21" x14ac:dyDescent="0.25">
      <c r="A1044" s="10">
        <v>46086</v>
      </c>
      <c r="B1044" s="2" t="s">
        <v>2008</v>
      </c>
      <c r="C1044" s="2" t="s">
        <v>95</v>
      </c>
      <c r="D1044" s="2" t="s">
        <v>2009</v>
      </c>
      <c r="E1044" s="3" t="s">
        <v>76</v>
      </c>
      <c r="G1044" s="3" t="s">
        <v>48</v>
      </c>
      <c r="H1044" s="22" t="s">
        <v>49</v>
      </c>
      <c r="I1044" s="22"/>
      <c r="J1044" s="22">
        <f>I1043</f>
        <v>10300</v>
      </c>
      <c r="K1044" s="22">
        <f t="shared" si="14"/>
        <v>10300</v>
      </c>
      <c r="L1044" s="17"/>
    </row>
    <row r="1045" spans="1:21" ht="36" x14ac:dyDescent="0.25">
      <c r="A1045" s="10">
        <v>46086</v>
      </c>
      <c r="B1045" s="2" t="s">
        <v>2011</v>
      </c>
      <c r="C1045" s="2" t="s">
        <v>2012</v>
      </c>
      <c r="D1045" s="2" t="s">
        <v>2013</v>
      </c>
      <c r="E1045" s="3" t="s">
        <v>455</v>
      </c>
      <c r="F1045" s="4">
        <v>1467</v>
      </c>
      <c r="G1045" s="4" t="s">
        <v>128</v>
      </c>
      <c r="H1045" s="22" t="s">
        <v>1916</v>
      </c>
      <c r="I1045" s="22">
        <v>1467</v>
      </c>
      <c r="J1045" s="22"/>
      <c r="K1045" s="22">
        <f t="shared" si="14"/>
        <v>1467</v>
      </c>
      <c r="L1045" s="17"/>
      <c r="M1045" s="23" t="s">
        <v>41</v>
      </c>
      <c r="N1045" s="1" t="s">
        <v>2014</v>
      </c>
      <c r="O1045" s="24" t="s">
        <v>2015</v>
      </c>
      <c r="P1045" s="7" t="s">
        <v>81</v>
      </c>
      <c r="R1045" s="7" t="s">
        <v>1997</v>
      </c>
      <c r="S1045" s="3" t="s">
        <v>1087</v>
      </c>
      <c r="T1045" s="3" t="s">
        <v>1088</v>
      </c>
      <c r="U1045" s="8" t="s">
        <v>2016</v>
      </c>
    </row>
    <row r="1046" spans="1:21" x14ac:dyDescent="0.25">
      <c r="A1046" s="10">
        <v>46086</v>
      </c>
      <c r="B1046" s="2" t="s">
        <v>2011</v>
      </c>
      <c r="C1046" s="2" t="s">
        <v>2012</v>
      </c>
      <c r="D1046" s="2" t="s">
        <v>2013</v>
      </c>
      <c r="E1046" s="3" t="s">
        <v>455</v>
      </c>
      <c r="G1046" s="3" t="s">
        <v>48</v>
      </c>
      <c r="H1046" s="22" t="s">
        <v>81</v>
      </c>
      <c r="I1046" s="22"/>
      <c r="J1046" s="22">
        <f>I1045</f>
        <v>1467</v>
      </c>
      <c r="K1046" s="22">
        <f t="shared" si="14"/>
        <v>1467</v>
      </c>
      <c r="L1046" s="17"/>
      <c r="M1046" s="23"/>
      <c r="O1046" s="24"/>
    </row>
    <row r="1047" spans="1:21" ht="48" x14ac:dyDescent="0.25">
      <c r="A1047" s="10">
        <v>46086</v>
      </c>
      <c r="B1047" s="2" t="s">
        <v>2017</v>
      </c>
      <c r="C1047" s="2" t="s">
        <v>2018</v>
      </c>
      <c r="D1047" s="2" t="s">
        <v>2013</v>
      </c>
      <c r="E1047" s="3" t="s">
        <v>446</v>
      </c>
      <c r="F1047" s="4">
        <v>2745</v>
      </c>
      <c r="G1047" s="4" t="s">
        <v>128</v>
      </c>
      <c r="H1047" s="22" t="s">
        <v>1916</v>
      </c>
      <c r="I1047" s="22">
        <v>2745</v>
      </c>
      <c r="J1047" s="22"/>
      <c r="K1047" s="22">
        <f t="shared" si="14"/>
        <v>2745</v>
      </c>
      <c r="L1047" s="17"/>
      <c r="M1047" s="23" t="s">
        <v>41</v>
      </c>
      <c r="N1047" s="1" t="s">
        <v>2019</v>
      </c>
      <c r="O1047" s="24" t="s">
        <v>2015</v>
      </c>
      <c r="P1047" s="7" t="s">
        <v>81</v>
      </c>
      <c r="R1047" s="7" t="s">
        <v>1997</v>
      </c>
      <c r="S1047" s="3" t="s">
        <v>1087</v>
      </c>
      <c r="T1047" s="3" t="s">
        <v>1088</v>
      </c>
      <c r="U1047" s="8" t="s">
        <v>2020</v>
      </c>
    </row>
    <row r="1048" spans="1:21" x14ac:dyDescent="0.25">
      <c r="A1048" s="10">
        <v>46086</v>
      </c>
      <c r="B1048" s="2" t="s">
        <v>2017</v>
      </c>
      <c r="C1048" s="2" t="s">
        <v>2018</v>
      </c>
      <c r="D1048" s="2" t="s">
        <v>2013</v>
      </c>
      <c r="E1048" s="3" t="s">
        <v>446</v>
      </c>
      <c r="G1048" s="3" t="s">
        <v>48</v>
      </c>
      <c r="H1048" s="22" t="s">
        <v>81</v>
      </c>
      <c r="I1048" s="22"/>
      <c r="J1048" s="22">
        <f>I1047</f>
        <v>2745</v>
      </c>
      <c r="K1048" s="22">
        <f t="shared" si="14"/>
        <v>2745</v>
      </c>
      <c r="L1048" s="17"/>
      <c r="M1048" s="23"/>
      <c r="O1048" s="24"/>
    </row>
    <row r="1049" spans="1:21" ht="24" x14ac:dyDescent="0.25">
      <c r="A1049" s="10">
        <v>46087</v>
      </c>
      <c r="B1049" s="2" t="s">
        <v>2021</v>
      </c>
      <c r="C1049" s="2">
        <v>927404116</v>
      </c>
      <c r="D1049" s="2" t="s">
        <v>2022</v>
      </c>
      <c r="E1049" s="3" t="s">
        <v>1319</v>
      </c>
      <c r="F1049" s="4">
        <f>9596+7</f>
        <v>9603</v>
      </c>
      <c r="G1049" s="4" t="s">
        <v>48</v>
      </c>
      <c r="H1049" s="22" t="s">
        <v>1320</v>
      </c>
      <c r="I1049" s="22">
        <v>9596</v>
      </c>
      <c r="J1049" s="22"/>
      <c r="K1049" s="22">
        <f t="shared" si="14"/>
        <v>9596</v>
      </c>
      <c r="L1049" s="17">
        <v>9603</v>
      </c>
      <c r="M1049" s="23" t="s">
        <v>41</v>
      </c>
      <c r="N1049" s="1" t="s">
        <v>2023</v>
      </c>
      <c r="O1049" s="7" t="s">
        <v>1322</v>
      </c>
      <c r="P1049" s="7" t="s">
        <v>1323</v>
      </c>
      <c r="R1049" s="7" t="s">
        <v>2024</v>
      </c>
      <c r="S1049" s="3" t="s">
        <v>83</v>
      </c>
      <c r="T1049" s="3" t="s">
        <v>1233</v>
      </c>
    </row>
    <row r="1050" spans="1:21" x14ac:dyDescent="0.25">
      <c r="A1050" s="10">
        <v>46087</v>
      </c>
      <c r="B1050" s="2" t="s">
        <v>2021</v>
      </c>
      <c r="C1050" s="2">
        <v>927404116</v>
      </c>
      <c r="D1050" s="2" t="s">
        <v>2022</v>
      </c>
      <c r="E1050" s="3" t="s">
        <v>1319</v>
      </c>
      <c r="G1050" s="4" t="s">
        <v>48</v>
      </c>
      <c r="H1050" s="22" t="s">
        <v>47</v>
      </c>
      <c r="I1050" s="22">
        <v>7</v>
      </c>
      <c r="J1050" s="22"/>
      <c r="K1050" s="22">
        <f t="shared" si="14"/>
        <v>7</v>
      </c>
      <c r="L1050" s="17"/>
    </row>
    <row r="1051" spans="1:21" x14ac:dyDescent="0.25">
      <c r="A1051" s="10">
        <v>46087</v>
      </c>
      <c r="B1051" s="2" t="s">
        <v>2021</v>
      </c>
      <c r="C1051" s="2">
        <v>927404116</v>
      </c>
      <c r="D1051" s="2" t="s">
        <v>2022</v>
      </c>
      <c r="E1051" s="3" t="s">
        <v>1319</v>
      </c>
      <c r="G1051" s="4" t="s">
        <v>48</v>
      </c>
      <c r="H1051" s="22" t="s">
        <v>49</v>
      </c>
      <c r="I1051" s="22"/>
      <c r="J1051" s="22">
        <f>I1049+I1050</f>
        <v>9603</v>
      </c>
      <c r="K1051" s="22">
        <f t="shared" si="14"/>
        <v>9603</v>
      </c>
      <c r="L1051" s="17"/>
    </row>
    <row r="1052" spans="1:21" ht="24" x14ac:dyDescent="0.25">
      <c r="A1052" s="10">
        <v>46087</v>
      </c>
      <c r="B1052" s="2" t="s">
        <v>2025</v>
      </c>
      <c r="C1052" s="2">
        <v>929950485</v>
      </c>
      <c r="D1052" s="2" t="s">
        <v>2022</v>
      </c>
      <c r="E1052" s="3" t="s">
        <v>1319</v>
      </c>
      <c r="F1052" s="4">
        <f>2549+20+7</f>
        <v>2576</v>
      </c>
      <c r="G1052" s="3" t="s">
        <v>110</v>
      </c>
      <c r="H1052" s="22" t="s">
        <v>1320</v>
      </c>
      <c r="I1052" s="22">
        <v>2549</v>
      </c>
      <c r="J1052" s="22"/>
      <c r="K1052" s="22">
        <f>ABS(I1052-J1052)</f>
        <v>2549</v>
      </c>
      <c r="L1052" s="17">
        <v>2576</v>
      </c>
      <c r="M1052" s="23" t="s">
        <v>41</v>
      </c>
      <c r="N1052" s="1" t="s">
        <v>2026</v>
      </c>
      <c r="O1052" s="7" t="s">
        <v>1322</v>
      </c>
      <c r="P1052" s="7" t="s">
        <v>1323</v>
      </c>
      <c r="R1052" s="7" t="s">
        <v>2024</v>
      </c>
      <c r="S1052" s="3" t="s">
        <v>83</v>
      </c>
      <c r="T1052" s="3" t="s">
        <v>1233</v>
      </c>
    </row>
    <row r="1053" spans="1:21" x14ac:dyDescent="0.25">
      <c r="A1053" s="10">
        <v>46087</v>
      </c>
      <c r="B1053" s="2" t="s">
        <v>2025</v>
      </c>
      <c r="C1053" s="2">
        <v>929950485</v>
      </c>
      <c r="D1053" s="2" t="s">
        <v>2022</v>
      </c>
      <c r="E1053" s="3" t="s">
        <v>1319</v>
      </c>
      <c r="G1053" s="3" t="s">
        <v>110</v>
      </c>
      <c r="H1053" s="22" t="s">
        <v>47</v>
      </c>
      <c r="I1053" s="22">
        <v>27</v>
      </c>
      <c r="J1053" s="22"/>
      <c r="K1053" s="22">
        <f>ABS(I1053-J1053)</f>
        <v>27</v>
      </c>
      <c r="L1053" s="17"/>
    </row>
    <row r="1054" spans="1:21" x14ac:dyDescent="0.25">
      <c r="A1054" s="10">
        <v>46087</v>
      </c>
      <c r="B1054" s="2" t="s">
        <v>2025</v>
      </c>
      <c r="C1054" s="2">
        <v>929950485</v>
      </c>
      <c r="D1054" s="2" t="s">
        <v>2022</v>
      </c>
      <c r="E1054" s="3" t="s">
        <v>1319</v>
      </c>
      <c r="G1054" s="4" t="s">
        <v>48</v>
      </c>
      <c r="H1054" s="22" t="s">
        <v>49</v>
      </c>
      <c r="I1054" s="22"/>
      <c r="J1054" s="22">
        <f>I1052+I1053</f>
        <v>2576</v>
      </c>
      <c r="K1054" s="22">
        <f>ABS(I1054-J1054)</f>
        <v>2576</v>
      </c>
      <c r="L1054" s="17"/>
    </row>
    <row r="1055" spans="1:21" ht="24" x14ac:dyDescent="0.25">
      <c r="A1055" s="10">
        <v>46087</v>
      </c>
      <c r="B1055" s="2" t="s">
        <v>2027</v>
      </c>
      <c r="D1055" s="2" t="s">
        <v>2028</v>
      </c>
      <c r="E1055" s="3" t="s">
        <v>275</v>
      </c>
      <c r="F1055" s="4">
        <f>(20409.72-400.19)+400.19-66.7</f>
        <v>20343.02</v>
      </c>
      <c r="G1055" s="4" t="s">
        <v>128</v>
      </c>
      <c r="H1055" s="22" t="s">
        <v>2029</v>
      </c>
      <c r="I1055" s="22">
        <v>20009.53</v>
      </c>
      <c r="J1055" s="22"/>
      <c r="K1055" s="22">
        <f t="shared" si="14"/>
        <v>20009.53</v>
      </c>
      <c r="L1055" s="17">
        <v>20343.02</v>
      </c>
      <c r="M1055" s="23" t="s">
        <v>41</v>
      </c>
      <c r="N1055" s="1" t="s">
        <v>2030</v>
      </c>
      <c r="O1055" s="7" t="s">
        <v>2031</v>
      </c>
      <c r="P1055" s="7" t="s">
        <v>81</v>
      </c>
      <c r="R1055" s="7" t="s">
        <v>2032</v>
      </c>
      <c r="S1055" s="3" t="s">
        <v>1087</v>
      </c>
      <c r="T1055" s="3" t="s">
        <v>1088</v>
      </c>
    </row>
    <row r="1056" spans="1:21" x14ac:dyDescent="0.25">
      <c r="A1056" s="10">
        <v>46087</v>
      </c>
      <c r="B1056" s="2" t="s">
        <v>2027</v>
      </c>
      <c r="D1056" s="2" t="s">
        <v>2028</v>
      </c>
      <c r="E1056" s="3" t="s">
        <v>275</v>
      </c>
      <c r="G1056" s="4" t="s">
        <v>128</v>
      </c>
      <c r="H1056" s="22" t="s">
        <v>281</v>
      </c>
      <c r="I1056" s="22">
        <v>400.19</v>
      </c>
      <c r="J1056" s="22"/>
      <c r="K1056" s="22">
        <f t="shared" si="14"/>
        <v>400.19</v>
      </c>
      <c r="L1056" s="17"/>
    </row>
    <row r="1057" spans="1:20" x14ac:dyDescent="0.25">
      <c r="A1057" s="10">
        <v>46087</v>
      </c>
      <c r="B1057" s="2" t="s">
        <v>2027</v>
      </c>
      <c r="D1057" s="2" t="s">
        <v>2028</v>
      </c>
      <c r="E1057" s="3" t="s">
        <v>275</v>
      </c>
      <c r="G1057" s="4" t="s">
        <v>128</v>
      </c>
      <c r="H1057" s="22" t="s">
        <v>105</v>
      </c>
      <c r="I1057" s="22"/>
      <c r="J1057" s="22">
        <v>66.7</v>
      </c>
      <c r="K1057" s="22">
        <f t="shared" si="14"/>
        <v>66.7</v>
      </c>
      <c r="L1057" s="17"/>
    </row>
    <row r="1058" spans="1:20" x14ac:dyDescent="0.25">
      <c r="A1058" s="10">
        <v>46087</v>
      </c>
      <c r="B1058" s="2" t="s">
        <v>2027</v>
      </c>
      <c r="D1058" s="2" t="s">
        <v>2028</v>
      </c>
      <c r="E1058" s="3" t="s">
        <v>275</v>
      </c>
      <c r="G1058" s="4" t="s">
        <v>48</v>
      </c>
      <c r="H1058" s="22" t="s">
        <v>49</v>
      </c>
      <c r="I1058" s="22"/>
      <c r="J1058" s="22">
        <f>I1055+I1056-J1057</f>
        <v>20343.019999999997</v>
      </c>
      <c r="K1058" s="22">
        <f t="shared" si="14"/>
        <v>20343.019999999997</v>
      </c>
      <c r="L1058" s="17"/>
    </row>
    <row r="1059" spans="1:20" ht="24" x14ac:dyDescent="0.25">
      <c r="A1059" s="10">
        <v>46087</v>
      </c>
      <c r="B1059" s="2" t="s">
        <v>2033</v>
      </c>
      <c r="D1059" s="2" t="s">
        <v>2028</v>
      </c>
      <c r="E1059" s="3" t="s">
        <v>275</v>
      </c>
      <c r="F1059" s="4">
        <f>(13592.53-266.52)+266.52-44.42</f>
        <v>13548.11</v>
      </c>
      <c r="G1059" s="4" t="s">
        <v>48</v>
      </c>
      <c r="H1059" s="22" t="s">
        <v>2029</v>
      </c>
      <c r="I1059" s="22">
        <v>13326.01</v>
      </c>
      <c r="J1059" s="22"/>
      <c r="K1059" s="22">
        <f>ABS(I1059-J1059)</f>
        <v>13326.01</v>
      </c>
      <c r="L1059" s="17">
        <v>13548.11</v>
      </c>
      <c r="M1059" s="23" t="s">
        <v>41</v>
      </c>
      <c r="N1059" s="1" t="s">
        <v>2034</v>
      </c>
      <c r="O1059" s="7" t="s">
        <v>278</v>
      </c>
      <c r="P1059" s="7" t="s">
        <v>81</v>
      </c>
      <c r="R1059" s="7" t="s">
        <v>279</v>
      </c>
      <c r="S1059" s="3" t="s">
        <v>83</v>
      </c>
      <c r="T1059" s="3" t="s">
        <v>2035</v>
      </c>
    </row>
    <row r="1060" spans="1:20" x14ac:dyDescent="0.25">
      <c r="A1060" s="10">
        <v>46087</v>
      </c>
      <c r="B1060" s="2" t="s">
        <v>2033</v>
      </c>
      <c r="D1060" s="2" t="s">
        <v>2028</v>
      </c>
      <c r="E1060" s="3" t="s">
        <v>275</v>
      </c>
      <c r="G1060" s="4" t="s">
        <v>48</v>
      </c>
      <c r="H1060" s="22" t="s">
        <v>281</v>
      </c>
      <c r="I1060" s="22">
        <v>266.52</v>
      </c>
      <c r="J1060" s="22"/>
      <c r="K1060" s="22">
        <f>ABS(I1060-J1060)</f>
        <v>266.52</v>
      </c>
      <c r="L1060" s="17"/>
    </row>
    <row r="1061" spans="1:20" x14ac:dyDescent="0.25">
      <c r="A1061" s="10">
        <v>46087</v>
      </c>
      <c r="B1061" s="2" t="s">
        <v>2033</v>
      </c>
      <c r="D1061" s="2" t="s">
        <v>2028</v>
      </c>
      <c r="E1061" s="3" t="s">
        <v>275</v>
      </c>
      <c r="G1061" s="4" t="s">
        <v>48</v>
      </c>
      <c r="H1061" s="22" t="s">
        <v>105</v>
      </c>
      <c r="I1061" s="22"/>
      <c r="J1061" s="22">
        <v>44.42</v>
      </c>
      <c r="K1061" s="22">
        <f>ABS(I1061-J1061)</f>
        <v>44.42</v>
      </c>
      <c r="L1061" s="17"/>
    </row>
    <row r="1062" spans="1:20" x14ac:dyDescent="0.25">
      <c r="A1062" s="10">
        <v>46087</v>
      </c>
      <c r="B1062" s="2" t="s">
        <v>2033</v>
      </c>
      <c r="D1062" s="2" t="s">
        <v>2028</v>
      </c>
      <c r="E1062" s="3" t="s">
        <v>275</v>
      </c>
      <c r="G1062" s="4" t="s">
        <v>48</v>
      </c>
      <c r="H1062" s="22" t="s">
        <v>49</v>
      </c>
      <c r="I1062" s="22"/>
      <c r="J1062" s="22">
        <f>I1059+I1060-J1061</f>
        <v>13548.11</v>
      </c>
      <c r="K1062" s="22">
        <f>ABS(I1062-J1062)</f>
        <v>13548.11</v>
      </c>
      <c r="L1062" s="17"/>
    </row>
    <row r="1063" spans="1:20" x14ac:dyDescent="0.25">
      <c r="A1063" s="10">
        <v>46087</v>
      </c>
      <c r="B1063" s="2" t="s">
        <v>2036</v>
      </c>
      <c r="C1063" s="2">
        <v>251583420</v>
      </c>
      <c r="D1063" s="2" t="s">
        <v>2037</v>
      </c>
      <c r="E1063" s="3" t="s">
        <v>1333</v>
      </c>
      <c r="F1063" s="4">
        <v>5360.39</v>
      </c>
      <c r="G1063" s="4" t="s">
        <v>98</v>
      </c>
      <c r="H1063" s="22" t="s">
        <v>1320</v>
      </c>
      <c r="I1063" s="22">
        <f>5360.39/2</f>
        <v>2680.1950000000002</v>
      </c>
      <c r="J1063" s="22"/>
      <c r="K1063" s="22">
        <f t="shared" si="14"/>
        <v>2680.1950000000002</v>
      </c>
      <c r="L1063" s="17">
        <v>5360.39</v>
      </c>
      <c r="M1063" s="23" t="s">
        <v>41</v>
      </c>
      <c r="N1063" s="1" t="s">
        <v>2038</v>
      </c>
      <c r="O1063" s="7" t="s">
        <v>1335</v>
      </c>
      <c r="P1063" s="7" t="s">
        <v>81</v>
      </c>
      <c r="R1063" s="7" t="s">
        <v>1703</v>
      </c>
      <c r="S1063" s="3" t="s">
        <v>83</v>
      </c>
      <c r="T1063" s="3" t="s">
        <v>1859</v>
      </c>
    </row>
    <row r="1064" spans="1:20" x14ac:dyDescent="0.25">
      <c r="A1064" s="10">
        <v>46087</v>
      </c>
      <c r="B1064" s="2" t="s">
        <v>2036</v>
      </c>
      <c r="C1064" s="2" t="s">
        <v>1331</v>
      </c>
      <c r="D1064" s="2" t="s">
        <v>2037</v>
      </c>
      <c r="E1064" s="3" t="s">
        <v>1333</v>
      </c>
      <c r="G1064" s="4" t="s">
        <v>262</v>
      </c>
      <c r="H1064" s="22" t="s">
        <v>1320</v>
      </c>
      <c r="I1064" s="22">
        <f>5360.39/2</f>
        <v>2680.1950000000002</v>
      </c>
      <c r="J1064" s="22"/>
      <c r="K1064" s="22">
        <f t="shared" si="14"/>
        <v>2680.1950000000002</v>
      </c>
      <c r="L1064" s="17"/>
    </row>
    <row r="1065" spans="1:20" x14ac:dyDescent="0.25">
      <c r="A1065" s="10">
        <v>46087</v>
      </c>
      <c r="B1065" s="2" t="s">
        <v>2036</v>
      </c>
      <c r="C1065" s="2" t="s">
        <v>1331</v>
      </c>
      <c r="D1065" s="2" t="s">
        <v>2037</v>
      </c>
      <c r="E1065" s="3" t="s">
        <v>1333</v>
      </c>
      <c r="G1065" s="4" t="s">
        <v>48</v>
      </c>
      <c r="H1065" s="22" t="s">
        <v>49</v>
      </c>
      <c r="I1065" s="22"/>
      <c r="J1065" s="22">
        <f>I1063+I1064</f>
        <v>5360.39</v>
      </c>
      <c r="K1065" s="22">
        <f t="shared" si="14"/>
        <v>5360.39</v>
      </c>
      <c r="L1065" s="17"/>
    </row>
    <row r="1066" spans="1:20" ht="24" x14ac:dyDescent="0.25">
      <c r="A1066" s="10">
        <v>46087</v>
      </c>
      <c r="B1066" s="2" t="s">
        <v>2039</v>
      </c>
      <c r="E1066" s="3" t="s">
        <v>2040</v>
      </c>
      <c r="F1066" s="4">
        <v>3437</v>
      </c>
      <c r="G1066" s="4" t="s">
        <v>167</v>
      </c>
      <c r="H1066" s="22" t="s">
        <v>2041</v>
      </c>
      <c r="I1066" s="22">
        <v>3437</v>
      </c>
      <c r="J1066" s="22"/>
      <c r="K1066" s="22">
        <f t="shared" si="14"/>
        <v>3437</v>
      </c>
      <c r="L1066" s="17">
        <v>3437</v>
      </c>
      <c r="M1066" s="23" t="s">
        <v>41</v>
      </c>
      <c r="N1066" s="1" t="s">
        <v>2042</v>
      </c>
    </row>
    <row r="1067" spans="1:20" x14ac:dyDescent="0.25">
      <c r="A1067" s="10">
        <v>46087</v>
      </c>
      <c r="B1067" s="2" t="s">
        <v>2039</v>
      </c>
      <c r="E1067" s="3" t="s">
        <v>2040</v>
      </c>
      <c r="G1067" s="4" t="s">
        <v>48</v>
      </c>
      <c r="H1067" s="22" t="s">
        <v>49</v>
      </c>
      <c r="I1067" s="22"/>
      <c r="J1067" s="22">
        <f>I1066</f>
        <v>3437</v>
      </c>
      <c r="K1067" s="22">
        <f t="shared" si="14"/>
        <v>3437</v>
      </c>
      <c r="L1067" s="17"/>
    </row>
    <row r="1068" spans="1:20" ht="24" x14ac:dyDescent="0.25">
      <c r="A1068" s="10">
        <v>46087</v>
      </c>
      <c r="B1068" s="2" t="s">
        <v>2043</v>
      </c>
      <c r="E1068" s="3" t="s">
        <v>1404</v>
      </c>
      <c r="F1068" s="4">
        <v>7962.84</v>
      </c>
      <c r="G1068" s="4" t="s">
        <v>167</v>
      </c>
      <c r="H1068" s="22" t="s">
        <v>2041</v>
      </c>
      <c r="I1068" s="22">
        <v>7962.84</v>
      </c>
      <c r="J1068" s="22"/>
      <c r="K1068" s="22">
        <f t="shared" si="14"/>
        <v>7962.84</v>
      </c>
      <c r="L1068" s="17">
        <v>7962.84</v>
      </c>
      <c r="M1068" s="23" t="s">
        <v>41</v>
      </c>
      <c r="N1068" s="1" t="s">
        <v>2044</v>
      </c>
      <c r="O1068" s="28" t="s">
        <v>2045</v>
      </c>
    </row>
    <row r="1069" spans="1:20" x14ac:dyDescent="0.25">
      <c r="A1069" s="10">
        <v>46087</v>
      </c>
      <c r="B1069" s="2" t="s">
        <v>2043</v>
      </c>
      <c r="E1069" s="3" t="s">
        <v>1404</v>
      </c>
      <c r="G1069" s="4" t="s">
        <v>48</v>
      </c>
      <c r="H1069" s="22" t="s">
        <v>49</v>
      </c>
      <c r="I1069" s="22"/>
      <c r="J1069" s="22">
        <f>I1068</f>
        <v>7962.84</v>
      </c>
      <c r="K1069" s="22">
        <f t="shared" si="14"/>
        <v>7962.84</v>
      </c>
      <c r="L1069" s="17"/>
      <c r="O1069" s="28"/>
    </row>
    <row r="1070" spans="1:20" ht="24" x14ac:dyDescent="0.25">
      <c r="A1070" s="10">
        <v>46087</v>
      </c>
      <c r="B1070" s="2" t="s">
        <v>2046</v>
      </c>
      <c r="C1070" s="2" t="s">
        <v>2047</v>
      </c>
      <c r="D1070" s="43" t="s">
        <v>1521</v>
      </c>
      <c r="E1070" s="3" t="s">
        <v>1131</v>
      </c>
      <c r="F1070" s="4">
        <v>25892.400000000001</v>
      </c>
      <c r="G1070" s="4" t="s">
        <v>48</v>
      </c>
      <c r="H1070" s="22" t="s">
        <v>2048</v>
      </c>
      <c r="I1070" s="22">
        <v>25892.400000000001</v>
      </c>
      <c r="J1070" s="22"/>
      <c r="K1070" s="22">
        <f t="shared" si="14"/>
        <v>25892.400000000001</v>
      </c>
      <c r="L1070" s="17"/>
      <c r="M1070" s="6" t="s">
        <v>581</v>
      </c>
      <c r="N1070" s="1" t="s">
        <v>2049</v>
      </c>
      <c r="O1070" s="28" t="s">
        <v>2050</v>
      </c>
    </row>
    <row r="1071" spans="1:20" x14ac:dyDescent="0.25">
      <c r="A1071" s="10">
        <v>46087</v>
      </c>
      <c r="B1071" s="2" t="s">
        <v>2046</v>
      </c>
      <c r="C1071" s="2" t="s">
        <v>2047</v>
      </c>
      <c r="D1071" s="43" t="s">
        <v>1521</v>
      </c>
      <c r="E1071" s="3" t="s">
        <v>1131</v>
      </c>
      <c r="G1071" s="4" t="s">
        <v>48</v>
      </c>
      <c r="H1071" s="22" t="s">
        <v>49</v>
      </c>
      <c r="I1071" s="22"/>
      <c r="J1071" s="22">
        <f>I1070</f>
        <v>25892.400000000001</v>
      </c>
      <c r="K1071" s="22">
        <f t="shared" si="14"/>
        <v>25892.400000000001</v>
      </c>
      <c r="L1071" s="17"/>
      <c r="O1071" s="28"/>
    </row>
    <row r="1072" spans="1:20" x14ac:dyDescent="0.25">
      <c r="A1072" s="10">
        <v>46087</v>
      </c>
      <c r="B1072" s="2" t="s">
        <v>2051</v>
      </c>
      <c r="C1072" s="2" t="s">
        <v>141</v>
      </c>
      <c r="E1072" s="3" t="s">
        <v>27</v>
      </c>
      <c r="F1072" s="4">
        <v>500000</v>
      </c>
      <c r="G1072" s="4" t="s">
        <v>48</v>
      </c>
      <c r="H1072" s="22" t="s">
        <v>81</v>
      </c>
      <c r="I1072" s="22">
        <v>500000</v>
      </c>
      <c r="J1072" s="22"/>
      <c r="K1072" s="22">
        <f t="shared" si="14"/>
        <v>500000</v>
      </c>
      <c r="L1072" s="17">
        <v>500000</v>
      </c>
      <c r="M1072" s="23" t="s">
        <v>41</v>
      </c>
      <c r="N1072" s="1" t="s">
        <v>2052</v>
      </c>
      <c r="O1072" s="7" t="s">
        <v>143</v>
      </c>
      <c r="P1072" s="7" t="s">
        <v>32</v>
      </c>
      <c r="Q1072" s="25" t="s">
        <v>2053</v>
      </c>
      <c r="R1072" s="7" t="s">
        <v>1814</v>
      </c>
      <c r="S1072" s="3" t="s">
        <v>145</v>
      </c>
      <c r="T1072" s="3" t="s">
        <v>324</v>
      </c>
    </row>
    <row r="1073" spans="1:20" x14ac:dyDescent="0.25">
      <c r="A1073" s="10">
        <v>46087</v>
      </c>
      <c r="B1073" s="2" t="s">
        <v>2051</v>
      </c>
      <c r="C1073" s="2" t="s">
        <v>141</v>
      </c>
      <c r="E1073" s="3" t="s">
        <v>27</v>
      </c>
      <c r="G1073" s="4" t="s">
        <v>48</v>
      </c>
      <c r="H1073" s="22" t="s">
        <v>29</v>
      </c>
      <c r="I1073" s="22"/>
      <c r="J1073" s="22">
        <f>I1072</f>
        <v>500000</v>
      </c>
      <c r="K1073" s="22">
        <f t="shared" si="14"/>
        <v>500000</v>
      </c>
      <c r="L1073" s="17"/>
      <c r="M1073" s="23"/>
      <c r="Q1073" s="25"/>
    </row>
    <row r="1074" spans="1:20" x14ac:dyDescent="0.25">
      <c r="A1074" s="10">
        <v>46087</v>
      </c>
      <c r="B1074" s="2" t="s">
        <v>2054</v>
      </c>
      <c r="C1074" s="2" t="s">
        <v>310</v>
      </c>
      <c r="E1074" s="3" t="s">
        <v>27</v>
      </c>
      <c r="F1074" s="4">
        <v>23156</v>
      </c>
      <c r="G1074" s="4" t="s">
        <v>48</v>
      </c>
      <c r="H1074" s="22" t="s">
        <v>363</v>
      </c>
      <c r="I1074" s="22">
        <v>23156</v>
      </c>
      <c r="J1074" s="22"/>
      <c r="K1074" s="22">
        <f t="shared" si="14"/>
        <v>23156</v>
      </c>
      <c r="L1074" s="17">
        <v>23156</v>
      </c>
      <c r="M1074" s="23" t="s">
        <v>41</v>
      </c>
      <c r="N1074" s="1" t="s">
        <v>2055</v>
      </c>
      <c r="O1074" s="7" t="s">
        <v>116</v>
      </c>
      <c r="P1074" s="7" t="s">
        <v>81</v>
      </c>
      <c r="R1074" s="7" t="s">
        <v>1814</v>
      </c>
      <c r="S1074" s="3" t="s">
        <v>83</v>
      </c>
      <c r="T1074" s="3" t="s">
        <v>1233</v>
      </c>
    </row>
    <row r="1075" spans="1:20" x14ac:dyDescent="0.25">
      <c r="A1075" s="10">
        <v>46087</v>
      </c>
      <c r="B1075" s="2" t="s">
        <v>2054</v>
      </c>
      <c r="C1075" s="2" t="s">
        <v>310</v>
      </c>
      <c r="E1075" s="3" t="s">
        <v>27</v>
      </c>
      <c r="G1075" s="4" t="s">
        <v>48</v>
      </c>
      <c r="H1075" s="22" t="s">
        <v>81</v>
      </c>
      <c r="I1075" s="22"/>
      <c r="J1075" s="22">
        <f>I1074</f>
        <v>23156</v>
      </c>
      <c r="K1075" s="22">
        <f t="shared" si="14"/>
        <v>23156</v>
      </c>
      <c r="L1075" s="17"/>
      <c r="M1075" s="23"/>
    </row>
    <row r="1076" spans="1:20" x14ac:dyDescent="0.25">
      <c r="A1076" s="10">
        <v>46087</v>
      </c>
      <c r="B1076" s="2" t="s">
        <v>2056</v>
      </c>
      <c r="C1076" s="2" t="s">
        <v>310</v>
      </c>
      <c r="E1076" s="3" t="s">
        <v>27</v>
      </c>
      <c r="F1076" s="4">
        <v>31032</v>
      </c>
      <c r="G1076" s="4" t="s">
        <v>48</v>
      </c>
      <c r="H1076" s="22" t="s">
        <v>344</v>
      </c>
      <c r="I1076" s="22">
        <v>31032</v>
      </c>
      <c r="J1076" s="22"/>
      <c r="K1076" s="22">
        <f t="shared" si="14"/>
        <v>31032</v>
      </c>
      <c r="L1076" s="17">
        <v>31032</v>
      </c>
      <c r="M1076" s="23" t="s">
        <v>41</v>
      </c>
      <c r="N1076" s="1" t="s">
        <v>2057</v>
      </c>
      <c r="O1076" s="7" t="s">
        <v>116</v>
      </c>
      <c r="P1076" s="7" t="s">
        <v>81</v>
      </c>
      <c r="R1076" s="7" t="s">
        <v>1703</v>
      </c>
      <c r="S1076" s="3" t="s">
        <v>83</v>
      </c>
      <c r="T1076" s="3" t="s">
        <v>1233</v>
      </c>
    </row>
    <row r="1077" spans="1:20" x14ac:dyDescent="0.25">
      <c r="A1077" s="10">
        <v>46087</v>
      </c>
      <c r="B1077" s="2" t="s">
        <v>2056</v>
      </c>
      <c r="C1077" s="2" t="s">
        <v>310</v>
      </c>
      <c r="E1077" s="3" t="s">
        <v>27</v>
      </c>
      <c r="G1077" s="4" t="s">
        <v>48</v>
      </c>
      <c r="H1077" s="22" t="s">
        <v>81</v>
      </c>
      <c r="I1077" s="22"/>
      <c r="J1077" s="22">
        <f>I1076</f>
        <v>31032</v>
      </c>
      <c r="K1077" s="22">
        <f t="shared" si="14"/>
        <v>31032</v>
      </c>
      <c r="L1077" s="17"/>
      <c r="M1077" s="23"/>
    </row>
    <row r="1078" spans="1:20" ht="24" x14ac:dyDescent="0.25">
      <c r="A1078" s="10">
        <v>46090</v>
      </c>
      <c r="B1078" s="2" t="s">
        <v>2058</v>
      </c>
      <c r="C1078" s="2" t="s">
        <v>1562</v>
      </c>
      <c r="D1078" s="2" t="s">
        <v>65</v>
      </c>
      <c r="E1078" s="3" t="s">
        <v>66</v>
      </c>
      <c r="F1078" s="4">
        <f>422100.4-200000</f>
        <v>222100.40000000002</v>
      </c>
      <c r="G1078" s="4" t="s">
        <v>28</v>
      </c>
      <c r="H1078" s="22" t="s">
        <v>57</v>
      </c>
      <c r="I1078" s="22">
        <v>1045296</v>
      </c>
      <c r="J1078" s="22"/>
      <c r="K1078" s="22">
        <f t="shared" si="14"/>
        <v>1045296</v>
      </c>
      <c r="L1078" s="17"/>
      <c r="M1078" s="6" t="s">
        <v>581</v>
      </c>
      <c r="N1078" s="1" t="s">
        <v>2059</v>
      </c>
    </row>
    <row r="1079" spans="1:20" x14ac:dyDescent="0.25">
      <c r="A1079" s="10">
        <v>46090</v>
      </c>
      <c r="B1079" s="2" t="s">
        <v>2058</v>
      </c>
      <c r="C1079" s="2" t="s">
        <v>1562</v>
      </c>
      <c r="D1079" s="2" t="s">
        <v>65</v>
      </c>
      <c r="E1079" s="3" t="s">
        <v>66</v>
      </c>
      <c r="G1079" s="4" t="s">
        <v>28</v>
      </c>
      <c r="H1079" s="22" t="s">
        <v>60</v>
      </c>
      <c r="I1079" s="22"/>
      <c r="J1079" s="22">
        <v>18666</v>
      </c>
      <c r="K1079" s="22">
        <f t="shared" si="14"/>
        <v>18666</v>
      </c>
      <c r="L1079" s="17"/>
    </row>
    <row r="1080" spans="1:20" x14ac:dyDescent="0.25">
      <c r="A1080" s="10">
        <v>46090</v>
      </c>
      <c r="B1080" s="2" t="s">
        <v>2058</v>
      </c>
      <c r="C1080" s="2" t="s">
        <v>1562</v>
      </c>
      <c r="D1080" s="2" t="s">
        <v>65</v>
      </c>
      <c r="E1080" s="3" t="s">
        <v>66</v>
      </c>
      <c r="G1080" s="4" t="s">
        <v>28</v>
      </c>
      <c r="H1080" s="22" t="s">
        <v>61</v>
      </c>
      <c r="I1080" s="22"/>
      <c r="J1080" s="22">
        <v>500000</v>
      </c>
      <c r="K1080" s="22">
        <f t="shared" si="14"/>
        <v>500000</v>
      </c>
      <c r="L1080" s="17"/>
    </row>
    <row r="1081" spans="1:20" x14ac:dyDescent="0.25">
      <c r="A1081" s="10">
        <v>46090</v>
      </c>
      <c r="B1081" s="2" t="s">
        <v>2058</v>
      </c>
      <c r="C1081" s="2" t="s">
        <v>1562</v>
      </c>
      <c r="D1081" s="2" t="s">
        <v>65</v>
      </c>
      <c r="E1081" s="3" t="s">
        <v>66</v>
      </c>
      <c r="G1081" s="4" t="s">
        <v>28</v>
      </c>
      <c r="H1081" s="22" t="s">
        <v>62</v>
      </c>
      <c r="I1081" s="22"/>
      <c r="J1081" s="22">
        <v>104529.60000000001</v>
      </c>
      <c r="K1081" s="22">
        <f t="shared" si="14"/>
        <v>104529.60000000001</v>
      </c>
      <c r="L1081" s="17"/>
    </row>
    <row r="1082" spans="1:20" x14ac:dyDescent="0.25">
      <c r="A1082" s="10">
        <v>46090</v>
      </c>
      <c r="B1082" s="2" t="s">
        <v>2058</v>
      </c>
      <c r="C1082" s="2" t="s">
        <v>1562</v>
      </c>
      <c r="D1082" s="2" t="s">
        <v>65</v>
      </c>
      <c r="E1082" s="3" t="s">
        <v>66</v>
      </c>
      <c r="G1082" s="4" t="s">
        <v>48</v>
      </c>
      <c r="H1082" s="22" t="s">
        <v>49</v>
      </c>
      <c r="I1082" s="22"/>
      <c r="J1082" s="22">
        <f>I1078-J1079-J1080-J1081</f>
        <v>422100.4</v>
      </c>
      <c r="K1082" s="22">
        <f t="shared" si="14"/>
        <v>422100.4</v>
      </c>
      <c r="L1082" s="17"/>
    </row>
    <row r="1083" spans="1:20" ht="24" x14ac:dyDescent="0.25">
      <c r="A1083" s="10">
        <v>46090</v>
      </c>
      <c r="B1083" s="2" t="s">
        <v>2060</v>
      </c>
      <c r="C1083" s="2" t="s">
        <v>2061</v>
      </c>
      <c r="D1083" s="2" t="s">
        <v>2062</v>
      </c>
      <c r="E1083" s="3" t="s">
        <v>1068</v>
      </c>
      <c r="F1083" s="3">
        <v>548.15</v>
      </c>
      <c r="G1083" s="4" t="s">
        <v>28</v>
      </c>
      <c r="H1083" s="34" t="s">
        <v>40</v>
      </c>
      <c r="I1083" s="34">
        <v>548.15</v>
      </c>
      <c r="J1083" s="34"/>
      <c r="K1083" s="22">
        <f t="shared" si="14"/>
        <v>548.15</v>
      </c>
      <c r="L1083" s="32"/>
      <c r="M1083" s="6" t="s">
        <v>581</v>
      </c>
      <c r="N1083" s="1" t="s">
        <v>2063</v>
      </c>
    </row>
    <row r="1084" spans="1:20" x14ac:dyDescent="0.25">
      <c r="A1084" s="10">
        <v>46090</v>
      </c>
      <c r="B1084" s="2" t="s">
        <v>2060</v>
      </c>
      <c r="C1084" s="2" t="s">
        <v>2061</v>
      </c>
      <c r="D1084" s="2" t="s">
        <v>2062</v>
      </c>
      <c r="E1084" s="3" t="s">
        <v>1068</v>
      </c>
      <c r="F1084" s="3"/>
      <c r="G1084" s="4" t="s">
        <v>48</v>
      </c>
      <c r="H1084" s="22" t="s">
        <v>49</v>
      </c>
      <c r="I1084" s="34"/>
      <c r="J1084" s="34">
        <f>I1083</f>
        <v>548.15</v>
      </c>
      <c r="K1084" s="22">
        <f t="shared" si="14"/>
        <v>548.15</v>
      </c>
      <c r="L1084" s="32"/>
    </row>
    <row r="1085" spans="1:20" ht="24" x14ac:dyDescent="0.25">
      <c r="A1085" s="10">
        <v>46090</v>
      </c>
      <c r="B1085" s="2" t="s">
        <v>2064</v>
      </c>
      <c r="C1085" s="2" t="s">
        <v>95</v>
      </c>
      <c r="D1085" s="2" t="s">
        <v>2065</v>
      </c>
      <c r="E1085" s="3" t="s">
        <v>136</v>
      </c>
      <c r="F1085" s="4">
        <v>5000</v>
      </c>
      <c r="G1085" s="4" t="s">
        <v>48</v>
      </c>
      <c r="H1085" s="22" t="s">
        <v>78</v>
      </c>
      <c r="I1085" s="22">
        <v>2500</v>
      </c>
      <c r="J1085" s="22"/>
      <c r="K1085" s="22">
        <f t="shared" si="14"/>
        <v>2500</v>
      </c>
      <c r="L1085" s="17">
        <v>5000</v>
      </c>
      <c r="M1085" s="23" t="s">
        <v>41</v>
      </c>
      <c r="N1085" s="1" t="s">
        <v>2066</v>
      </c>
      <c r="O1085" s="7" t="s">
        <v>2067</v>
      </c>
      <c r="P1085" s="7" t="s">
        <v>81</v>
      </c>
      <c r="R1085" s="7" t="s">
        <v>1588</v>
      </c>
      <c r="S1085" s="3" t="s">
        <v>83</v>
      </c>
      <c r="T1085" s="3" t="s">
        <v>1975</v>
      </c>
    </row>
    <row r="1086" spans="1:20" x14ac:dyDescent="0.25">
      <c r="A1086" s="10">
        <v>46090</v>
      </c>
      <c r="B1086" s="2" t="s">
        <v>2064</v>
      </c>
      <c r="C1086" s="2" t="s">
        <v>95</v>
      </c>
      <c r="D1086" s="2" t="s">
        <v>2065</v>
      </c>
      <c r="E1086" s="3" t="s">
        <v>136</v>
      </c>
      <c r="G1086" s="4" t="s">
        <v>98</v>
      </c>
      <c r="H1086" s="22" t="s">
        <v>78</v>
      </c>
      <c r="I1086" s="22">
        <v>2500</v>
      </c>
      <c r="J1086" s="22"/>
      <c r="K1086" s="22">
        <f t="shared" si="14"/>
        <v>2500</v>
      </c>
      <c r="L1086" s="17"/>
    </row>
    <row r="1087" spans="1:20" x14ac:dyDescent="0.25">
      <c r="A1087" s="10">
        <v>46090</v>
      </c>
      <c r="B1087" s="2" t="s">
        <v>2064</v>
      </c>
      <c r="C1087" s="2" t="s">
        <v>95</v>
      </c>
      <c r="D1087" s="2" t="s">
        <v>2065</v>
      </c>
      <c r="E1087" s="3" t="s">
        <v>136</v>
      </c>
      <c r="G1087" s="4" t="s">
        <v>48</v>
      </c>
      <c r="H1087" s="22" t="s">
        <v>49</v>
      </c>
      <c r="I1087" s="22"/>
      <c r="J1087" s="22">
        <f>I1085+I1086</f>
        <v>5000</v>
      </c>
      <c r="K1087" s="22">
        <f t="shared" si="14"/>
        <v>5000</v>
      </c>
      <c r="L1087" s="17"/>
    </row>
    <row r="1088" spans="1:20" ht="24" x14ac:dyDescent="0.25">
      <c r="A1088" s="10">
        <v>46090</v>
      </c>
      <c r="B1088" s="2" t="s">
        <v>2068</v>
      </c>
      <c r="C1088" s="2" t="s">
        <v>141</v>
      </c>
      <c r="E1088" s="3" t="s">
        <v>27</v>
      </c>
      <c r="F1088" s="4">
        <v>1000000</v>
      </c>
      <c r="G1088" s="4" t="s">
        <v>48</v>
      </c>
      <c r="H1088" s="22" t="s">
        <v>81</v>
      </c>
      <c r="I1088" s="22">
        <v>1000000</v>
      </c>
      <c r="J1088" s="22"/>
      <c r="K1088" s="22">
        <f t="shared" si="14"/>
        <v>1000000</v>
      </c>
      <c r="L1088" s="17">
        <v>1000000</v>
      </c>
      <c r="M1088" s="23" t="s">
        <v>41</v>
      </c>
      <c r="N1088" s="1" t="s">
        <v>2069</v>
      </c>
      <c r="O1088" s="7" t="s">
        <v>143</v>
      </c>
      <c r="P1088" s="7" t="s">
        <v>32</v>
      </c>
      <c r="Q1088" s="25" t="s">
        <v>2070</v>
      </c>
      <c r="R1088" s="7" t="s">
        <v>1703</v>
      </c>
      <c r="S1088" s="3" t="s">
        <v>145</v>
      </c>
      <c r="T1088" s="3" t="s">
        <v>324</v>
      </c>
    </row>
    <row r="1089" spans="1:20" x14ac:dyDescent="0.25">
      <c r="A1089" s="10">
        <v>46090</v>
      </c>
      <c r="B1089" s="2" t="s">
        <v>2068</v>
      </c>
      <c r="C1089" s="2" t="s">
        <v>141</v>
      </c>
      <c r="E1089" s="3" t="s">
        <v>27</v>
      </c>
      <c r="G1089" s="4" t="s">
        <v>48</v>
      </c>
      <c r="H1089" s="22" t="s">
        <v>29</v>
      </c>
      <c r="I1089" s="22"/>
      <c r="J1089" s="22">
        <f>I1088</f>
        <v>1000000</v>
      </c>
      <c r="K1089" s="22">
        <f t="shared" si="14"/>
        <v>1000000</v>
      </c>
      <c r="L1089" s="17"/>
      <c r="M1089" s="23"/>
      <c r="Q1089" s="25"/>
    </row>
    <row r="1090" spans="1:20" x14ac:dyDescent="0.25">
      <c r="A1090" s="10">
        <v>46090</v>
      </c>
      <c r="B1090" s="2" t="s">
        <v>2071</v>
      </c>
      <c r="C1090" s="2" t="s">
        <v>310</v>
      </c>
      <c r="E1090" s="3" t="s">
        <v>27</v>
      </c>
      <c r="F1090" s="4">
        <v>2000000</v>
      </c>
      <c r="G1090" s="3" t="s">
        <v>167</v>
      </c>
      <c r="H1090" s="34" t="s">
        <v>1992</v>
      </c>
      <c r="I1090" s="22">
        <v>2000000</v>
      </c>
      <c r="J1090" s="34"/>
      <c r="K1090" s="22">
        <f t="shared" si="14"/>
        <v>2000000</v>
      </c>
      <c r="L1090" s="17">
        <v>2000000</v>
      </c>
      <c r="M1090" s="23" t="s">
        <v>41</v>
      </c>
      <c r="N1090" s="1" t="s">
        <v>2072</v>
      </c>
      <c r="O1090" s="7" t="s">
        <v>313</v>
      </c>
      <c r="P1090" s="7" t="s">
        <v>32</v>
      </c>
      <c r="Q1090" s="25" t="s">
        <v>2073</v>
      </c>
      <c r="R1090" s="7" t="s">
        <v>1703</v>
      </c>
      <c r="S1090" s="3" t="s">
        <v>145</v>
      </c>
      <c r="T1090" s="3" t="s">
        <v>324</v>
      </c>
    </row>
    <row r="1091" spans="1:20" x14ac:dyDescent="0.25">
      <c r="A1091" s="10">
        <v>46090</v>
      </c>
      <c r="B1091" s="2" t="s">
        <v>2071</v>
      </c>
      <c r="C1091" s="2" t="s">
        <v>310</v>
      </c>
      <c r="E1091" s="3" t="s">
        <v>27</v>
      </c>
      <c r="G1091" s="4" t="s">
        <v>48</v>
      </c>
      <c r="H1091" s="22" t="s">
        <v>29</v>
      </c>
      <c r="I1091" s="34"/>
      <c r="J1091" s="35">
        <f>I1090</f>
        <v>2000000</v>
      </c>
      <c r="K1091" s="22">
        <f t="shared" si="14"/>
        <v>2000000</v>
      </c>
      <c r="L1091" s="32"/>
      <c r="M1091" s="23"/>
      <c r="Q1091" s="25"/>
    </row>
    <row r="1092" spans="1:20" x14ac:dyDescent="0.25">
      <c r="A1092" s="10">
        <v>46090</v>
      </c>
      <c r="B1092" s="2" t="s">
        <v>2074</v>
      </c>
      <c r="D1092" s="31" t="s">
        <v>180</v>
      </c>
      <c r="E1092" s="3" t="s">
        <v>181</v>
      </c>
      <c r="F1092" s="4">
        <v>600000</v>
      </c>
      <c r="G1092" s="3" t="s">
        <v>167</v>
      </c>
      <c r="H1092" s="22" t="s">
        <v>168</v>
      </c>
      <c r="I1092" s="22">
        <v>600000</v>
      </c>
      <c r="J1092" s="22"/>
      <c r="K1092" s="22">
        <f t="shared" si="14"/>
        <v>600000</v>
      </c>
      <c r="L1092" s="17">
        <v>600000</v>
      </c>
      <c r="M1092" s="23" t="s">
        <v>41</v>
      </c>
      <c r="N1092" s="1" t="s">
        <v>1735</v>
      </c>
      <c r="O1092" s="7" t="s">
        <v>177</v>
      </c>
      <c r="P1092" s="7" t="s">
        <v>81</v>
      </c>
      <c r="R1092" s="7" t="s">
        <v>1703</v>
      </c>
      <c r="S1092" s="3" t="s">
        <v>83</v>
      </c>
      <c r="T1092" s="3" t="s">
        <v>2075</v>
      </c>
    </row>
    <row r="1093" spans="1:20" x14ac:dyDescent="0.25">
      <c r="A1093" s="10">
        <v>46090</v>
      </c>
      <c r="B1093" s="2" t="s">
        <v>2074</v>
      </c>
      <c r="D1093" s="31" t="s">
        <v>180</v>
      </c>
      <c r="E1093" s="3" t="s">
        <v>181</v>
      </c>
      <c r="G1093" s="4" t="s">
        <v>48</v>
      </c>
      <c r="H1093" s="22" t="s">
        <v>81</v>
      </c>
      <c r="I1093" s="22"/>
      <c r="J1093" s="22">
        <f>I1092</f>
        <v>600000</v>
      </c>
      <c r="K1093" s="22">
        <f t="shared" si="14"/>
        <v>600000</v>
      </c>
      <c r="L1093" s="17"/>
      <c r="M1093" s="23"/>
    </row>
    <row r="1094" spans="1:20" x14ac:dyDescent="0.25">
      <c r="A1094" s="10">
        <v>46090</v>
      </c>
      <c r="B1094" s="2" t="s">
        <v>2076</v>
      </c>
      <c r="D1094" s="31" t="s">
        <v>165</v>
      </c>
      <c r="E1094" s="3" t="s">
        <v>166</v>
      </c>
      <c r="F1094" s="4">
        <v>200000</v>
      </c>
      <c r="G1094" s="3" t="s">
        <v>167</v>
      </c>
      <c r="H1094" s="22" t="s">
        <v>168</v>
      </c>
      <c r="I1094" s="22">
        <v>200000</v>
      </c>
      <c r="J1094" s="22"/>
      <c r="K1094" s="22">
        <f t="shared" si="14"/>
        <v>200000</v>
      </c>
      <c r="L1094" s="17">
        <v>200000</v>
      </c>
      <c r="M1094" s="23" t="s">
        <v>41</v>
      </c>
      <c r="N1094" s="1" t="s">
        <v>1738</v>
      </c>
      <c r="O1094" s="7" t="s">
        <v>177</v>
      </c>
      <c r="P1094" s="7" t="s">
        <v>81</v>
      </c>
      <c r="R1094" s="7" t="s">
        <v>1703</v>
      </c>
      <c r="S1094" s="3" t="s">
        <v>83</v>
      </c>
      <c r="T1094" s="3" t="s">
        <v>2075</v>
      </c>
    </row>
    <row r="1095" spans="1:20" x14ac:dyDescent="0.25">
      <c r="A1095" s="10">
        <v>46090</v>
      </c>
      <c r="B1095" s="2" t="s">
        <v>2076</v>
      </c>
      <c r="D1095" s="31" t="s">
        <v>165</v>
      </c>
      <c r="E1095" s="3" t="s">
        <v>166</v>
      </c>
      <c r="G1095" s="4" t="s">
        <v>48</v>
      </c>
      <c r="H1095" s="22" t="s">
        <v>81</v>
      </c>
      <c r="I1095" s="22"/>
      <c r="J1095" s="22">
        <f>I1094</f>
        <v>200000</v>
      </c>
      <c r="K1095" s="22">
        <f t="shared" si="14"/>
        <v>200000</v>
      </c>
      <c r="L1095" s="17"/>
      <c r="M1095" s="23"/>
    </row>
    <row r="1096" spans="1:20" x14ac:dyDescent="0.25">
      <c r="A1096" s="10">
        <v>46090</v>
      </c>
      <c r="B1096" s="2" t="s">
        <v>2077</v>
      </c>
      <c r="C1096" s="2" t="s">
        <v>164</v>
      </c>
      <c r="D1096" s="31" t="s">
        <v>189</v>
      </c>
      <c r="E1096" s="3" t="s">
        <v>190</v>
      </c>
      <c r="F1096" s="4">
        <v>100000</v>
      </c>
      <c r="G1096" s="3" t="s">
        <v>167</v>
      </c>
      <c r="H1096" s="22" t="s">
        <v>168</v>
      </c>
      <c r="I1096" s="22">
        <v>100000</v>
      </c>
      <c r="J1096" s="22"/>
      <c r="K1096" s="22">
        <f t="shared" si="14"/>
        <v>100000</v>
      </c>
      <c r="L1096" s="17">
        <v>100000</v>
      </c>
      <c r="M1096" s="23" t="s">
        <v>41</v>
      </c>
      <c r="N1096" s="8" t="s">
        <v>191</v>
      </c>
      <c r="O1096" s="7" t="s">
        <v>177</v>
      </c>
      <c r="P1096" s="7" t="s">
        <v>81</v>
      </c>
      <c r="R1096" s="7" t="s">
        <v>1703</v>
      </c>
      <c r="S1096" s="3" t="s">
        <v>83</v>
      </c>
      <c r="T1096" s="3" t="s">
        <v>2075</v>
      </c>
    </row>
    <row r="1097" spans="1:20" x14ac:dyDescent="0.25">
      <c r="A1097" s="10">
        <v>46090</v>
      </c>
      <c r="B1097" s="2" t="s">
        <v>2077</v>
      </c>
      <c r="C1097" s="2" t="s">
        <v>164</v>
      </c>
      <c r="D1097" s="31" t="s">
        <v>189</v>
      </c>
      <c r="E1097" s="3" t="s">
        <v>190</v>
      </c>
      <c r="G1097" s="4" t="s">
        <v>48</v>
      </c>
      <c r="H1097" s="22" t="s">
        <v>81</v>
      </c>
      <c r="I1097" s="22"/>
      <c r="J1097" s="22">
        <f>I1096</f>
        <v>100000</v>
      </c>
      <c r="K1097" s="22">
        <f t="shared" si="14"/>
        <v>100000</v>
      </c>
      <c r="L1097" s="17"/>
      <c r="M1097" s="23"/>
      <c r="N1097" s="8"/>
    </row>
    <row r="1098" spans="1:20" x14ac:dyDescent="0.25">
      <c r="A1098" s="10">
        <v>46090</v>
      </c>
      <c r="B1098" s="2" t="s">
        <v>2078</v>
      </c>
      <c r="E1098" s="3" t="s">
        <v>398</v>
      </c>
      <c r="F1098" s="4">
        <v>56000</v>
      </c>
      <c r="G1098" s="3" t="s">
        <v>167</v>
      </c>
      <c r="H1098" s="22" t="s">
        <v>168</v>
      </c>
      <c r="I1098" s="22">
        <v>56000</v>
      </c>
      <c r="J1098" s="22"/>
      <c r="K1098" s="22">
        <f t="shared" si="14"/>
        <v>56000</v>
      </c>
      <c r="L1098" s="17">
        <v>56000</v>
      </c>
      <c r="M1098" s="23" t="s">
        <v>41</v>
      </c>
      <c r="N1098" s="1" t="s">
        <v>2079</v>
      </c>
      <c r="O1098" s="7" t="s">
        <v>913</v>
      </c>
      <c r="P1098" s="7" t="s">
        <v>81</v>
      </c>
      <c r="R1098" s="7" t="s">
        <v>1703</v>
      </c>
      <c r="S1098" s="3" t="s">
        <v>83</v>
      </c>
      <c r="T1098" s="3" t="s">
        <v>2075</v>
      </c>
    </row>
    <row r="1099" spans="1:20" x14ac:dyDescent="0.25">
      <c r="A1099" s="10">
        <v>46090</v>
      </c>
      <c r="B1099" s="2" t="s">
        <v>2078</v>
      </c>
      <c r="E1099" s="3" t="s">
        <v>398</v>
      </c>
      <c r="G1099" s="4" t="s">
        <v>48</v>
      </c>
      <c r="H1099" s="22" t="s">
        <v>81</v>
      </c>
      <c r="I1099" s="22"/>
      <c r="J1099" s="22">
        <f>I1098</f>
        <v>56000</v>
      </c>
      <c r="K1099" s="22">
        <f t="shared" si="14"/>
        <v>56000</v>
      </c>
      <c r="L1099" s="17"/>
      <c r="M1099" s="23"/>
    </row>
    <row r="1100" spans="1:20" x14ac:dyDescent="0.25">
      <c r="A1100" s="10">
        <v>46090</v>
      </c>
      <c r="B1100" s="2" t="s">
        <v>2080</v>
      </c>
      <c r="C1100" s="2" t="s">
        <v>173</v>
      </c>
      <c r="D1100" s="31" t="s">
        <v>174</v>
      </c>
      <c r="E1100" s="3" t="s">
        <v>175</v>
      </c>
      <c r="F1100" s="4">
        <f>1000000-F1092-F1094-F1096-F1098</f>
        <v>44000</v>
      </c>
      <c r="G1100" s="3" t="s">
        <v>167</v>
      </c>
      <c r="H1100" s="22" t="s">
        <v>168</v>
      </c>
      <c r="I1100" s="22">
        <v>44000</v>
      </c>
      <c r="J1100" s="22"/>
      <c r="K1100" s="22">
        <f t="shared" si="14"/>
        <v>44000</v>
      </c>
      <c r="L1100" s="17">
        <v>44000</v>
      </c>
      <c r="M1100" s="23" t="s">
        <v>41</v>
      </c>
      <c r="N1100" s="1" t="s">
        <v>1740</v>
      </c>
      <c r="O1100" s="7" t="s">
        <v>177</v>
      </c>
      <c r="P1100" s="7" t="s">
        <v>81</v>
      </c>
      <c r="R1100" s="7" t="s">
        <v>1703</v>
      </c>
      <c r="S1100" s="3" t="s">
        <v>83</v>
      </c>
      <c r="T1100" s="3" t="s">
        <v>2075</v>
      </c>
    </row>
    <row r="1101" spans="1:20" x14ac:dyDescent="0.25">
      <c r="A1101" s="10">
        <v>46090</v>
      </c>
      <c r="B1101" s="2" t="s">
        <v>2080</v>
      </c>
      <c r="C1101" s="2" t="s">
        <v>173</v>
      </c>
      <c r="D1101" s="31" t="s">
        <v>174</v>
      </c>
      <c r="E1101" s="3" t="s">
        <v>175</v>
      </c>
      <c r="G1101" s="4" t="s">
        <v>48</v>
      </c>
      <c r="H1101" s="22" t="s">
        <v>81</v>
      </c>
      <c r="I1101" s="22"/>
      <c r="J1101" s="22">
        <f>I1100</f>
        <v>44000</v>
      </c>
      <c r="K1101" s="22">
        <f t="shared" si="14"/>
        <v>44000</v>
      </c>
      <c r="L1101" s="17"/>
      <c r="M1101" s="23"/>
    </row>
    <row r="1102" spans="1:20" ht="24" x14ac:dyDescent="0.25">
      <c r="A1102" s="10">
        <v>46091</v>
      </c>
      <c r="B1102" s="2" t="s">
        <v>2081</v>
      </c>
      <c r="C1102" s="2" t="s">
        <v>95</v>
      </c>
      <c r="D1102" s="2" t="s">
        <v>2082</v>
      </c>
      <c r="E1102" s="3" t="s">
        <v>2083</v>
      </c>
      <c r="F1102" s="4">
        <f>3400+2700+2300+2000</f>
        <v>10400</v>
      </c>
      <c r="G1102" s="3" t="s">
        <v>77</v>
      </c>
      <c r="H1102" s="34" t="s">
        <v>809</v>
      </c>
      <c r="I1102" s="22">
        <v>10400</v>
      </c>
      <c r="J1102" s="34"/>
      <c r="K1102" s="22">
        <f t="shared" si="14"/>
        <v>10400</v>
      </c>
      <c r="L1102" s="17">
        <v>10400</v>
      </c>
      <c r="M1102" s="23" t="s">
        <v>41</v>
      </c>
      <c r="N1102" s="1" t="s">
        <v>2084</v>
      </c>
    </row>
    <row r="1103" spans="1:20" x14ac:dyDescent="0.25">
      <c r="A1103" s="10">
        <v>46091</v>
      </c>
      <c r="B1103" s="2" t="s">
        <v>2081</v>
      </c>
      <c r="C1103" s="2" t="s">
        <v>95</v>
      </c>
      <c r="D1103" s="2" t="s">
        <v>2082</v>
      </c>
      <c r="E1103" s="3" t="s">
        <v>2083</v>
      </c>
      <c r="G1103" s="4" t="s">
        <v>48</v>
      </c>
      <c r="H1103" s="34" t="s">
        <v>49</v>
      </c>
      <c r="I1103" s="34"/>
      <c r="J1103" s="35">
        <f>I1102</f>
        <v>10400</v>
      </c>
      <c r="K1103" s="22">
        <f t="shared" si="14"/>
        <v>10400</v>
      </c>
      <c r="L1103" s="32"/>
    </row>
    <row r="1104" spans="1:20" x14ac:dyDescent="0.25">
      <c r="A1104" s="10">
        <v>46091</v>
      </c>
      <c r="B1104" s="2" t="s">
        <v>2085</v>
      </c>
      <c r="C1104" s="2" t="s">
        <v>95</v>
      </c>
      <c r="D1104" s="2" t="s">
        <v>2086</v>
      </c>
      <c r="E1104" s="3" t="s">
        <v>76</v>
      </c>
      <c r="F1104" s="4">
        <v>7100</v>
      </c>
      <c r="G1104" s="4" t="s">
        <v>128</v>
      </c>
      <c r="H1104" s="22" t="s">
        <v>78</v>
      </c>
      <c r="I1104" s="22">
        <v>7100</v>
      </c>
      <c r="J1104" s="22"/>
      <c r="K1104" s="22">
        <f t="shared" si="14"/>
        <v>7100</v>
      </c>
      <c r="L1104" s="17">
        <v>7100</v>
      </c>
      <c r="M1104" s="23" t="s">
        <v>41</v>
      </c>
      <c r="N1104" s="8" t="s">
        <v>2087</v>
      </c>
      <c r="O1104" s="7" t="s">
        <v>2088</v>
      </c>
      <c r="P1104" s="7" t="s">
        <v>2089</v>
      </c>
      <c r="R1104" s="7" t="s">
        <v>2090</v>
      </c>
      <c r="S1104" s="3" t="s">
        <v>2091</v>
      </c>
    </row>
    <row r="1105" spans="1:20" x14ac:dyDescent="0.25">
      <c r="A1105" s="10">
        <v>46091</v>
      </c>
      <c r="B1105" s="2" t="s">
        <v>2085</v>
      </c>
      <c r="C1105" s="2" t="s">
        <v>95</v>
      </c>
      <c r="D1105" s="2" t="s">
        <v>2086</v>
      </c>
      <c r="E1105" s="3" t="s">
        <v>76</v>
      </c>
      <c r="G1105" s="4" t="s">
        <v>48</v>
      </c>
      <c r="H1105" s="34" t="s">
        <v>49</v>
      </c>
      <c r="I1105" s="22"/>
      <c r="J1105" s="22">
        <f>I1104</f>
        <v>7100</v>
      </c>
      <c r="K1105" s="22">
        <f t="shared" si="14"/>
        <v>7100</v>
      </c>
      <c r="L1105" s="17"/>
      <c r="N1105" s="8"/>
    </row>
    <row r="1106" spans="1:20" ht="24" x14ac:dyDescent="0.25">
      <c r="A1106" s="10">
        <v>46091</v>
      </c>
      <c r="B1106" s="2" t="s">
        <v>2092</v>
      </c>
      <c r="C1106" s="2" t="s">
        <v>95</v>
      </c>
      <c r="D1106" s="2" t="s">
        <v>2093</v>
      </c>
      <c r="E1106" s="3" t="s">
        <v>816</v>
      </c>
      <c r="F1106" s="4">
        <f>9053.1+2531.89+10796.06+2852.22</f>
        <v>25233.27</v>
      </c>
      <c r="G1106" s="4" t="s">
        <v>211</v>
      </c>
      <c r="H1106" s="22" t="s">
        <v>2094</v>
      </c>
      <c r="I1106" s="22">
        <f>10796.06+2852.22</f>
        <v>13648.279999999999</v>
      </c>
      <c r="J1106" s="22"/>
      <c r="K1106" s="22">
        <f t="shared" si="14"/>
        <v>13648.279999999999</v>
      </c>
      <c r="L1106" s="17"/>
      <c r="M1106" s="23" t="s">
        <v>41</v>
      </c>
      <c r="N1106" s="1" t="s">
        <v>2095</v>
      </c>
    </row>
    <row r="1107" spans="1:20" x14ac:dyDescent="0.25">
      <c r="A1107" s="10">
        <v>46091</v>
      </c>
      <c r="B1107" s="2" t="s">
        <v>2092</v>
      </c>
      <c r="C1107" s="2" t="s">
        <v>95</v>
      </c>
      <c r="D1107" s="2" t="s">
        <v>2093</v>
      </c>
      <c r="E1107" s="3" t="s">
        <v>816</v>
      </c>
      <c r="G1107" s="4" t="s">
        <v>204</v>
      </c>
      <c r="H1107" s="22" t="s">
        <v>2094</v>
      </c>
      <c r="I1107" s="22">
        <f>9053.1+2531.89</f>
        <v>11584.99</v>
      </c>
      <c r="J1107" s="22"/>
      <c r="K1107" s="22">
        <f t="shared" si="14"/>
        <v>11584.99</v>
      </c>
      <c r="L1107" s="17"/>
    </row>
    <row r="1108" spans="1:20" x14ac:dyDescent="0.25">
      <c r="A1108" s="10">
        <v>46091</v>
      </c>
      <c r="B1108" s="2" t="s">
        <v>2092</v>
      </c>
      <c r="C1108" s="2" t="s">
        <v>95</v>
      </c>
      <c r="D1108" s="2" t="s">
        <v>2093</v>
      </c>
      <c r="E1108" s="3" t="s">
        <v>816</v>
      </c>
      <c r="G1108" s="4" t="s">
        <v>48</v>
      </c>
      <c r="H1108" s="22" t="s">
        <v>49</v>
      </c>
      <c r="I1108" s="22"/>
      <c r="J1108" s="22">
        <f>I1106+I1107</f>
        <v>25233.269999999997</v>
      </c>
      <c r="K1108" s="22">
        <f t="shared" si="14"/>
        <v>25233.269999999997</v>
      </c>
      <c r="L1108" s="17"/>
    </row>
    <row r="1109" spans="1:20" ht="24" x14ac:dyDescent="0.25">
      <c r="A1109" s="10">
        <v>46091</v>
      </c>
      <c r="B1109" s="2" t="s">
        <v>2096</v>
      </c>
      <c r="E1109" s="3" t="s">
        <v>2097</v>
      </c>
      <c r="F1109" s="4">
        <v>32528.47</v>
      </c>
      <c r="G1109" s="4" t="s">
        <v>48</v>
      </c>
      <c r="H1109" s="22" t="s">
        <v>2098</v>
      </c>
      <c r="I1109" s="22">
        <v>32528.47</v>
      </c>
      <c r="J1109" s="22"/>
      <c r="K1109" s="22">
        <f t="shared" si="14"/>
        <v>32528.47</v>
      </c>
      <c r="L1109" s="17">
        <v>32528.47</v>
      </c>
      <c r="M1109" s="23" t="s">
        <v>41</v>
      </c>
      <c r="N1109" s="1" t="s">
        <v>2099</v>
      </c>
      <c r="O1109" s="7" t="s">
        <v>1950</v>
      </c>
    </row>
    <row r="1110" spans="1:20" x14ac:dyDescent="0.25">
      <c r="A1110" s="10">
        <v>46091</v>
      </c>
      <c r="B1110" s="2" t="s">
        <v>2096</v>
      </c>
      <c r="E1110" s="3" t="s">
        <v>2097</v>
      </c>
      <c r="G1110" s="4" t="s">
        <v>48</v>
      </c>
      <c r="H1110" s="22" t="s">
        <v>49</v>
      </c>
      <c r="I1110" s="22"/>
      <c r="J1110" s="22">
        <f>I1109</f>
        <v>32528.47</v>
      </c>
      <c r="K1110" s="22">
        <f t="shared" si="14"/>
        <v>32528.47</v>
      </c>
      <c r="L1110" s="17"/>
    </row>
    <row r="1111" spans="1:20" ht="24" x14ac:dyDescent="0.25">
      <c r="A1111" s="10">
        <v>46091</v>
      </c>
      <c r="B1111" s="2" t="s">
        <v>2100</v>
      </c>
      <c r="E1111" s="3" t="s">
        <v>2097</v>
      </c>
      <c r="F1111" s="4">
        <v>18616.87</v>
      </c>
      <c r="G1111" s="4" t="s">
        <v>48</v>
      </c>
      <c r="H1111" s="22" t="s">
        <v>2098</v>
      </c>
      <c r="I1111" s="22">
        <v>18616.87</v>
      </c>
      <c r="J1111" s="34"/>
      <c r="K1111" s="22">
        <f t="shared" si="14"/>
        <v>18616.87</v>
      </c>
      <c r="L1111" s="17">
        <v>18616.87</v>
      </c>
      <c r="M1111" s="23" t="s">
        <v>41</v>
      </c>
      <c r="N1111" s="1" t="s">
        <v>2101</v>
      </c>
      <c r="O1111" s="7" t="s">
        <v>1950</v>
      </c>
    </row>
    <row r="1112" spans="1:20" x14ac:dyDescent="0.25">
      <c r="A1112" s="10">
        <v>46091</v>
      </c>
      <c r="B1112" s="2" t="s">
        <v>2100</v>
      </c>
      <c r="E1112" s="3" t="s">
        <v>2097</v>
      </c>
      <c r="G1112" s="4" t="s">
        <v>48</v>
      </c>
      <c r="H1112" s="22" t="s">
        <v>49</v>
      </c>
      <c r="I1112" s="34"/>
      <c r="J1112" s="35">
        <f>I1111</f>
        <v>18616.87</v>
      </c>
      <c r="K1112" s="22">
        <f t="shared" si="14"/>
        <v>18616.87</v>
      </c>
      <c r="L1112" s="32"/>
    </row>
    <row r="1113" spans="1:20" ht="24" x14ac:dyDescent="0.25">
      <c r="A1113" s="10">
        <v>46091</v>
      </c>
      <c r="B1113" s="2" t="s">
        <v>2102</v>
      </c>
      <c r="E1113" s="3" t="s">
        <v>2097</v>
      </c>
      <c r="F1113" s="4">
        <v>27938.31</v>
      </c>
      <c r="G1113" s="4" t="s">
        <v>48</v>
      </c>
      <c r="H1113" s="22" t="s">
        <v>2098</v>
      </c>
      <c r="I1113" s="22">
        <v>27938.31</v>
      </c>
      <c r="J1113" s="22"/>
      <c r="K1113" s="22">
        <f t="shared" si="14"/>
        <v>27938.31</v>
      </c>
      <c r="L1113" s="17">
        <v>27938.31</v>
      </c>
      <c r="M1113" s="23" t="s">
        <v>41</v>
      </c>
      <c r="N1113" s="1" t="s">
        <v>2103</v>
      </c>
      <c r="O1113" s="7" t="s">
        <v>1950</v>
      </c>
    </row>
    <row r="1114" spans="1:20" x14ac:dyDescent="0.25">
      <c r="A1114" s="10">
        <v>46091</v>
      </c>
      <c r="B1114" s="2" t="s">
        <v>2102</v>
      </c>
      <c r="E1114" s="3" t="s">
        <v>2097</v>
      </c>
      <c r="G1114" s="4" t="s">
        <v>48</v>
      </c>
      <c r="H1114" s="22" t="s">
        <v>49</v>
      </c>
      <c r="I1114" s="22"/>
      <c r="J1114" s="22">
        <f>I1113</f>
        <v>27938.31</v>
      </c>
      <c r="K1114" s="22">
        <f t="shared" si="14"/>
        <v>27938.31</v>
      </c>
      <c r="L1114" s="17"/>
    </row>
    <row r="1115" spans="1:20" ht="24" x14ac:dyDescent="0.25">
      <c r="A1115" s="10">
        <v>46091</v>
      </c>
      <c r="B1115" s="2" t="s">
        <v>2104</v>
      </c>
      <c r="C1115" s="2" t="s">
        <v>470</v>
      </c>
      <c r="D1115" s="2" t="s">
        <v>2105</v>
      </c>
      <c r="E1115" s="44" t="s">
        <v>610</v>
      </c>
      <c r="F1115" s="4">
        <v>21976.46</v>
      </c>
      <c r="G1115" s="4" t="s">
        <v>77</v>
      </c>
      <c r="H1115" s="22" t="s">
        <v>899</v>
      </c>
      <c r="I1115" s="22">
        <v>1892.86</v>
      </c>
      <c r="J1115" s="22"/>
      <c r="K1115" s="22">
        <f t="shared" si="14"/>
        <v>1892.86</v>
      </c>
      <c r="L1115" s="17">
        <v>21976.46</v>
      </c>
      <c r="M1115" s="23" t="s">
        <v>41</v>
      </c>
      <c r="N1115" s="1" t="s">
        <v>2106</v>
      </c>
      <c r="O1115" s="7" t="s">
        <v>609</v>
      </c>
      <c r="P1115" s="7" t="s">
        <v>81</v>
      </c>
      <c r="R1115" s="7" t="s">
        <v>1588</v>
      </c>
      <c r="S1115" s="3" t="s">
        <v>83</v>
      </c>
      <c r="T1115" s="3" t="s">
        <v>1975</v>
      </c>
    </row>
    <row r="1116" spans="1:20" x14ac:dyDescent="0.25">
      <c r="A1116" s="10">
        <v>46091</v>
      </c>
      <c r="B1116" s="2" t="s">
        <v>2104</v>
      </c>
      <c r="C1116" s="2" t="s">
        <v>470</v>
      </c>
      <c r="D1116" s="2" t="s">
        <v>2105</v>
      </c>
      <c r="E1116" s="44" t="s">
        <v>610</v>
      </c>
      <c r="G1116" s="4" t="s">
        <v>48</v>
      </c>
      <c r="H1116" s="22" t="s">
        <v>1186</v>
      </c>
      <c r="I1116" s="22">
        <v>591.97</v>
      </c>
      <c r="J1116" s="22"/>
      <c r="K1116" s="22">
        <f t="shared" si="14"/>
        <v>591.97</v>
      </c>
      <c r="L1116" s="17"/>
    </row>
    <row r="1117" spans="1:20" x14ac:dyDescent="0.25">
      <c r="A1117" s="10">
        <v>46091</v>
      </c>
      <c r="B1117" s="2" t="s">
        <v>2104</v>
      </c>
      <c r="C1117" s="2" t="s">
        <v>470</v>
      </c>
      <c r="D1117" s="2" t="s">
        <v>2105</v>
      </c>
      <c r="E1117" s="44" t="s">
        <v>610</v>
      </c>
      <c r="G1117" s="4" t="s">
        <v>48</v>
      </c>
      <c r="H1117" s="22" t="s">
        <v>789</v>
      </c>
      <c r="I1117" s="22">
        <v>180</v>
      </c>
      <c r="J1117" s="22"/>
      <c r="K1117" s="22">
        <f t="shared" si="14"/>
        <v>180</v>
      </c>
      <c r="L1117" s="17"/>
    </row>
    <row r="1118" spans="1:20" x14ac:dyDescent="0.25">
      <c r="A1118" s="10">
        <v>46091</v>
      </c>
      <c r="B1118" s="2" t="s">
        <v>2104</v>
      </c>
      <c r="C1118" s="2" t="s">
        <v>470</v>
      </c>
      <c r="D1118" s="2" t="s">
        <v>2105</v>
      </c>
      <c r="E1118" s="44" t="s">
        <v>610</v>
      </c>
      <c r="G1118" s="4" t="s">
        <v>48</v>
      </c>
      <c r="H1118" s="22" t="s">
        <v>1958</v>
      </c>
      <c r="I1118" s="22">
        <v>500</v>
      </c>
      <c r="J1118" s="22"/>
      <c r="K1118" s="22">
        <f t="shared" si="14"/>
        <v>500</v>
      </c>
      <c r="L1118" s="17"/>
    </row>
    <row r="1119" spans="1:20" x14ac:dyDescent="0.25">
      <c r="A1119" s="10">
        <v>46091</v>
      </c>
      <c r="B1119" s="2" t="s">
        <v>2104</v>
      </c>
      <c r="C1119" s="2" t="s">
        <v>470</v>
      </c>
      <c r="D1119" s="2" t="s">
        <v>2105</v>
      </c>
      <c r="E1119" s="44" t="s">
        <v>610</v>
      </c>
      <c r="G1119" s="4" t="s">
        <v>128</v>
      </c>
      <c r="H1119" s="22" t="s">
        <v>1916</v>
      </c>
      <c r="I1119" s="22">
        <v>1100</v>
      </c>
      <c r="J1119" s="22"/>
      <c r="K1119" s="22">
        <f t="shared" si="14"/>
        <v>1100</v>
      </c>
      <c r="L1119" s="17"/>
    </row>
    <row r="1120" spans="1:20" x14ac:dyDescent="0.25">
      <c r="A1120" s="10">
        <v>46091</v>
      </c>
      <c r="B1120" s="2" t="s">
        <v>2104</v>
      </c>
      <c r="C1120" s="2" t="s">
        <v>470</v>
      </c>
      <c r="D1120" s="2" t="s">
        <v>2105</v>
      </c>
      <c r="E1120" s="44" t="s">
        <v>610</v>
      </c>
      <c r="G1120" s="4" t="s">
        <v>268</v>
      </c>
      <c r="H1120" s="22" t="s">
        <v>40</v>
      </c>
      <c r="I1120" s="22">
        <v>7130</v>
      </c>
      <c r="J1120" s="22"/>
      <c r="K1120" s="22">
        <f t="shared" si="14"/>
        <v>7130</v>
      </c>
      <c r="L1120" s="17"/>
    </row>
    <row r="1121" spans="1:14" x14ac:dyDescent="0.25">
      <c r="A1121" s="10">
        <v>46091</v>
      </c>
      <c r="B1121" s="2" t="s">
        <v>2104</v>
      </c>
      <c r="C1121" s="2" t="s">
        <v>470</v>
      </c>
      <c r="D1121" s="2" t="s">
        <v>2105</v>
      </c>
      <c r="E1121" s="44" t="s">
        <v>610</v>
      </c>
      <c r="G1121" s="4" t="s">
        <v>77</v>
      </c>
      <c r="H1121" s="22" t="s">
        <v>809</v>
      </c>
      <c r="I1121" s="22">
        <v>1600</v>
      </c>
      <c r="J1121" s="22"/>
      <c r="K1121" s="22">
        <f t="shared" si="14"/>
        <v>1600</v>
      </c>
      <c r="L1121" s="17"/>
    </row>
    <row r="1122" spans="1:14" x14ac:dyDescent="0.25">
      <c r="A1122" s="10">
        <v>46091</v>
      </c>
      <c r="B1122" s="2" t="s">
        <v>2104</v>
      </c>
      <c r="C1122" s="2" t="s">
        <v>470</v>
      </c>
      <c r="D1122" s="2" t="s">
        <v>2105</v>
      </c>
      <c r="E1122" s="44" t="s">
        <v>610</v>
      </c>
      <c r="G1122" s="4" t="s">
        <v>48</v>
      </c>
      <c r="H1122" s="22" t="s">
        <v>2107</v>
      </c>
      <c r="I1122" s="22">
        <v>302</v>
      </c>
      <c r="J1122" s="22"/>
      <c r="K1122" s="22">
        <f t="shared" si="14"/>
        <v>302</v>
      </c>
      <c r="L1122" s="17"/>
    </row>
    <row r="1123" spans="1:14" x14ac:dyDescent="0.25">
      <c r="A1123" s="10">
        <v>46091</v>
      </c>
      <c r="B1123" s="2" t="s">
        <v>2104</v>
      </c>
      <c r="C1123" s="2" t="s">
        <v>470</v>
      </c>
      <c r="D1123" s="2" t="s">
        <v>2105</v>
      </c>
      <c r="E1123" s="44" t="s">
        <v>610</v>
      </c>
      <c r="G1123" s="4" t="s">
        <v>48</v>
      </c>
      <c r="H1123" s="22" t="s">
        <v>781</v>
      </c>
      <c r="I1123" s="22">
        <v>6952.68</v>
      </c>
      <c r="J1123" s="22"/>
      <c r="K1123" s="22">
        <f t="shared" si="14"/>
        <v>6952.68</v>
      </c>
      <c r="L1123" s="17"/>
    </row>
    <row r="1124" spans="1:14" x14ac:dyDescent="0.25">
      <c r="A1124" s="10">
        <v>46091</v>
      </c>
      <c r="B1124" s="2" t="s">
        <v>2104</v>
      </c>
      <c r="C1124" s="2" t="s">
        <v>470</v>
      </c>
      <c r="D1124" s="2" t="s">
        <v>2105</v>
      </c>
      <c r="E1124" s="44" t="s">
        <v>610</v>
      </c>
      <c r="G1124" s="4" t="s">
        <v>48</v>
      </c>
      <c r="H1124" s="22" t="s">
        <v>240</v>
      </c>
      <c r="I1124" s="22">
        <v>714.46</v>
      </c>
      <c r="J1124" s="22"/>
      <c r="K1124" s="22">
        <f t="shared" si="14"/>
        <v>714.46</v>
      </c>
      <c r="L1124" s="17"/>
    </row>
    <row r="1125" spans="1:14" x14ac:dyDescent="0.25">
      <c r="A1125" s="10">
        <v>46091</v>
      </c>
      <c r="B1125" s="2" t="s">
        <v>2104</v>
      </c>
      <c r="C1125" s="2" t="s">
        <v>470</v>
      </c>
      <c r="D1125" s="2" t="s">
        <v>2105</v>
      </c>
      <c r="E1125" s="44" t="s">
        <v>610</v>
      </c>
      <c r="G1125" s="4" t="s">
        <v>48</v>
      </c>
      <c r="H1125" s="22" t="s">
        <v>1187</v>
      </c>
      <c r="I1125" s="22">
        <v>1012.49</v>
      </c>
      <c r="J1125" s="22"/>
      <c r="K1125" s="22">
        <f t="shared" si="14"/>
        <v>1012.49</v>
      </c>
      <c r="L1125" s="17"/>
    </row>
    <row r="1126" spans="1:14" x14ac:dyDescent="0.25">
      <c r="A1126" s="10">
        <v>46091</v>
      </c>
      <c r="B1126" s="2" t="s">
        <v>2104</v>
      </c>
      <c r="C1126" s="2" t="s">
        <v>470</v>
      </c>
      <c r="D1126" s="2" t="s">
        <v>2105</v>
      </c>
      <c r="E1126" s="44" t="s">
        <v>610</v>
      </c>
      <c r="G1126" s="4" t="s">
        <v>48</v>
      </c>
      <c r="H1126" s="22" t="s">
        <v>49</v>
      </c>
      <c r="I1126" s="22"/>
      <c r="J1126" s="22">
        <f>SUM(I1115:I1125)</f>
        <v>21976.460000000003</v>
      </c>
      <c r="K1126" s="22">
        <f t="shared" si="14"/>
        <v>21976.460000000003</v>
      </c>
      <c r="L1126" s="17"/>
    </row>
    <row r="1127" spans="1:14" ht="24" x14ac:dyDescent="0.25">
      <c r="A1127" s="10">
        <v>46091</v>
      </c>
      <c r="B1127" s="2" t="s">
        <v>2108</v>
      </c>
      <c r="C1127" s="2" t="s">
        <v>470</v>
      </c>
      <c r="D1127" s="2" t="s">
        <v>2109</v>
      </c>
      <c r="E1127" s="44" t="s">
        <v>610</v>
      </c>
      <c r="F1127" s="4">
        <v>20000</v>
      </c>
      <c r="G1127" s="3" t="s">
        <v>48</v>
      </c>
      <c r="H1127" s="34" t="s">
        <v>789</v>
      </c>
      <c r="I1127" s="22">
        <v>858</v>
      </c>
      <c r="J1127" s="34"/>
      <c r="K1127" s="22">
        <f t="shared" si="14"/>
        <v>858</v>
      </c>
      <c r="L1127" s="17">
        <v>20000</v>
      </c>
      <c r="M1127" s="23" t="s">
        <v>41</v>
      </c>
      <c r="N1127" s="1" t="s">
        <v>2110</v>
      </c>
    </row>
    <row r="1128" spans="1:14" x14ac:dyDescent="0.25">
      <c r="A1128" s="10">
        <v>46091</v>
      </c>
      <c r="B1128" s="2" t="s">
        <v>2108</v>
      </c>
      <c r="C1128" s="2" t="s">
        <v>470</v>
      </c>
      <c r="D1128" s="2" t="s">
        <v>2109</v>
      </c>
      <c r="E1128" s="44" t="s">
        <v>610</v>
      </c>
      <c r="G1128" s="3" t="s">
        <v>48</v>
      </c>
      <c r="H1128" s="34" t="s">
        <v>786</v>
      </c>
      <c r="I1128" s="22">
        <v>695.48</v>
      </c>
      <c r="J1128" s="34"/>
      <c r="K1128" s="22">
        <f t="shared" si="14"/>
        <v>695.48</v>
      </c>
      <c r="L1128" s="32"/>
    </row>
    <row r="1129" spans="1:14" x14ac:dyDescent="0.25">
      <c r="A1129" s="10">
        <v>46091</v>
      </c>
      <c r="B1129" s="2" t="s">
        <v>2108</v>
      </c>
      <c r="C1129" s="2" t="s">
        <v>470</v>
      </c>
      <c r="D1129" s="2" t="s">
        <v>2109</v>
      </c>
      <c r="E1129" s="44" t="s">
        <v>610</v>
      </c>
      <c r="G1129" s="3" t="s">
        <v>167</v>
      </c>
      <c r="H1129" s="34" t="s">
        <v>168</v>
      </c>
      <c r="I1129" s="22">
        <v>171.43</v>
      </c>
      <c r="J1129" s="34"/>
      <c r="K1129" s="22">
        <f t="shared" si="14"/>
        <v>171.43</v>
      </c>
      <c r="L1129" s="32"/>
    </row>
    <row r="1130" spans="1:14" x14ac:dyDescent="0.25">
      <c r="A1130" s="10">
        <v>46091</v>
      </c>
      <c r="B1130" s="2" t="s">
        <v>2108</v>
      </c>
      <c r="C1130" s="2" t="s">
        <v>470</v>
      </c>
      <c r="D1130" s="2" t="s">
        <v>2109</v>
      </c>
      <c r="E1130" s="44" t="s">
        <v>610</v>
      </c>
      <c r="G1130" s="3" t="s">
        <v>48</v>
      </c>
      <c r="H1130" s="34" t="s">
        <v>47</v>
      </c>
      <c r="I1130" s="22">
        <v>850</v>
      </c>
      <c r="J1130" s="34"/>
      <c r="K1130" s="22">
        <f t="shared" si="14"/>
        <v>850</v>
      </c>
      <c r="L1130" s="32"/>
    </row>
    <row r="1131" spans="1:14" x14ac:dyDescent="0.25">
      <c r="A1131" s="10">
        <v>46091</v>
      </c>
      <c r="B1131" s="2" t="s">
        <v>2108</v>
      </c>
      <c r="C1131" s="2" t="s">
        <v>470</v>
      </c>
      <c r="D1131" s="2" t="s">
        <v>2109</v>
      </c>
      <c r="E1131" s="44" t="s">
        <v>610</v>
      </c>
      <c r="G1131" s="3" t="s">
        <v>48</v>
      </c>
      <c r="H1131" s="34" t="s">
        <v>2111</v>
      </c>
      <c r="I1131" s="22">
        <v>9252.68</v>
      </c>
      <c r="J1131" s="34"/>
      <c r="K1131" s="22">
        <f t="shared" si="14"/>
        <v>9252.68</v>
      </c>
      <c r="L1131" s="32"/>
    </row>
    <row r="1132" spans="1:14" x14ac:dyDescent="0.25">
      <c r="A1132" s="10">
        <v>46091</v>
      </c>
      <c r="B1132" s="2" t="s">
        <v>2108</v>
      </c>
      <c r="C1132" s="2" t="s">
        <v>470</v>
      </c>
      <c r="D1132" s="2" t="s">
        <v>2109</v>
      </c>
      <c r="E1132" s="44" t="s">
        <v>610</v>
      </c>
      <c r="G1132" s="3" t="s">
        <v>48</v>
      </c>
      <c r="H1132" s="34" t="s">
        <v>421</v>
      </c>
      <c r="I1132" s="22">
        <v>180</v>
      </c>
      <c r="J1132" s="34"/>
      <c r="K1132" s="22">
        <f t="shared" si="14"/>
        <v>180</v>
      </c>
      <c r="L1132" s="32"/>
    </row>
    <row r="1133" spans="1:14" x14ac:dyDescent="0.25">
      <c r="A1133" s="10">
        <v>46091</v>
      </c>
      <c r="B1133" s="2" t="s">
        <v>2108</v>
      </c>
      <c r="C1133" s="2" t="s">
        <v>470</v>
      </c>
      <c r="D1133" s="2" t="s">
        <v>2109</v>
      </c>
      <c r="E1133" s="44" t="s">
        <v>610</v>
      </c>
      <c r="G1133" s="3" t="s">
        <v>48</v>
      </c>
      <c r="H1133" s="34" t="s">
        <v>1391</v>
      </c>
      <c r="I1133" s="22">
        <v>4163</v>
      </c>
      <c r="J1133" s="34"/>
      <c r="K1133" s="22">
        <f t="shared" si="14"/>
        <v>4163</v>
      </c>
      <c r="L1133" s="32"/>
    </row>
    <row r="1134" spans="1:14" x14ac:dyDescent="0.25">
      <c r="A1134" s="10">
        <v>46091</v>
      </c>
      <c r="B1134" s="2" t="s">
        <v>2108</v>
      </c>
      <c r="C1134" s="2" t="s">
        <v>470</v>
      </c>
      <c r="D1134" s="2" t="s">
        <v>2109</v>
      </c>
      <c r="E1134" s="44" t="s">
        <v>610</v>
      </c>
      <c r="G1134" s="3" t="s">
        <v>48</v>
      </c>
      <c r="H1134" s="34" t="s">
        <v>899</v>
      </c>
      <c r="I1134" s="22">
        <v>3785.72</v>
      </c>
      <c r="J1134" s="34"/>
      <c r="K1134" s="22">
        <f t="shared" si="14"/>
        <v>3785.72</v>
      </c>
      <c r="L1134" s="32"/>
    </row>
    <row r="1135" spans="1:14" x14ac:dyDescent="0.25">
      <c r="A1135" s="10">
        <v>46091</v>
      </c>
      <c r="B1135" s="2" t="s">
        <v>2108</v>
      </c>
      <c r="C1135" s="2" t="s">
        <v>470</v>
      </c>
      <c r="D1135" s="2" t="s">
        <v>2109</v>
      </c>
      <c r="E1135" s="44" t="s">
        <v>610</v>
      </c>
      <c r="G1135" s="3" t="s">
        <v>48</v>
      </c>
      <c r="H1135" s="34" t="s">
        <v>2112</v>
      </c>
      <c r="I1135" s="22">
        <v>20</v>
      </c>
      <c r="J1135" s="34"/>
      <c r="K1135" s="22">
        <f t="shared" si="14"/>
        <v>20</v>
      </c>
      <c r="L1135" s="32"/>
    </row>
    <row r="1136" spans="1:14" x14ac:dyDescent="0.25">
      <c r="A1136" s="10">
        <v>46091</v>
      </c>
      <c r="B1136" s="2" t="s">
        <v>2108</v>
      </c>
      <c r="C1136" s="2" t="s">
        <v>470</v>
      </c>
      <c r="D1136" s="2" t="s">
        <v>2109</v>
      </c>
      <c r="E1136" s="44" t="s">
        <v>610</v>
      </c>
      <c r="G1136" s="3" t="s">
        <v>48</v>
      </c>
      <c r="H1136" s="34" t="s">
        <v>2107</v>
      </c>
      <c r="I1136" s="22">
        <v>302</v>
      </c>
      <c r="J1136" s="34"/>
      <c r="K1136" s="22">
        <f t="shared" si="14"/>
        <v>302</v>
      </c>
      <c r="L1136" s="32"/>
    </row>
    <row r="1137" spans="1:23" x14ac:dyDescent="0.25">
      <c r="A1137" s="10">
        <v>46091</v>
      </c>
      <c r="B1137" s="2" t="s">
        <v>2108</v>
      </c>
      <c r="C1137" s="2" t="s">
        <v>470</v>
      </c>
      <c r="D1137" s="2" t="s">
        <v>2109</v>
      </c>
      <c r="E1137" s="44" t="s">
        <v>610</v>
      </c>
      <c r="G1137" s="3" t="s">
        <v>48</v>
      </c>
      <c r="H1137" s="34" t="s">
        <v>2113</v>
      </c>
      <c r="I1137" s="22">
        <v>100</v>
      </c>
      <c r="J1137" s="34"/>
      <c r="K1137" s="22">
        <f t="shared" si="14"/>
        <v>100</v>
      </c>
      <c r="L1137" s="32"/>
    </row>
    <row r="1138" spans="1:23" x14ac:dyDescent="0.25">
      <c r="A1138" s="10">
        <v>46091</v>
      </c>
      <c r="B1138" s="2" t="s">
        <v>2108</v>
      </c>
      <c r="C1138" s="2" t="s">
        <v>470</v>
      </c>
      <c r="D1138" s="2" t="s">
        <v>2109</v>
      </c>
      <c r="E1138" s="44" t="s">
        <v>610</v>
      </c>
      <c r="G1138" s="3" t="s">
        <v>48</v>
      </c>
      <c r="H1138" s="34" t="s">
        <v>1187</v>
      </c>
      <c r="I1138" s="22">
        <v>336.15</v>
      </c>
      <c r="J1138" s="34"/>
      <c r="K1138" s="22">
        <f t="shared" si="14"/>
        <v>336.15</v>
      </c>
      <c r="L1138" s="32"/>
    </row>
    <row r="1139" spans="1:23" x14ac:dyDescent="0.25">
      <c r="A1139" s="10">
        <v>46091</v>
      </c>
      <c r="B1139" s="2" t="s">
        <v>2108</v>
      </c>
      <c r="C1139" s="2" t="s">
        <v>470</v>
      </c>
      <c r="D1139" s="2" t="s">
        <v>2109</v>
      </c>
      <c r="E1139" s="44" t="s">
        <v>610</v>
      </c>
      <c r="G1139" s="3" t="s">
        <v>48</v>
      </c>
      <c r="H1139" s="34" t="s">
        <v>240</v>
      </c>
      <c r="I1139" s="22"/>
      <c r="J1139" s="34">
        <v>714.46</v>
      </c>
      <c r="K1139" s="22">
        <f t="shared" si="14"/>
        <v>714.46</v>
      </c>
      <c r="L1139" s="32"/>
    </row>
    <row r="1140" spans="1:23" x14ac:dyDescent="0.25">
      <c r="A1140" s="10">
        <v>46091</v>
      </c>
      <c r="B1140" s="2" t="s">
        <v>2108</v>
      </c>
      <c r="C1140" s="2" t="s">
        <v>470</v>
      </c>
      <c r="D1140" s="2" t="s">
        <v>2109</v>
      </c>
      <c r="E1140" s="44" t="s">
        <v>610</v>
      </c>
      <c r="G1140" s="3" t="s">
        <v>48</v>
      </c>
      <c r="H1140" s="34" t="s">
        <v>49</v>
      </c>
      <c r="I1140" s="34"/>
      <c r="J1140" s="22">
        <f>SUM(I1127:I1138)-J1139</f>
        <v>20000.000000000004</v>
      </c>
      <c r="K1140" s="22">
        <f t="shared" si="14"/>
        <v>20000.000000000004</v>
      </c>
      <c r="L1140" s="32"/>
    </row>
    <row r="1141" spans="1:23" ht="24" x14ac:dyDescent="0.25">
      <c r="A1141" s="10">
        <v>46091</v>
      </c>
      <c r="B1141" s="2" t="s">
        <v>2114</v>
      </c>
      <c r="C1141" s="2" t="s">
        <v>310</v>
      </c>
      <c r="E1141" s="3" t="s">
        <v>27</v>
      </c>
      <c r="F1141" s="4">
        <v>595000</v>
      </c>
      <c r="G1141" s="4" t="s">
        <v>326</v>
      </c>
      <c r="H1141" s="22" t="s">
        <v>731</v>
      </c>
      <c r="I1141" s="22">
        <f>595000-200</f>
        <v>594800</v>
      </c>
      <c r="J1141" s="22"/>
      <c r="K1141" s="22">
        <f t="shared" si="14"/>
        <v>594800</v>
      </c>
      <c r="L1141" s="17">
        <v>595000</v>
      </c>
      <c r="M1141" s="23" t="s">
        <v>41</v>
      </c>
      <c r="N1141" s="1" t="s">
        <v>2115</v>
      </c>
      <c r="O1141" s="24" t="s">
        <v>2116</v>
      </c>
      <c r="P1141" s="7" t="s">
        <v>32</v>
      </c>
      <c r="Q1141" s="25" t="s">
        <v>2117</v>
      </c>
      <c r="R1141" s="7" t="s">
        <v>2090</v>
      </c>
      <c r="S1141" s="3" t="s">
        <v>1630</v>
      </c>
      <c r="T1141" s="3" t="s">
        <v>643</v>
      </c>
    </row>
    <row r="1142" spans="1:23" x14ac:dyDescent="0.25">
      <c r="A1142" s="10">
        <v>46091</v>
      </c>
      <c r="B1142" s="2" t="s">
        <v>2114</v>
      </c>
      <c r="C1142" s="2" t="s">
        <v>310</v>
      </c>
      <c r="E1142" s="3" t="s">
        <v>27</v>
      </c>
      <c r="G1142" s="4" t="s">
        <v>326</v>
      </c>
      <c r="H1142" s="22" t="s">
        <v>47</v>
      </c>
      <c r="I1142" s="22">
        <v>200</v>
      </c>
      <c r="J1142" s="22"/>
      <c r="K1142" s="22">
        <f t="shared" si="14"/>
        <v>200</v>
      </c>
      <c r="L1142" s="17"/>
      <c r="M1142" s="23"/>
      <c r="O1142" s="24"/>
      <c r="Q1142" s="25"/>
    </row>
    <row r="1143" spans="1:23" x14ac:dyDescent="0.25">
      <c r="A1143" s="10">
        <v>46091</v>
      </c>
      <c r="B1143" s="2" t="s">
        <v>2114</v>
      </c>
      <c r="C1143" s="2" t="s">
        <v>310</v>
      </c>
      <c r="E1143" s="3" t="s">
        <v>27</v>
      </c>
      <c r="G1143" s="4" t="s">
        <v>326</v>
      </c>
      <c r="H1143" s="22" t="s">
        <v>327</v>
      </c>
      <c r="I1143" s="22"/>
      <c r="J1143" s="22">
        <f>I1141+I1142</f>
        <v>595000</v>
      </c>
      <c r="K1143" s="22">
        <f t="shared" si="14"/>
        <v>595000</v>
      </c>
      <c r="L1143" s="17"/>
      <c r="M1143" s="23"/>
      <c r="O1143" s="24"/>
      <c r="Q1143" s="25"/>
    </row>
    <row r="1144" spans="1:23" ht="24" x14ac:dyDescent="0.25">
      <c r="A1144" s="10">
        <v>46092</v>
      </c>
      <c r="B1144" s="2" t="s">
        <v>2118</v>
      </c>
      <c r="C1144" s="2" t="s">
        <v>2119</v>
      </c>
      <c r="D1144" s="2" t="s">
        <v>2120</v>
      </c>
      <c r="E1144" s="3" t="s">
        <v>1174</v>
      </c>
      <c r="F1144" s="4">
        <f>(7440/1.12)+(7440/1.12*0.12)-(7440/1.12*0.01)</f>
        <v>7373.5714285714275</v>
      </c>
      <c r="G1144" s="4" t="s">
        <v>801</v>
      </c>
      <c r="H1144" s="22" t="s">
        <v>40</v>
      </c>
      <c r="I1144" s="22">
        <f>7440/1.12</f>
        <v>6642.8571428571422</v>
      </c>
      <c r="J1144" s="22"/>
      <c r="K1144" s="22">
        <f t="shared" si="14"/>
        <v>6642.8571428571422</v>
      </c>
      <c r="L1144" s="17">
        <v>5513.33</v>
      </c>
      <c r="M1144" s="23" t="s">
        <v>41</v>
      </c>
      <c r="N1144" s="1" t="s">
        <v>2121</v>
      </c>
      <c r="O1144" s="52" t="s">
        <v>2122</v>
      </c>
      <c r="W1144" s="9" t="s">
        <v>2123</v>
      </c>
    </row>
    <row r="1145" spans="1:23" x14ac:dyDescent="0.25">
      <c r="A1145" s="10">
        <v>46092</v>
      </c>
      <c r="B1145" s="2" t="s">
        <v>2118</v>
      </c>
      <c r="C1145" s="2" t="s">
        <v>2119</v>
      </c>
      <c r="D1145" s="2" t="s">
        <v>2120</v>
      </c>
      <c r="E1145" s="3" t="s">
        <v>1174</v>
      </c>
      <c r="G1145" s="4" t="s">
        <v>801</v>
      </c>
      <c r="H1145" s="22" t="s">
        <v>104</v>
      </c>
      <c r="I1145" s="22">
        <f>I1144*0.12</f>
        <v>797.142857142857</v>
      </c>
      <c r="J1145" s="22"/>
      <c r="K1145" s="22">
        <f t="shared" si="14"/>
        <v>797.142857142857</v>
      </c>
      <c r="L1145" s="17"/>
    </row>
    <row r="1146" spans="1:23" x14ac:dyDescent="0.25">
      <c r="A1146" s="10">
        <v>46092</v>
      </c>
      <c r="B1146" s="2" t="s">
        <v>2118</v>
      </c>
      <c r="C1146" s="2" t="s">
        <v>2119</v>
      </c>
      <c r="D1146" s="2" t="s">
        <v>2120</v>
      </c>
      <c r="E1146" s="3" t="s">
        <v>1174</v>
      </c>
      <c r="G1146" s="4" t="s">
        <v>801</v>
      </c>
      <c r="H1146" s="22" t="s">
        <v>105</v>
      </c>
      <c r="I1146" s="22"/>
      <c r="J1146" s="22">
        <f>I1144*0.01</f>
        <v>66.428571428571416</v>
      </c>
      <c r="K1146" s="22">
        <f t="shared" si="14"/>
        <v>66.428571428571416</v>
      </c>
      <c r="L1146" s="17"/>
    </row>
    <row r="1147" spans="1:23" x14ac:dyDescent="0.25">
      <c r="A1147" s="10">
        <v>46092</v>
      </c>
      <c r="B1147" s="2" t="s">
        <v>2118</v>
      </c>
      <c r="C1147" s="2" t="s">
        <v>2119</v>
      </c>
      <c r="D1147" s="2" t="s">
        <v>2120</v>
      </c>
      <c r="E1147" s="3" t="s">
        <v>1174</v>
      </c>
      <c r="G1147" s="3" t="s">
        <v>48</v>
      </c>
      <c r="H1147" s="22" t="s">
        <v>49</v>
      </c>
      <c r="I1147" s="22"/>
      <c r="J1147" s="22">
        <f>I1144+I1145-J1146</f>
        <v>7373.5714285714275</v>
      </c>
      <c r="K1147" s="22">
        <f t="shared" si="14"/>
        <v>7373.5714285714275</v>
      </c>
      <c r="L1147" s="17"/>
    </row>
    <row r="1148" spans="1:23" x14ac:dyDescent="0.25">
      <c r="A1148" s="10">
        <v>46092</v>
      </c>
      <c r="B1148" s="2" t="s">
        <v>2124</v>
      </c>
      <c r="C1148" s="2" t="s">
        <v>95</v>
      </c>
      <c r="D1148" s="2" t="s">
        <v>2125</v>
      </c>
      <c r="E1148" s="3" t="s">
        <v>2126</v>
      </c>
      <c r="F1148" s="4">
        <v>18000</v>
      </c>
      <c r="G1148" s="3" t="s">
        <v>128</v>
      </c>
      <c r="H1148" s="34" t="s">
        <v>2127</v>
      </c>
      <c r="I1148" s="22">
        <v>18000</v>
      </c>
      <c r="J1148" s="22"/>
      <c r="K1148" s="22">
        <f t="shared" si="14"/>
        <v>18000</v>
      </c>
      <c r="L1148" s="17">
        <v>18000</v>
      </c>
      <c r="M1148" s="23" t="s">
        <v>41</v>
      </c>
      <c r="N1148" s="1" t="s">
        <v>2128</v>
      </c>
      <c r="O1148" s="7" t="s">
        <v>2129</v>
      </c>
      <c r="R1148" s="7" t="s">
        <v>2090</v>
      </c>
      <c r="S1148" s="3" t="s">
        <v>1087</v>
      </c>
      <c r="T1148" s="3" t="s">
        <v>1088</v>
      </c>
    </row>
    <row r="1149" spans="1:23" x14ac:dyDescent="0.25">
      <c r="A1149" s="10">
        <v>46092</v>
      </c>
      <c r="B1149" s="2" t="s">
        <v>2124</v>
      </c>
      <c r="C1149" s="2" t="s">
        <v>95</v>
      </c>
      <c r="D1149" s="2" t="s">
        <v>2125</v>
      </c>
      <c r="E1149" s="3" t="s">
        <v>2126</v>
      </c>
      <c r="G1149" s="3" t="s">
        <v>48</v>
      </c>
      <c r="H1149" s="22" t="s">
        <v>49</v>
      </c>
      <c r="I1149" s="22"/>
      <c r="J1149" s="22">
        <f>I1148</f>
        <v>18000</v>
      </c>
      <c r="K1149" s="22">
        <f t="shared" si="14"/>
        <v>18000</v>
      </c>
      <c r="L1149" s="32"/>
      <c r="M1149" s="23"/>
    </row>
    <row r="1150" spans="1:23" x14ac:dyDescent="0.25">
      <c r="A1150" s="10">
        <v>46092</v>
      </c>
      <c r="B1150" s="2" t="s">
        <v>2130</v>
      </c>
      <c r="C1150" s="2" t="s">
        <v>95</v>
      </c>
      <c r="D1150" s="2" t="s">
        <v>2131</v>
      </c>
      <c r="E1150" s="3" t="s">
        <v>2126</v>
      </c>
      <c r="F1150" s="4">
        <v>18000</v>
      </c>
      <c r="G1150" s="3" t="s">
        <v>128</v>
      </c>
      <c r="H1150" s="34" t="s">
        <v>2127</v>
      </c>
      <c r="I1150" s="22">
        <v>18000</v>
      </c>
      <c r="J1150" s="22"/>
      <c r="K1150" s="22">
        <f t="shared" si="14"/>
        <v>18000</v>
      </c>
      <c r="L1150" s="17">
        <v>18000</v>
      </c>
      <c r="M1150" s="23" t="s">
        <v>41</v>
      </c>
      <c r="N1150" s="1" t="s">
        <v>2128</v>
      </c>
      <c r="O1150" s="7" t="s">
        <v>2129</v>
      </c>
      <c r="R1150" s="7" t="s">
        <v>2090</v>
      </c>
      <c r="S1150" s="3" t="s">
        <v>1087</v>
      </c>
      <c r="T1150" s="3" t="s">
        <v>1088</v>
      </c>
    </row>
    <row r="1151" spans="1:23" x14ac:dyDescent="0.25">
      <c r="A1151" s="10">
        <v>46092</v>
      </c>
      <c r="B1151" s="2" t="s">
        <v>2130</v>
      </c>
      <c r="C1151" s="2" t="s">
        <v>95</v>
      </c>
      <c r="D1151" s="2" t="s">
        <v>2131</v>
      </c>
      <c r="E1151" s="3" t="s">
        <v>2126</v>
      </c>
      <c r="G1151" s="3" t="s">
        <v>48</v>
      </c>
      <c r="H1151" s="22" t="s">
        <v>49</v>
      </c>
      <c r="I1151" s="22"/>
      <c r="J1151" s="22">
        <f>I1150</f>
        <v>18000</v>
      </c>
      <c r="K1151" s="22">
        <f t="shared" si="14"/>
        <v>18000</v>
      </c>
      <c r="L1151" s="17"/>
      <c r="M1151" s="23"/>
    </row>
    <row r="1152" spans="1:23" ht="24" x14ac:dyDescent="0.25">
      <c r="A1152" s="10">
        <v>46092</v>
      </c>
      <c r="B1152" s="2" t="s">
        <v>2132</v>
      </c>
      <c r="C1152" s="2" t="s">
        <v>95</v>
      </c>
      <c r="D1152" s="2" t="s">
        <v>2133</v>
      </c>
      <c r="E1152" s="3" t="s">
        <v>76</v>
      </c>
      <c r="F1152" s="4">
        <f>6300+1000+500</f>
        <v>7800</v>
      </c>
      <c r="G1152" s="4" t="s">
        <v>211</v>
      </c>
      <c r="H1152" s="22" t="s">
        <v>78</v>
      </c>
      <c r="I1152" s="22">
        <v>7800</v>
      </c>
      <c r="J1152" s="22"/>
      <c r="K1152" s="22">
        <f t="shared" si="14"/>
        <v>7800</v>
      </c>
      <c r="L1152" s="17"/>
      <c r="M1152" s="6" t="s">
        <v>581</v>
      </c>
      <c r="N1152" s="1" t="s">
        <v>2134</v>
      </c>
      <c r="O1152" s="53" t="s">
        <v>2135</v>
      </c>
    </row>
    <row r="1153" spans="1:20" x14ac:dyDescent="0.25">
      <c r="A1153" s="10">
        <v>46092</v>
      </c>
      <c r="B1153" s="2" t="s">
        <v>2132</v>
      </c>
      <c r="C1153" s="2" t="s">
        <v>95</v>
      </c>
      <c r="D1153" s="2" t="s">
        <v>2133</v>
      </c>
      <c r="E1153" s="3" t="s">
        <v>76</v>
      </c>
      <c r="G1153" s="3" t="s">
        <v>48</v>
      </c>
      <c r="H1153" s="22" t="s">
        <v>49</v>
      </c>
      <c r="I1153" s="22"/>
      <c r="J1153" s="22">
        <f>I1152</f>
        <v>7800</v>
      </c>
      <c r="K1153" s="22">
        <f t="shared" si="14"/>
        <v>7800</v>
      </c>
      <c r="L1153" s="17"/>
      <c r="O1153" s="53"/>
    </row>
    <row r="1154" spans="1:20" ht="36" x14ac:dyDescent="0.25">
      <c r="A1154" s="10">
        <v>46092</v>
      </c>
      <c r="B1154" s="2" t="s">
        <v>2136</v>
      </c>
      <c r="C1154" s="2" t="s">
        <v>147</v>
      </c>
      <c r="D1154" s="2" t="s">
        <v>2137</v>
      </c>
      <c r="E1154" s="3" t="s">
        <v>149</v>
      </c>
      <c r="F1154" s="4">
        <v>11300</v>
      </c>
      <c r="G1154" s="3" t="s">
        <v>211</v>
      </c>
      <c r="H1154" s="34" t="s">
        <v>78</v>
      </c>
      <c r="I1154" s="22">
        <f>11300/2</f>
        <v>5650</v>
      </c>
      <c r="J1154" s="34"/>
      <c r="K1154" s="22">
        <f t="shared" si="14"/>
        <v>5650</v>
      </c>
      <c r="L1154" s="17">
        <v>11000</v>
      </c>
      <c r="M1154" s="23" t="s">
        <v>41</v>
      </c>
      <c r="N1154" s="1" t="s">
        <v>2138</v>
      </c>
    </row>
    <row r="1155" spans="1:20" x14ac:dyDescent="0.25">
      <c r="A1155" s="10">
        <v>46092</v>
      </c>
      <c r="B1155" s="2" t="s">
        <v>2136</v>
      </c>
      <c r="C1155" s="2" t="s">
        <v>147</v>
      </c>
      <c r="D1155" s="2" t="s">
        <v>2137</v>
      </c>
      <c r="E1155" s="3" t="s">
        <v>149</v>
      </c>
      <c r="G1155" s="4" t="s">
        <v>1030</v>
      </c>
      <c r="H1155" s="34" t="s">
        <v>78</v>
      </c>
      <c r="I1155" s="22">
        <f>11300/2</f>
        <v>5650</v>
      </c>
      <c r="J1155" s="34"/>
      <c r="K1155" s="22">
        <f t="shared" si="14"/>
        <v>5650</v>
      </c>
      <c r="L1155" s="32"/>
    </row>
    <row r="1156" spans="1:20" x14ac:dyDescent="0.25">
      <c r="A1156" s="10">
        <v>46092</v>
      </c>
      <c r="B1156" s="2" t="s">
        <v>2136</v>
      </c>
      <c r="C1156" s="2" t="s">
        <v>147</v>
      </c>
      <c r="D1156" s="2" t="s">
        <v>2137</v>
      </c>
      <c r="E1156" s="3" t="s">
        <v>149</v>
      </c>
      <c r="G1156" s="3" t="s">
        <v>48</v>
      </c>
      <c r="H1156" s="22" t="s">
        <v>49</v>
      </c>
      <c r="I1156" s="34"/>
      <c r="J1156" s="22">
        <f>I1154+I1155</f>
        <v>11300</v>
      </c>
      <c r="K1156" s="22">
        <f t="shared" si="14"/>
        <v>11300</v>
      </c>
      <c r="L1156" s="32"/>
    </row>
    <row r="1157" spans="1:20" x14ac:dyDescent="0.25">
      <c r="A1157" s="10">
        <v>46092</v>
      </c>
      <c r="B1157" s="2" t="s">
        <v>2139</v>
      </c>
      <c r="C1157" s="2" t="s">
        <v>95</v>
      </c>
      <c r="D1157" s="2" t="s">
        <v>2140</v>
      </c>
      <c r="E1157" s="3" t="s">
        <v>1025</v>
      </c>
      <c r="F1157" s="4">
        <v>3500</v>
      </c>
      <c r="G1157" s="4" t="s">
        <v>447</v>
      </c>
      <c r="H1157" s="22" t="s">
        <v>57</v>
      </c>
      <c r="I1157" s="22">
        <v>3500</v>
      </c>
      <c r="J1157" s="22"/>
      <c r="K1157" s="22">
        <f t="shared" si="14"/>
        <v>3500</v>
      </c>
      <c r="L1157" s="17"/>
      <c r="M1157" s="6" t="s">
        <v>581</v>
      </c>
      <c r="N1157" s="1" t="s">
        <v>2141</v>
      </c>
    </row>
    <row r="1158" spans="1:20" x14ac:dyDescent="0.25">
      <c r="A1158" s="10">
        <v>46092</v>
      </c>
      <c r="B1158" s="2" t="s">
        <v>2139</v>
      </c>
      <c r="C1158" s="2" t="s">
        <v>95</v>
      </c>
      <c r="D1158" s="2" t="s">
        <v>2140</v>
      </c>
      <c r="E1158" s="3" t="s">
        <v>1025</v>
      </c>
      <c r="G1158" s="3" t="s">
        <v>48</v>
      </c>
      <c r="H1158" s="22" t="s">
        <v>49</v>
      </c>
      <c r="I1158" s="22"/>
      <c r="J1158" s="22">
        <f>I1157</f>
        <v>3500</v>
      </c>
      <c r="K1158" s="22">
        <f t="shared" si="14"/>
        <v>3500</v>
      </c>
      <c r="L1158" s="17"/>
    </row>
    <row r="1159" spans="1:20" x14ac:dyDescent="0.25">
      <c r="A1159" s="10">
        <v>46092</v>
      </c>
      <c r="B1159" s="2" t="s">
        <v>2142</v>
      </c>
      <c r="C1159" s="2" t="s">
        <v>134</v>
      </c>
      <c r="D1159" s="2" t="s">
        <v>2143</v>
      </c>
      <c r="E1159" s="3" t="s">
        <v>2144</v>
      </c>
      <c r="F1159" s="4">
        <v>10000</v>
      </c>
      <c r="G1159" s="4" t="s">
        <v>48</v>
      </c>
      <c r="H1159" s="22" t="s">
        <v>137</v>
      </c>
      <c r="I1159" s="22">
        <v>10000</v>
      </c>
      <c r="J1159" s="22"/>
      <c r="K1159" s="22">
        <f t="shared" si="14"/>
        <v>10000</v>
      </c>
      <c r="L1159" s="17"/>
      <c r="M1159" s="6" t="s">
        <v>581</v>
      </c>
      <c r="N1159" s="1" t="s">
        <v>2145</v>
      </c>
    </row>
    <row r="1160" spans="1:20" x14ac:dyDescent="0.25">
      <c r="A1160" s="10">
        <v>46092</v>
      </c>
      <c r="B1160" s="2" t="s">
        <v>2142</v>
      </c>
      <c r="C1160" s="2" t="s">
        <v>134</v>
      </c>
      <c r="D1160" s="2" t="s">
        <v>2143</v>
      </c>
      <c r="E1160" s="3" t="s">
        <v>2144</v>
      </c>
      <c r="G1160" s="4" t="s">
        <v>48</v>
      </c>
      <c r="H1160" s="22" t="s">
        <v>49</v>
      </c>
      <c r="I1160" s="22"/>
      <c r="J1160" s="22">
        <f>I1159</f>
        <v>10000</v>
      </c>
      <c r="K1160" s="22">
        <f t="shared" si="14"/>
        <v>10000</v>
      </c>
      <c r="L1160" s="17"/>
    </row>
    <row r="1161" spans="1:20" ht="24" x14ac:dyDescent="0.25">
      <c r="A1161" s="10">
        <v>46093</v>
      </c>
      <c r="B1161" s="2" t="s">
        <v>2146</v>
      </c>
      <c r="C1161" s="2" t="s">
        <v>141</v>
      </c>
      <c r="E1161" s="3" t="s">
        <v>27</v>
      </c>
      <c r="F1161" s="4">
        <v>252000</v>
      </c>
      <c r="G1161" s="4" t="s">
        <v>48</v>
      </c>
      <c r="H1161" s="22" t="s">
        <v>81</v>
      </c>
      <c r="I1161" s="22">
        <v>252000</v>
      </c>
      <c r="J1161" s="34"/>
      <c r="K1161" s="22">
        <f t="shared" si="14"/>
        <v>252000</v>
      </c>
      <c r="L1161" s="17">
        <v>252000</v>
      </c>
      <c r="M1161" s="23" t="s">
        <v>41</v>
      </c>
      <c r="N1161" s="1" t="s">
        <v>2147</v>
      </c>
      <c r="O1161" s="7" t="s">
        <v>143</v>
      </c>
      <c r="P1161" s="7" t="s">
        <v>32</v>
      </c>
      <c r="Q1161" s="25" t="s">
        <v>2148</v>
      </c>
      <c r="R1161" s="7" t="s">
        <v>1588</v>
      </c>
      <c r="S1161" s="3" t="s">
        <v>145</v>
      </c>
      <c r="T1161" s="3" t="s">
        <v>324</v>
      </c>
    </row>
    <row r="1162" spans="1:20" x14ac:dyDescent="0.25">
      <c r="A1162" s="10">
        <v>46093</v>
      </c>
      <c r="B1162" s="2" t="s">
        <v>2146</v>
      </c>
      <c r="C1162" s="2" t="s">
        <v>141</v>
      </c>
      <c r="E1162" s="3" t="s">
        <v>27</v>
      </c>
      <c r="G1162" s="4" t="s">
        <v>48</v>
      </c>
      <c r="H1162" s="22" t="s">
        <v>334</v>
      </c>
      <c r="I1162" s="34"/>
      <c r="J1162" s="35">
        <f>I1161</f>
        <v>252000</v>
      </c>
      <c r="K1162" s="22">
        <f t="shared" si="14"/>
        <v>252000</v>
      </c>
      <c r="L1162" s="32"/>
      <c r="M1162" s="23"/>
      <c r="Q1162" s="25"/>
    </row>
    <row r="1163" spans="1:20" ht="24" x14ac:dyDescent="0.25">
      <c r="A1163" s="10">
        <v>46093</v>
      </c>
      <c r="B1163" s="2" t="s">
        <v>2149</v>
      </c>
      <c r="C1163" s="2" t="s">
        <v>827</v>
      </c>
      <c r="D1163" s="31" t="s">
        <v>1521</v>
      </c>
      <c r="E1163" s="3" t="s">
        <v>692</v>
      </c>
      <c r="F1163" s="4">
        <v>1906.73</v>
      </c>
      <c r="G1163" s="4" t="s">
        <v>128</v>
      </c>
      <c r="H1163" s="22" t="s">
        <v>834</v>
      </c>
      <c r="I1163" s="22">
        <v>1906.73</v>
      </c>
      <c r="J1163" s="22"/>
      <c r="K1163" s="22">
        <f t="shared" si="14"/>
        <v>1906.73</v>
      </c>
      <c r="L1163" s="17">
        <v>1906.73</v>
      </c>
      <c r="M1163" s="23" t="s">
        <v>41</v>
      </c>
      <c r="N1163" s="1" t="s">
        <v>2150</v>
      </c>
      <c r="O1163" s="7" t="s">
        <v>1950</v>
      </c>
    </row>
    <row r="1164" spans="1:20" x14ac:dyDescent="0.25">
      <c r="A1164" s="10">
        <v>46093</v>
      </c>
      <c r="B1164" s="2" t="s">
        <v>2149</v>
      </c>
      <c r="C1164" s="2" t="s">
        <v>827</v>
      </c>
      <c r="D1164" s="31" t="s">
        <v>1521</v>
      </c>
      <c r="E1164" s="3" t="s">
        <v>692</v>
      </c>
      <c r="G1164" s="4" t="s">
        <v>48</v>
      </c>
      <c r="H1164" s="22" t="s">
        <v>49</v>
      </c>
      <c r="I1164" s="22"/>
      <c r="J1164" s="22">
        <f>I1163</f>
        <v>1906.73</v>
      </c>
      <c r="K1164" s="22">
        <f t="shared" si="14"/>
        <v>1906.73</v>
      </c>
      <c r="L1164" s="17"/>
    </row>
    <row r="1165" spans="1:20" ht="24" x14ac:dyDescent="0.25">
      <c r="A1165" s="10">
        <v>46093</v>
      </c>
      <c r="B1165" s="2" t="s">
        <v>2151</v>
      </c>
      <c r="E1165" s="3" t="s">
        <v>2152</v>
      </c>
      <c r="F1165" s="4">
        <v>7033.33</v>
      </c>
      <c r="G1165" s="4" t="s">
        <v>326</v>
      </c>
      <c r="H1165" s="22" t="s">
        <v>2153</v>
      </c>
      <c r="I1165" s="22">
        <v>7033.33</v>
      </c>
      <c r="J1165" s="22"/>
      <c r="K1165" s="22">
        <f t="shared" si="14"/>
        <v>7033.33</v>
      </c>
      <c r="L1165" s="17"/>
      <c r="M1165" s="6" t="s">
        <v>581</v>
      </c>
      <c r="N1165" s="1" t="s">
        <v>2154</v>
      </c>
    </row>
    <row r="1166" spans="1:20" x14ac:dyDescent="0.25">
      <c r="A1166" s="10">
        <v>46093</v>
      </c>
      <c r="B1166" s="2" t="s">
        <v>2151</v>
      </c>
      <c r="E1166" s="3" t="s">
        <v>2152</v>
      </c>
      <c r="G1166" s="4" t="s">
        <v>48</v>
      </c>
      <c r="H1166" s="22" t="s">
        <v>49</v>
      </c>
      <c r="I1166" s="22"/>
      <c r="J1166" s="22">
        <f>I1165</f>
        <v>7033.33</v>
      </c>
      <c r="K1166" s="22">
        <f t="shared" si="14"/>
        <v>7033.33</v>
      </c>
      <c r="L1166" s="17"/>
    </row>
    <row r="1167" spans="1:20" x14ac:dyDescent="0.25">
      <c r="A1167" s="10">
        <v>46093</v>
      </c>
      <c r="B1167" s="2" t="s">
        <v>2155</v>
      </c>
      <c r="C1167" s="2" t="s">
        <v>259</v>
      </c>
      <c r="D1167" s="2" t="s">
        <v>2156</v>
      </c>
      <c r="E1167" s="3" t="s">
        <v>498</v>
      </c>
      <c r="F1167" s="4">
        <v>140857.15</v>
      </c>
      <c r="G1167" s="4" t="s">
        <v>48</v>
      </c>
      <c r="H1167" s="34" t="s">
        <v>973</v>
      </c>
      <c r="I1167" s="22">
        <v>140857.15</v>
      </c>
      <c r="J1167" s="34"/>
      <c r="K1167" s="22">
        <f t="shared" si="14"/>
        <v>140857.15</v>
      </c>
      <c r="L1167" s="32"/>
      <c r="M1167" s="23" t="s">
        <v>41</v>
      </c>
      <c r="N1167" s="1" t="s">
        <v>2157</v>
      </c>
    </row>
    <row r="1168" spans="1:20" x14ac:dyDescent="0.25">
      <c r="A1168" s="10">
        <v>46093</v>
      </c>
      <c r="B1168" s="2" t="s">
        <v>2155</v>
      </c>
      <c r="C1168" s="2" t="s">
        <v>259</v>
      </c>
      <c r="D1168" s="2" t="s">
        <v>2156</v>
      </c>
      <c r="E1168" s="3" t="s">
        <v>498</v>
      </c>
      <c r="G1168" s="4" t="s">
        <v>48</v>
      </c>
      <c r="H1168" s="22" t="s">
        <v>49</v>
      </c>
      <c r="I1168" s="34"/>
      <c r="J1168" s="35">
        <f>I1167</f>
        <v>140857.15</v>
      </c>
      <c r="K1168" s="22">
        <f t="shared" si="14"/>
        <v>140857.15</v>
      </c>
      <c r="L1168" s="32"/>
    </row>
    <row r="1169" spans="1:20" x14ac:dyDescent="0.25">
      <c r="A1169" s="10">
        <v>46093</v>
      </c>
      <c r="B1169" s="2" t="s">
        <v>2158</v>
      </c>
      <c r="C1169" s="2" t="s">
        <v>506</v>
      </c>
      <c r="D1169" s="2" t="s">
        <v>2159</v>
      </c>
      <c r="E1169" s="3" t="s">
        <v>398</v>
      </c>
      <c r="F1169" s="4">
        <v>50000</v>
      </c>
      <c r="G1169" s="4" t="s">
        <v>262</v>
      </c>
      <c r="H1169" s="22" t="s">
        <v>168</v>
      </c>
      <c r="I1169" s="22">
        <v>50000</v>
      </c>
      <c r="J1169" s="22"/>
      <c r="K1169" s="22">
        <f t="shared" si="14"/>
        <v>50000</v>
      </c>
      <c r="L1169" s="17">
        <v>50000</v>
      </c>
      <c r="M1169" s="23" t="s">
        <v>41</v>
      </c>
      <c r="N1169" s="1" t="s">
        <v>2160</v>
      </c>
    </row>
    <row r="1170" spans="1:20" x14ac:dyDescent="0.25">
      <c r="A1170" s="10">
        <v>46093</v>
      </c>
      <c r="B1170" s="2" t="s">
        <v>2158</v>
      </c>
      <c r="C1170" s="2" t="s">
        <v>506</v>
      </c>
      <c r="D1170" s="2" t="s">
        <v>2159</v>
      </c>
      <c r="E1170" s="3" t="s">
        <v>398</v>
      </c>
      <c r="G1170" s="4" t="s">
        <v>48</v>
      </c>
      <c r="H1170" s="22" t="s">
        <v>49</v>
      </c>
      <c r="I1170" s="22"/>
      <c r="J1170" s="22">
        <f>I1169</f>
        <v>50000</v>
      </c>
      <c r="K1170" s="22">
        <f t="shared" si="14"/>
        <v>50000</v>
      </c>
      <c r="L1170" s="17"/>
    </row>
    <row r="1171" spans="1:20" x14ac:dyDescent="0.25">
      <c r="A1171" s="10">
        <v>46093</v>
      </c>
      <c r="B1171" s="2" t="s">
        <v>2161</v>
      </c>
      <c r="C1171" s="31" t="s">
        <v>2162</v>
      </c>
      <c r="E1171" s="3" t="s">
        <v>1131</v>
      </c>
      <c r="F1171" s="4">
        <v>18200</v>
      </c>
      <c r="G1171" s="4" t="s">
        <v>48</v>
      </c>
      <c r="H1171" s="22" t="s">
        <v>2048</v>
      </c>
      <c r="I1171" s="22">
        <v>18200</v>
      </c>
      <c r="J1171" s="22"/>
      <c r="K1171" s="22">
        <f t="shared" si="14"/>
        <v>18200</v>
      </c>
      <c r="L1171" s="17"/>
      <c r="M1171" s="6" t="s">
        <v>581</v>
      </c>
      <c r="N1171" s="1" t="s">
        <v>2163</v>
      </c>
      <c r="O1171" s="28" t="s">
        <v>2164</v>
      </c>
    </row>
    <row r="1172" spans="1:20" x14ac:dyDescent="0.25">
      <c r="A1172" s="10">
        <v>46093</v>
      </c>
      <c r="B1172" s="2" t="s">
        <v>2161</v>
      </c>
      <c r="C1172" s="31" t="s">
        <v>2162</v>
      </c>
      <c r="E1172" s="3" t="s">
        <v>1131</v>
      </c>
      <c r="G1172" s="4" t="s">
        <v>48</v>
      </c>
      <c r="H1172" s="22" t="s">
        <v>49</v>
      </c>
      <c r="I1172" s="22"/>
      <c r="J1172" s="22">
        <f>I1171</f>
        <v>18200</v>
      </c>
      <c r="K1172" s="22">
        <f t="shared" si="14"/>
        <v>18200</v>
      </c>
      <c r="L1172" s="17"/>
      <c r="O1172" s="28"/>
    </row>
    <row r="1173" spans="1:20" x14ac:dyDescent="0.25">
      <c r="A1173" s="10">
        <v>46093</v>
      </c>
      <c r="B1173" s="2" t="s">
        <v>2165</v>
      </c>
      <c r="D1173" s="31" t="s">
        <v>2166</v>
      </c>
      <c r="E1173" s="3" t="s">
        <v>484</v>
      </c>
      <c r="F1173" s="4">
        <v>5000</v>
      </c>
      <c r="G1173" s="4" t="s">
        <v>447</v>
      </c>
      <c r="H1173" s="22" t="s">
        <v>2167</v>
      </c>
      <c r="I1173" s="22">
        <v>5000</v>
      </c>
      <c r="J1173" s="22"/>
      <c r="K1173" s="22">
        <f t="shared" si="14"/>
        <v>5000</v>
      </c>
      <c r="L1173" s="17">
        <v>5020</v>
      </c>
      <c r="M1173" s="23" t="s">
        <v>41</v>
      </c>
      <c r="N1173" s="1" t="s">
        <v>2168</v>
      </c>
      <c r="O1173" s="7" t="s">
        <v>2169</v>
      </c>
      <c r="P1173" s="7" t="s">
        <v>1617</v>
      </c>
      <c r="R1173" s="7" t="s">
        <v>2170</v>
      </c>
      <c r="S1173" s="3" t="s">
        <v>45</v>
      </c>
      <c r="T1173" s="3" t="s">
        <v>2171</v>
      </c>
    </row>
    <row r="1174" spans="1:20" x14ac:dyDescent="0.25">
      <c r="A1174" s="10">
        <v>46093</v>
      </c>
      <c r="B1174" s="2" t="s">
        <v>2165</v>
      </c>
      <c r="D1174" s="31" t="s">
        <v>2166</v>
      </c>
      <c r="E1174" s="3" t="s">
        <v>484</v>
      </c>
      <c r="G1174" s="4" t="s">
        <v>447</v>
      </c>
      <c r="H1174" s="22" t="s">
        <v>47</v>
      </c>
      <c r="I1174" s="22">
        <v>20</v>
      </c>
      <c r="J1174" s="22"/>
      <c r="K1174" s="22">
        <f t="shared" si="14"/>
        <v>20</v>
      </c>
      <c r="L1174" s="17"/>
      <c r="M1174" s="23"/>
    </row>
    <row r="1175" spans="1:20" x14ac:dyDescent="0.25">
      <c r="A1175" s="10">
        <v>46093</v>
      </c>
      <c r="B1175" s="2" t="s">
        <v>2165</v>
      </c>
      <c r="D1175" s="31" t="s">
        <v>2166</v>
      </c>
      <c r="E1175" s="3" t="s">
        <v>484</v>
      </c>
      <c r="G1175" s="4" t="s">
        <v>48</v>
      </c>
      <c r="H1175" s="22" t="s">
        <v>49</v>
      </c>
      <c r="I1175" s="22"/>
      <c r="J1175" s="22">
        <f>I1173+I1174</f>
        <v>5020</v>
      </c>
      <c r="K1175" s="22">
        <f t="shared" si="14"/>
        <v>5020</v>
      </c>
      <c r="L1175" s="17"/>
    </row>
    <row r="1176" spans="1:20" x14ac:dyDescent="0.25">
      <c r="A1176" s="10">
        <v>46093</v>
      </c>
      <c r="B1176" s="2" t="s">
        <v>2172</v>
      </c>
      <c r="C1176" s="2" t="s">
        <v>259</v>
      </c>
      <c r="D1176" s="2" t="s">
        <v>2156</v>
      </c>
      <c r="E1176" s="3" t="s">
        <v>498</v>
      </c>
      <c r="F1176" s="4">
        <v>211110.27</v>
      </c>
      <c r="G1176" s="4" t="s">
        <v>326</v>
      </c>
      <c r="H1176" s="22"/>
      <c r="I1176" s="22"/>
      <c r="J1176" s="22"/>
      <c r="K1176" s="22">
        <f t="shared" si="14"/>
        <v>0</v>
      </c>
      <c r="L1176" s="17"/>
      <c r="M1176" s="23" t="s">
        <v>41</v>
      </c>
      <c r="N1176" s="1" t="s">
        <v>2173</v>
      </c>
    </row>
    <row r="1177" spans="1:20" ht="24" x14ac:dyDescent="0.25">
      <c r="A1177" s="10">
        <v>46093</v>
      </c>
      <c r="B1177" s="2" t="s">
        <v>2174</v>
      </c>
      <c r="C1177" s="2" t="s">
        <v>259</v>
      </c>
      <c r="D1177" s="2" t="s">
        <v>2156</v>
      </c>
      <c r="E1177" s="3" t="s">
        <v>371</v>
      </c>
      <c r="F1177" s="4">
        <v>53029.01</v>
      </c>
      <c r="G1177" s="4" t="s">
        <v>98</v>
      </c>
      <c r="H1177" s="22"/>
      <c r="I1177" s="22"/>
      <c r="J1177" s="22"/>
      <c r="K1177" s="22">
        <f t="shared" si="14"/>
        <v>0</v>
      </c>
      <c r="L1177" s="17">
        <v>0</v>
      </c>
      <c r="M1177" s="29" t="s">
        <v>99</v>
      </c>
      <c r="N1177" s="1" t="s">
        <v>2175</v>
      </c>
      <c r="O1177" s="7" t="s">
        <v>2176</v>
      </c>
    </row>
    <row r="1178" spans="1:20" x14ac:dyDescent="0.25">
      <c r="A1178" s="10">
        <v>46093</v>
      </c>
      <c r="B1178" s="2" t="s">
        <v>2177</v>
      </c>
      <c r="C1178" s="2" t="s">
        <v>259</v>
      </c>
      <c r="D1178" s="2" t="s">
        <v>2156</v>
      </c>
      <c r="E1178" s="3" t="s">
        <v>261</v>
      </c>
      <c r="F1178" s="4">
        <v>144328.75</v>
      </c>
      <c r="G1178" s="4" t="s">
        <v>488</v>
      </c>
      <c r="H1178" s="22"/>
      <c r="I1178" s="22"/>
      <c r="J1178" s="22"/>
      <c r="K1178" s="22">
        <f t="shared" si="14"/>
        <v>0</v>
      </c>
      <c r="L1178" s="17">
        <v>144328.75</v>
      </c>
      <c r="M1178" s="23" t="s">
        <v>41</v>
      </c>
      <c r="N1178" s="1" t="s">
        <v>2178</v>
      </c>
    </row>
    <row r="1179" spans="1:20" x14ac:dyDescent="0.25">
      <c r="A1179" s="10">
        <v>46093</v>
      </c>
      <c r="B1179" s="2" t="s">
        <v>2179</v>
      </c>
      <c r="C1179" s="2" t="s">
        <v>259</v>
      </c>
      <c r="D1179" s="2" t="s">
        <v>2156</v>
      </c>
      <c r="E1179" s="3" t="s">
        <v>261</v>
      </c>
      <c r="F1179" s="4">
        <v>174606.78</v>
      </c>
      <c r="G1179" s="4" t="s">
        <v>2180</v>
      </c>
      <c r="H1179" s="22"/>
      <c r="I1179" s="22"/>
      <c r="J1179" s="22"/>
      <c r="K1179" s="22">
        <f t="shared" si="14"/>
        <v>0</v>
      </c>
      <c r="L1179" s="17"/>
      <c r="M1179" s="23" t="s">
        <v>41</v>
      </c>
      <c r="N1179" s="1" t="s">
        <v>2181</v>
      </c>
    </row>
    <row r="1180" spans="1:20" x14ac:dyDescent="0.25">
      <c r="A1180" s="10">
        <v>46093</v>
      </c>
      <c r="B1180" s="2" t="s">
        <v>2179</v>
      </c>
      <c r="C1180" s="2" t="s">
        <v>259</v>
      </c>
      <c r="E1180" s="3" t="s">
        <v>261</v>
      </c>
      <c r="H1180" s="22"/>
      <c r="I1180" s="22"/>
      <c r="J1180" s="22"/>
      <c r="K1180" s="22"/>
      <c r="L1180" s="17"/>
    </row>
    <row r="1181" spans="1:20" x14ac:dyDescent="0.25">
      <c r="A1181" s="10">
        <v>46093</v>
      </c>
      <c r="B1181" s="2" t="s">
        <v>2179</v>
      </c>
      <c r="C1181" s="2" t="s">
        <v>259</v>
      </c>
      <c r="E1181" s="3" t="s">
        <v>261</v>
      </c>
      <c r="H1181" s="22"/>
      <c r="I1181" s="22"/>
      <c r="J1181" s="22"/>
      <c r="K1181" s="22"/>
      <c r="L1181" s="17"/>
    </row>
    <row r="1182" spans="1:20" x14ac:dyDescent="0.25">
      <c r="A1182" s="10">
        <v>46093</v>
      </c>
      <c r="B1182" s="2" t="s">
        <v>2179</v>
      </c>
      <c r="C1182" s="2" t="s">
        <v>259</v>
      </c>
      <c r="E1182" s="3" t="s">
        <v>261</v>
      </c>
      <c r="H1182" s="22"/>
      <c r="I1182" s="22"/>
      <c r="J1182" s="22"/>
      <c r="K1182" s="22"/>
      <c r="L1182" s="17"/>
    </row>
    <row r="1183" spans="1:20" x14ac:dyDescent="0.25">
      <c r="A1183" s="10">
        <v>46093</v>
      </c>
      <c r="B1183" s="2" t="s">
        <v>2179</v>
      </c>
      <c r="C1183" s="2" t="s">
        <v>259</v>
      </c>
      <c r="E1183" s="3" t="s">
        <v>261</v>
      </c>
      <c r="H1183" s="22"/>
      <c r="I1183" s="22"/>
      <c r="J1183" s="22"/>
      <c r="K1183" s="22"/>
      <c r="L1183" s="17"/>
    </row>
    <row r="1184" spans="1:20" x14ac:dyDescent="0.25">
      <c r="A1184" s="10">
        <v>46093</v>
      </c>
      <c r="B1184" s="2" t="s">
        <v>2179</v>
      </c>
      <c r="C1184" s="2" t="s">
        <v>259</v>
      </c>
      <c r="E1184" s="3" t="s">
        <v>261</v>
      </c>
      <c r="H1184" s="22"/>
      <c r="I1184" s="22"/>
      <c r="J1184" s="22"/>
      <c r="K1184" s="22"/>
      <c r="L1184" s="17"/>
    </row>
    <row r="1185" spans="1:20" x14ac:dyDescent="0.25">
      <c r="A1185" s="10">
        <v>46093</v>
      </c>
      <c r="B1185" s="2" t="s">
        <v>2182</v>
      </c>
      <c r="C1185" s="2" t="s">
        <v>259</v>
      </c>
      <c r="D1185" s="2" t="s">
        <v>2156</v>
      </c>
      <c r="E1185" s="3" t="s">
        <v>261</v>
      </c>
      <c r="F1185" s="4">
        <v>52086.25</v>
      </c>
      <c r="G1185" s="3" t="s">
        <v>128</v>
      </c>
      <c r="H1185" s="34"/>
      <c r="I1185" s="34"/>
      <c r="J1185" s="34"/>
      <c r="K1185" s="22">
        <f t="shared" si="14"/>
        <v>0</v>
      </c>
      <c r="L1185" s="17">
        <v>52086.25</v>
      </c>
      <c r="M1185" s="23" t="s">
        <v>41</v>
      </c>
      <c r="N1185" s="1" t="s">
        <v>2183</v>
      </c>
      <c r="O1185" s="7" t="s">
        <v>2031</v>
      </c>
      <c r="P1185" s="7" t="s">
        <v>81</v>
      </c>
      <c r="S1185" s="3" t="s">
        <v>1087</v>
      </c>
      <c r="T1185" s="3" t="s">
        <v>1088</v>
      </c>
    </row>
    <row r="1186" spans="1:20" ht="24" x14ac:dyDescent="0.25">
      <c r="A1186" s="10">
        <v>46093</v>
      </c>
      <c r="B1186" s="2" t="s">
        <v>2184</v>
      </c>
      <c r="C1186" s="2" t="s">
        <v>376</v>
      </c>
      <c r="D1186" s="2" t="s">
        <v>2185</v>
      </c>
      <c r="E1186" s="3" t="s">
        <v>387</v>
      </c>
      <c r="F1186" s="4">
        <f>5600*4</f>
        <v>22400</v>
      </c>
      <c r="G1186" s="4" t="s">
        <v>48</v>
      </c>
      <c r="H1186" s="22"/>
      <c r="I1186" s="22"/>
      <c r="J1186" s="22"/>
      <c r="K1186" s="22">
        <f t="shared" si="14"/>
        <v>0</v>
      </c>
      <c r="L1186" s="17">
        <v>22400</v>
      </c>
      <c r="M1186" s="23" t="s">
        <v>41</v>
      </c>
      <c r="N1186" s="1" t="s">
        <v>2186</v>
      </c>
    </row>
    <row r="1187" spans="1:20" ht="24" x14ac:dyDescent="0.25">
      <c r="A1187" s="10">
        <v>46093</v>
      </c>
      <c r="B1187" s="2" t="s">
        <v>2187</v>
      </c>
      <c r="C1187" s="2" t="s">
        <v>376</v>
      </c>
      <c r="D1187" s="2" t="s">
        <v>2185</v>
      </c>
      <c r="E1187" s="3" t="s">
        <v>387</v>
      </c>
      <c r="F1187" s="4">
        <f>5600*4</f>
        <v>22400</v>
      </c>
      <c r="G1187" s="4" t="s">
        <v>392</v>
      </c>
      <c r="H1187" s="22"/>
      <c r="I1187" s="22"/>
      <c r="J1187" s="22"/>
      <c r="K1187" s="22">
        <f t="shared" si="14"/>
        <v>0</v>
      </c>
      <c r="L1187" s="17">
        <v>22400</v>
      </c>
      <c r="M1187" s="23" t="s">
        <v>41</v>
      </c>
      <c r="N1187" s="1" t="s">
        <v>2188</v>
      </c>
    </row>
    <row r="1188" spans="1:20" ht="24" x14ac:dyDescent="0.25">
      <c r="A1188" s="10">
        <v>46093</v>
      </c>
      <c r="B1188" s="2" t="s">
        <v>2189</v>
      </c>
      <c r="C1188" s="2" t="s">
        <v>95</v>
      </c>
      <c r="D1188" s="2" t="s">
        <v>2190</v>
      </c>
      <c r="E1188" s="3" t="s">
        <v>222</v>
      </c>
      <c r="F1188" s="4">
        <v>735</v>
      </c>
      <c r="G1188" s="4" t="s">
        <v>739</v>
      </c>
      <c r="H1188" s="22" t="s">
        <v>78</v>
      </c>
      <c r="I1188" s="22">
        <v>735</v>
      </c>
      <c r="J1188" s="22"/>
      <c r="K1188" s="22">
        <f t="shared" si="14"/>
        <v>735</v>
      </c>
      <c r="L1188" s="17"/>
      <c r="M1188" s="26" t="s">
        <v>581</v>
      </c>
      <c r="N1188" s="1" t="s">
        <v>2191</v>
      </c>
    </row>
    <row r="1189" spans="1:20" x14ac:dyDescent="0.25">
      <c r="A1189" s="10">
        <v>46093</v>
      </c>
      <c r="B1189" s="2" t="s">
        <v>2189</v>
      </c>
      <c r="C1189" s="2" t="s">
        <v>95</v>
      </c>
      <c r="D1189" s="2" t="s">
        <v>2190</v>
      </c>
      <c r="E1189" s="3" t="s">
        <v>222</v>
      </c>
      <c r="G1189" s="4" t="s">
        <v>48</v>
      </c>
      <c r="H1189" s="22" t="s">
        <v>49</v>
      </c>
      <c r="I1189" s="22"/>
      <c r="J1189" s="22">
        <f>I1188</f>
        <v>735</v>
      </c>
      <c r="K1189" s="22">
        <f t="shared" si="14"/>
        <v>735</v>
      </c>
      <c r="L1189" s="17"/>
      <c r="M1189" s="26"/>
    </row>
    <row r="1190" spans="1:20" x14ac:dyDescent="0.25">
      <c r="A1190" s="10">
        <v>46093</v>
      </c>
      <c r="B1190" s="2" t="s">
        <v>2192</v>
      </c>
      <c r="C1190" s="2" t="s">
        <v>134</v>
      </c>
      <c r="D1190" s="2" t="s">
        <v>2193</v>
      </c>
      <c r="E1190" s="3" t="s">
        <v>2194</v>
      </c>
      <c r="F1190" s="4">
        <v>5000</v>
      </c>
      <c r="G1190" s="4" t="s">
        <v>48</v>
      </c>
      <c r="H1190" s="22" t="s">
        <v>137</v>
      </c>
      <c r="I1190" s="22">
        <v>5000</v>
      </c>
      <c r="J1190" s="22"/>
      <c r="K1190" s="22">
        <f t="shared" si="14"/>
        <v>5000</v>
      </c>
      <c r="L1190" s="17"/>
      <c r="M1190" s="6" t="s">
        <v>581</v>
      </c>
      <c r="N1190" s="1" t="s">
        <v>2195</v>
      </c>
    </row>
    <row r="1191" spans="1:20" x14ac:dyDescent="0.25">
      <c r="A1191" s="10">
        <v>46093</v>
      </c>
      <c r="B1191" s="2" t="s">
        <v>2192</v>
      </c>
      <c r="C1191" s="2" t="s">
        <v>134</v>
      </c>
      <c r="D1191" s="2" t="s">
        <v>2193</v>
      </c>
      <c r="E1191" s="3" t="s">
        <v>2194</v>
      </c>
      <c r="G1191" s="4" t="s">
        <v>48</v>
      </c>
      <c r="H1191" s="22" t="s">
        <v>49</v>
      </c>
      <c r="I1191" s="22"/>
      <c r="J1191" s="22">
        <f>I1190</f>
        <v>5000</v>
      </c>
      <c r="K1191" s="22">
        <f t="shared" si="14"/>
        <v>5000</v>
      </c>
      <c r="L1191" s="17"/>
    </row>
    <row r="1192" spans="1:20" ht="24" x14ac:dyDescent="0.25">
      <c r="A1192" s="10">
        <v>46093</v>
      </c>
      <c r="B1192" s="2" t="s">
        <v>2196</v>
      </c>
      <c r="C1192" s="2" t="s">
        <v>2197</v>
      </c>
      <c r="D1192" s="2" t="s">
        <v>2198</v>
      </c>
      <c r="E1192" s="3" t="s">
        <v>1068</v>
      </c>
      <c r="F1192" s="4">
        <v>605.15</v>
      </c>
      <c r="G1192" s="4" t="s">
        <v>801</v>
      </c>
      <c r="H1192" s="22" t="s">
        <v>40</v>
      </c>
      <c r="I1192" s="22">
        <v>605.15</v>
      </c>
      <c r="J1192" s="22"/>
      <c r="K1192" s="22">
        <f t="shared" si="14"/>
        <v>605.15</v>
      </c>
      <c r="L1192" s="17"/>
      <c r="M1192" s="6" t="s">
        <v>581</v>
      </c>
      <c r="N1192" s="1" t="s">
        <v>2199</v>
      </c>
    </row>
    <row r="1193" spans="1:20" x14ac:dyDescent="0.25">
      <c r="A1193" s="10">
        <v>46093</v>
      </c>
      <c r="B1193" s="2" t="s">
        <v>2196</v>
      </c>
      <c r="C1193" s="2" t="s">
        <v>2197</v>
      </c>
      <c r="D1193" s="2" t="s">
        <v>2198</v>
      </c>
      <c r="E1193" s="3" t="s">
        <v>1068</v>
      </c>
      <c r="G1193" s="4" t="s">
        <v>48</v>
      </c>
      <c r="H1193" s="22" t="s">
        <v>49</v>
      </c>
      <c r="I1193" s="22"/>
      <c r="J1193" s="22">
        <f>I1192</f>
        <v>605.15</v>
      </c>
      <c r="K1193" s="22">
        <f t="shared" si="14"/>
        <v>605.15</v>
      </c>
      <c r="L1193" s="17"/>
    </row>
    <row r="1194" spans="1:20" ht="24" x14ac:dyDescent="0.25">
      <c r="A1194" s="10">
        <v>46093</v>
      </c>
      <c r="B1194" s="2" t="s">
        <v>2200</v>
      </c>
      <c r="C1194" s="2" t="s">
        <v>2201</v>
      </c>
      <c r="D1194" s="2" t="s">
        <v>2202</v>
      </c>
      <c r="E1194" s="3" t="s">
        <v>109</v>
      </c>
      <c r="F1194" s="4">
        <v>1910</v>
      </c>
      <c r="G1194" s="4" t="s">
        <v>801</v>
      </c>
      <c r="H1194" s="22" t="s">
        <v>40</v>
      </c>
      <c r="I1194" s="22">
        <v>1910</v>
      </c>
      <c r="J1194" s="22"/>
      <c r="K1194" s="22">
        <f t="shared" ref="K1194:K1257" si="15">ABS(I1194-J1194)</f>
        <v>1910</v>
      </c>
      <c r="L1194" s="17"/>
      <c r="M1194" s="6" t="s">
        <v>581</v>
      </c>
      <c r="N1194" s="1" t="s">
        <v>2203</v>
      </c>
    </row>
    <row r="1195" spans="1:20" x14ac:dyDescent="0.25">
      <c r="A1195" s="10">
        <v>46093</v>
      </c>
      <c r="B1195" s="2" t="s">
        <v>2200</v>
      </c>
      <c r="C1195" s="2" t="s">
        <v>2201</v>
      </c>
      <c r="D1195" s="2" t="s">
        <v>2202</v>
      </c>
      <c r="E1195" s="3" t="s">
        <v>109</v>
      </c>
      <c r="G1195" s="4" t="s">
        <v>48</v>
      </c>
      <c r="H1195" s="22" t="s">
        <v>49</v>
      </c>
      <c r="I1195" s="22"/>
      <c r="J1195" s="22">
        <f>I1194</f>
        <v>1910</v>
      </c>
      <c r="K1195" s="22">
        <f t="shared" si="15"/>
        <v>1910</v>
      </c>
      <c r="L1195" s="17"/>
    </row>
    <row r="1196" spans="1:20" ht="24" x14ac:dyDescent="0.25">
      <c r="A1196" s="10">
        <v>46093</v>
      </c>
      <c r="B1196" s="2" t="s">
        <v>2204</v>
      </c>
      <c r="C1196" s="2" t="s">
        <v>2205</v>
      </c>
      <c r="D1196" s="2" t="s">
        <v>2206</v>
      </c>
      <c r="E1196" s="3" t="s">
        <v>1068</v>
      </c>
      <c r="F1196" s="4">
        <v>199.15</v>
      </c>
      <c r="G1196" s="4" t="s">
        <v>801</v>
      </c>
      <c r="H1196" s="22" t="s">
        <v>40</v>
      </c>
      <c r="I1196" s="22">
        <v>199.15</v>
      </c>
      <c r="J1196" s="22"/>
      <c r="K1196" s="22">
        <f t="shared" si="15"/>
        <v>199.15</v>
      </c>
      <c r="L1196" s="17"/>
      <c r="M1196" s="6" t="s">
        <v>581</v>
      </c>
      <c r="N1196" s="1" t="s">
        <v>2207</v>
      </c>
    </row>
    <row r="1197" spans="1:20" x14ac:dyDescent="0.25">
      <c r="A1197" s="10">
        <v>46093</v>
      </c>
      <c r="B1197" s="2" t="s">
        <v>2204</v>
      </c>
      <c r="C1197" s="2" t="s">
        <v>2205</v>
      </c>
      <c r="D1197" s="2" t="s">
        <v>2206</v>
      </c>
      <c r="E1197" s="3" t="s">
        <v>1068</v>
      </c>
      <c r="G1197" s="4" t="s">
        <v>48</v>
      </c>
      <c r="H1197" s="22" t="s">
        <v>49</v>
      </c>
      <c r="I1197" s="22"/>
      <c r="J1197" s="22">
        <f>I1196</f>
        <v>199.15</v>
      </c>
      <c r="K1197" s="22">
        <f t="shared" si="15"/>
        <v>199.15</v>
      </c>
      <c r="L1197" s="17"/>
    </row>
    <row r="1198" spans="1:20" ht="24" x14ac:dyDescent="0.25">
      <c r="A1198" s="10">
        <v>46093</v>
      </c>
      <c r="B1198" s="2" t="s">
        <v>2208</v>
      </c>
      <c r="C1198" s="2" t="s">
        <v>2209</v>
      </c>
      <c r="D1198" s="2" t="s">
        <v>2210</v>
      </c>
      <c r="E1198" s="3" t="s">
        <v>553</v>
      </c>
      <c r="F1198" s="4">
        <f>(6120/1.12)+(6120/1.12*0.12)-(6120/1.12*0.01)</f>
        <v>6065.3571428571422</v>
      </c>
      <c r="G1198" s="4" t="s">
        <v>801</v>
      </c>
      <c r="H1198" s="22" t="s">
        <v>40</v>
      </c>
      <c r="I1198" s="22">
        <f>6120/1.12</f>
        <v>5464.2857142857138</v>
      </c>
      <c r="J1198" s="22"/>
      <c r="K1198" s="22">
        <f t="shared" si="15"/>
        <v>5464.2857142857138</v>
      </c>
      <c r="L1198" s="17">
        <f>6065.36+50</f>
        <v>6115.36</v>
      </c>
      <c r="M1198" s="23" t="s">
        <v>41</v>
      </c>
      <c r="N1198" s="1" t="s">
        <v>2211</v>
      </c>
      <c r="O1198" s="7" t="s">
        <v>668</v>
      </c>
      <c r="P1198" s="7" t="s">
        <v>81</v>
      </c>
      <c r="R1198" s="7" t="s">
        <v>2212</v>
      </c>
      <c r="S1198" s="3" t="s">
        <v>83</v>
      </c>
      <c r="T1198" s="3" t="s">
        <v>2213</v>
      </c>
    </row>
    <row r="1199" spans="1:20" x14ac:dyDescent="0.25">
      <c r="A1199" s="10">
        <v>46093</v>
      </c>
      <c r="B1199" s="2" t="s">
        <v>2208</v>
      </c>
      <c r="C1199" s="2" t="s">
        <v>2209</v>
      </c>
      <c r="D1199" s="2" t="s">
        <v>2210</v>
      </c>
      <c r="E1199" s="3" t="s">
        <v>553</v>
      </c>
      <c r="G1199" s="4" t="s">
        <v>801</v>
      </c>
      <c r="H1199" s="22" t="s">
        <v>104</v>
      </c>
      <c r="I1199" s="22">
        <f>I1198*0.12</f>
        <v>655.71428571428567</v>
      </c>
      <c r="J1199" s="22"/>
      <c r="K1199" s="22">
        <f t="shared" si="15"/>
        <v>655.71428571428567</v>
      </c>
      <c r="L1199" s="17"/>
    </row>
    <row r="1200" spans="1:20" x14ac:dyDescent="0.25">
      <c r="A1200" s="10">
        <v>46093</v>
      </c>
      <c r="B1200" s="2" t="s">
        <v>2208</v>
      </c>
      <c r="C1200" s="2" t="s">
        <v>2209</v>
      </c>
      <c r="D1200" s="2" t="s">
        <v>2210</v>
      </c>
      <c r="E1200" s="3" t="s">
        <v>553</v>
      </c>
      <c r="G1200" s="4" t="s">
        <v>801</v>
      </c>
      <c r="H1200" s="22" t="s">
        <v>105</v>
      </c>
      <c r="I1200" s="22"/>
      <c r="J1200" s="22">
        <f>I1198*0.01</f>
        <v>54.642857142857139</v>
      </c>
      <c r="K1200" s="22">
        <f t="shared" si="15"/>
        <v>54.642857142857139</v>
      </c>
      <c r="L1200" s="17"/>
    </row>
    <row r="1201" spans="1:23" x14ac:dyDescent="0.25">
      <c r="A1201" s="10">
        <v>46093</v>
      </c>
      <c r="B1201" s="2" t="s">
        <v>2208</v>
      </c>
      <c r="C1201" s="2" t="s">
        <v>2209</v>
      </c>
      <c r="D1201" s="2" t="s">
        <v>2210</v>
      </c>
      <c r="E1201" s="3" t="s">
        <v>553</v>
      </c>
      <c r="G1201" s="4" t="s">
        <v>48</v>
      </c>
      <c r="H1201" s="22" t="s">
        <v>49</v>
      </c>
      <c r="I1201" s="22"/>
      <c r="J1201" s="22">
        <f>I1198+I1199-J1200</f>
        <v>6065.3571428571422</v>
      </c>
      <c r="K1201" s="22">
        <f t="shared" si="15"/>
        <v>6065.3571428571422</v>
      </c>
      <c r="L1201" s="17"/>
    </row>
    <row r="1202" spans="1:23" ht="24" x14ac:dyDescent="0.25">
      <c r="A1202" s="10">
        <v>46093</v>
      </c>
      <c r="B1202" s="2" t="s">
        <v>2214</v>
      </c>
      <c r="C1202" s="2" t="s">
        <v>2215</v>
      </c>
      <c r="D1202" s="2" t="s">
        <v>2216</v>
      </c>
      <c r="E1202" s="3" t="s">
        <v>1909</v>
      </c>
      <c r="F1202" s="4">
        <v>1200</v>
      </c>
      <c r="G1202" s="4" t="s">
        <v>801</v>
      </c>
      <c r="H1202" s="22" t="s">
        <v>40</v>
      </c>
      <c r="I1202" s="22">
        <v>1200</v>
      </c>
      <c r="J1202" s="22"/>
      <c r="K1202" s="22">
        <f t="shared" si="15"/>
        <v>1200</v>
      </c>
      <c r="L1202" s="17"/>
      <c r="M1202" s="6" t="s">
        <v>581</v>
      </c>
      <c r="N1202" s="1" t="s">
        <v>2217</v>
      </c>
    </row>
    <row r="1203" spans="1:23" x14ac:dyDescent="0.25">
      <c r="A1203" s="10">
        <v>46093</v>
      </c>
      <c r="B1203" s="2" t="s">
        <v>2214</v>
      </c>
      <c r="C1203" s="2" t="s">
        <v>2215</v>
      </c>
      <c r="D1203" s="2" t="s">
        <v>2216</v>
      </c>
      <c r="E1203" s="3" t="s">
        <v>1909</v>
      </c>
      <c r="G1203" s="4" t="s">
        <v>48</v>
      </c>
      <c r="H1203" s="22" t="s">
        <v>49</v>
      </c>
      <c r="I1203" s="22"/>
      <c r="J1203" s="22">
        <f>I1202</f>
        <v>1200</v>
      </c>
      <c r="K1203" s="22">
        <f t="shared" si="15"/>
        <v>1200</v>
      </c>
      <c r="L1203" s="17"/>
    </row>
    <row r="1204" spans="1:23" ht="24" x14ac:dyDescent="0.25">
      <c r="A1204" s="10">
        <v>46093</v>
      </c>
      <c r="B1204" s="2" t="s">
        <v>2218</v>
      </c>
      <c r="C1204" s="2" t="s">
        <v>2219</v>
      </c>
      <c r="D1204" s="2" t="s">
        <v>2220</v>
      </c>
      <c r="E1204" s="3" t="s">
        <v>109</v>
      </c>
      <c r="F1204" s="4">
        <v>2625</v>
      </c>
      <c r="G1204" s="4" t="s">
        <v>801</v>
      </c>
      <c r="H1204" s="22" t="s">
        <v>40</v>
      </c>
      <c r="I1204" s="22">
        <v>2625</v>
      </c>
      <c r="J1204" s="22"/>
      <c r="K1204" s="22">
        <f t="shared" si="15"/>
        <v>2625</v>
      </c>
      <c r="L1204" s="17"/>
      <c r="M1204" s="6" t="s">
        <v>581</v>
      </c>
      <c r="N1204" s="1" t="s">
        <v>2221</v>
      </c>
    </row>
    <row r="1205" spans="1:23" x14ac:dyDescent="0.25">
      <c r="A1205" s="10">
        <v>46093</v>
      </c>
      <c r="B1205" s="2" t="s">
        <v>2218</v>
      </c>
      <c r="C1205" s="2" t="s">
        <v>2219</v>
      </c>
      <c r="D1205" s="2" t="s">
        <v>2220</v>
      </c>
      <c r="E1205" s="3" t="s">
        <v>109</v>
      </c>
      <c r="G1205" s="4" t="s">
        <v>48</v>
      </c>
      <c r="H1205" s="22" t="s">
        <v>49</v>
      </c>
      <c r="I1205" s="22"/>
      <c r="J1205" s="22">
        <f>I1204</f>
        <v>2625</v>
      </c>
      <c r="K1205" s="22">
        <f t="shared" si="15"/>
        <v>2625</v>
      </c>
      <c r="L1205" s="17"/>
    </row>
    <row r="1206" spans="1:23" ht="24" x14ac:dyDescent="0.25">
      <c r="A1206" s="10">
        <v>46093</v>
      </c>
      <c r="B1206" s="2" t="s">
        <v>2222</v>
      </c>
      <c r="C1206" s="2" t="s">
        <v>2223</v>
      </c>
      <c r="D1206" s="2" t="s">
        <v>2224</v>
      </c>
      <c r="E1206" s="3" t="s">
        <v>1068</v>
      </c>
      <c r="F1206" s="4">
        <v>219.15</v>
      </c>
      <c r="G1206" s="4" t="s">
        <v>801</v>
      </c>
      <c r="H1206" s="22" t="s">
        <v>40</v>
      </c>
      <c r="I1206" s="22">
        <v>219.15</v>
      </c>
      <c r="J1206" s="22"/>
      <c r="K1206" s="22">
        <f t="shared" si="15"/>
        <v>219.15</v>
      </c>
      <c r="L1206" s="17"/>
      <c r="M1206" s="6" t="s">
        <v>581</v>
      </c>
      <c r="N1206" s="1" t="s">
        <v>2225</v>
      </c>
    </row>
    <row r="1207" spans="1:23" x14ac:dyDescent="0.25">
      <c r="A1207" s="10">
        <v>46093</v>
      </c>
      <c r="B1207" s="2" t="s">
        <v>2222</v>
      </c>
      <c r="C1207" s="2" t="s">
        <v>2223</v>
      </c>
      <c r="D1207" s="2" t="s">
        <v>2224</v>
      </c>
      <c r="E1207" s="3" t="s">
        <v>1068</v>
      </c>
      <c r="G1207" s="4" t="s">
        <v>48</v>
      </c>
      <c r="H1207" s="22" t="s">
        <v>49</v>
      </c>
      <c r="I1207" s="22"/>
      <c r="J1207" s="22">
        <f>I1206</f>
        <v>219.15</v>
      </c>
      <c r="K1207" s="22">
        <f t="shared" si="15"/>
        <v>219.15</v>
      </c>
      <c r="L1207" s="17"/>
    </row>
    <row r="1208" spans="1:23" x14ac:dyDescent="0.25">
      <c r="A1208" s="10">
        <v>46093</v>
      </c>
      <c r="B1208" s="2" t="s">
        <v>2226</v>
      </c>
      <c r="C1208" s="2" t="s">
        <v>2227</v>
      </c>
      <c r="D1208" s="2" t="s">
        <v>2228</v>
      </c>
      <c r="E1208" s="3" t="s">
        <v>548</v>
      </c>
      <c r="F1208" s="4">
        <f>50000+20+50800+20</f>
        <v>100840</v>
      </c>
      <c r="G1208" s="4" t="s">
        <v>110</v>
      </c>
      <c r="H1208" s="22"/>
      <c r="I1208" s="22"/>
      <c r="J1208" s="22"/>
      <c r="K1208" s="22">
        <f t="shared" si="15"/>
        <v>0</v>
      </c>
      <c r="L1208" s="17"/>
      <c r="M1208" s="23" t="s">
        <v>41</v>
      </c>
      <c r="N1208" s="1" t="s">
        <v>2229</v>
      </c>
      <c r="O1208" s="7" t="s">
        <v>2230</v>
      </c>
    </row>
    <row r="1209" spans="1:23" x14ac:dyDescent="0.25">
      <c r="A1209" s="10">
        <v>46093</v>
      </c>
      <c r="B1209" s="2" t="s">
        <v>2231</v>
      </c>
      <c r="C1209" s="2" t="s">
        <v>2232</v>
      </c>
      <c r="D1209" s="2" t="s">
        <v>2233</v>
      </c>
      <c r="E1209" s="3" t="s">
        <v>109</v>
      </c>
      <c r="F1209" s="4">
        <v>210</v>
      </c>
      <c r="G1209" s="4" t="s">
        <v>128</v>
      </c>
      <c r="H1209" s="22" t="s">
        <v>1916</v>
      </c>
      <c r="I1209" s="22">
        <v>210</v>
      </c>
      <c r="J1209" s="22"/>
      <c r="K1209" s="22">
        <f t="shared" si="15"/>
        <v>210</v>
      </c>
      <c r="L1209" s="17"/>
      <c r="M1209" s="23" t="s">
        <v>41</v>
      </c>
      <c r="N1209" s="1" t="s">
        <v>2234</v>
      </c>
      <c r="O1209" s="7" t="s">
        <v>2230</v>
      </c>
    </row>
    <row r="1210" spans="1:23" x14ac:dyDescent="0.25">
      <c r="A1210" s="10">
        <v>46093</v>
      </c>
      <c r="B1210" s="2" t="s">
        <v>2231</v>
      </c>
      <c r="C1210" s="2" t="s">
        <v>2232</v>
      </c>
      <c r="D1210" s="2" t="s">
        <v>2233</v>
      </c>
      <c r="E1210" s="3" t="s">
        <v>109</v>
      </c>
      <c r="G1210" s="4" t="s">
        <v>48</v>
      </c>
      <c r="H1210" s="22" t="s">
        <v>49</v>
      </c>
      <c r="I1210" s="22"/>
      <c r="J1210" s="22">
        <v>210</v>
      </c>
      <c r="K1210" s="22">
        <f t="shared" si="15"/>
        <v>210</v>
      </c>
      <c r="L1210" s="17"/>
    </row>
    <row r="1211" spans="1:23" ht="36" x14ac:dyDescent="0.25">
      <c r="A1211" s="10">
        <v>46093</v>
      </c>
      <c r="B1211" s="2" t="s">
        <v>2235</v>
      </c>
      <c r="C1211" s="2" t="s">
        <v>147</v>
      </c>
      <c r="D1211" s="2" t="s">
        <v>2236</v>
      </c>
      <c r="E1211" s="3" t="s">
        <v>2237</v>
      </c>
      <c r="F1211" s="4">
        <f>1350+3600+8500</f>
        <v>13450</v>
      </c>
      <c r="G1211" s="4" t="s">
        <v>48</v>
      </c>
      <c r="H1211" s="22" t="s">
        <v>78</v>
      </c>
      <c r="I1211" s="22">
        <v>13450</v>
      </c>
      <c r="J1211" s="22"/>
      <c r="K1211" s="22">
        <f t="shared" si="15"/>
        <v>13450</v>
      </c>
      <c r="L1211" s="17">
        <v>13450</v>
      </c>
      <c r="M1211" s="23" t="s">
        <v>41</v>
      </c>
      <c r="N1211" s="1" t="s">
        <v>2238</v>
      </c>
      <c r="O1211" s="7" t="s">
        <v>2239</v>
      </c>
    </row>
    <row r="1212" spans="1:23" x14ac:dyDescent="0.25">
      <c r="A1212" s="10">
        <v>46093</v>
      </c>
      <c r="B1212" s="2" t="s">
        <v>2235</v>
      </c>
      <c r="C1212" s="2" t="s">
        <v>147</v>
      </c>
      <c r="D1212" s="2" t="s">
        <v>2236</v>
      </c>
      <c r="E1212" s="3" t="s">
        <v>2237</v>
      </c>
      <c r="G1212" s="4" t="s">
        <v>48</v>
      </c>
      <c r="H1212" s="22" t="s">
        <v>49</v>
      </c>
      <c r="I1212" s="22"/>
      <c r="J1212" s="22">
        <f>I1211</f>
        <v>13450</v>
      </c>
      <c r="K1212" s="22">
        <f t="shared" si="15"/>
        <v>13450</v>
      </c>
      <c r="L1212" s="17"/>
    </row>
    <row r="1213" spans="1:23" ht="36" x14ac:dyDescent="0.25">
      <c r="A1213" s="10">
        <v>46093</v>
      </c>
      <c r="B1213" s="2" t="s">
        <v>2240</v>
      </c>
      <c r="C1213" s="2" t="s">
        <v>147</v>
      </c>
      <c r="D1213" s="2" t="s">
        <v>2241</v>
      </c>
      <c r="E1213" s="3" t="s">
        <v>472</v>
      </c>
      <c r="F1213" s="4">
        <v>5600</v>
      </c>
      <c r="G1213" s="4" t="s">
        <v>48</v>
      </c>
      <c r="H1213" s="22" t="s">
        <v>78</v>
      </c>
      <c r="I1213" s="22">
        <v>5600</v>
      </c>
      <c r="J1213" s="22"/>
      <c r="K1213" s="22">
        <f t="shared" si="15"/>
        <v>5600</v>
      </c>
      <c r="L1213" s="17">
        <v>5600</v>
      </c>
      <c r="M1213" s="23" t="s">
        <v>41</v>
      </c>
      <c r="N1213" s="1" t="s">
        <v>2242</v>
      </c>
      <c r="O1213" s="28" t="s">
        <v>80</v>
      </c>
      <c r="P1213" s="7" t="s">
        <v>2239</v>
      </c>
      <c r="S1213" s="3" t="s">
        <v>1087</v>
      </c>
      <c r="T1213" s="3" t="s">
        <v>1088</v>
      </c>
      <c r="W1213" s="4" t="s">
        <v>2243</v>
      </c>
    </row>
    <row r="1214" spans="1:23" x14ac:dyDescent="0.25">
      <c r="A1214" s="10">
        <v>46093</v>
      </c>
      <c r="B1214" s="2" t="s">
        <v>2240</v>
      </c>
      <c r="C1214" s="2" t="s">
        <v>147</v>
      </c>
      <c r="D1214" s="2" t="s">
        <v>2241</v>
      </c>
      <c r="E1214" s="3" t="s">
        <v>472</v>
      </c>
      <c r="G1214" s="4" t="s">
        <v>48</v>
      </c>
      <c r="H1214" s="22" t="s">
        <v>49</v>
      </c>
      <c r="I1214" s="22"/>
      <c r="J1214" s="22">
        <f>I1213</f>
        <v>5600</v>
      </c>
      <c r="K1214" s="22">
        <f t="shared" si="15"/>
        <v>5600</v>
      </c>
      <c r="L1214" s="17"/>
    </row>
    <row r="1215" spans="1:23" ht="24" x14ac:dyDescent="0.25">
      <c r="A1215" s="10">
        <v>46094</v>
      </c>
      <c r="B1215" s="2" t="s">
        <v>2244</v>
      </c>
      <c r="C1215" s="2" t="s">
        <v>470</v>
      </c>
      <c r="D1215" s="2" t="s">
        <v>2245</v>
      </c>
      <c r="E1215" s="3" t="s">
        <v>472</v>
      </c>
      <c r="F1215" s="4">
        <v>18842.64</v>
      </c>
      <c r="G1215" s="4" t="s">
        <v>48</v>
      </c>
      <c r="H1215" s="22" t="s">
        <v>2246</v>
      </c>
      <c r="I1215" s="22">
        <v>545</v>
      </c>
      <c r="J1215" s="22"/>
      <c r="K1215" s="22">
        <f t="shared" si="15"/>
        <v>545</v>
      </c>
      <c r="L1215" s="17">
        <v>18842.64</v>
      </c>
      <c r="M1215" s="23" t="s">
        <v>41</v>
      </c>
      <c r="N1215" s="1" t="s">
        <v>2247</v>
      </c>
      <c r="O1215" s="7" t="s">
        <v>2239</v>
      </c>
    </row>
    <row r="1216" spans="1:23" x14ac:dyDescent="0.25">
      <c r="A1216" s="10">
        <v>46094</v>
      </c>
      <c r="B1216" s="2" t="s">
        <v>2244</v>
      </c>
      <c r="C1216" s="2" t="s">
        <v>470</v>
      </c>
      <c r="D1216" s="2" t="s">
        <v>2245</v>
      </c>
      <c r="E1216" s="3" t="s">
        <v>472</v>
      </c>
      <c r="G1216" s="4" t="s">
        <v>48</v>
      </c>
      <c r="H1216" s="22" t="s">
        <v>2248</v>
      </c>
      <c r="I1216" s="22">
        <v>309</v>
      </c>
      <c r="J1216" s="22"/>
      <c r="K1216" s="22">
        <f t="shared" si="15"/>
        <v>309</v>
      </c>
      <c r="L1216" s="17"/>
      <c r="M1216" s="23"/>
    </row>
    <row r="1217" spans="1:15" x14ac:dyDescent="0.25">
      <c r="A1217" s="10">
        <v>46094</v>
      </c>
      <c r="B1217" s="2" t="s">
        <v>2244</v>
      </c>
      <c r="C1217" s="2" t="s">
        <v>470</v>
      </c>
      <c r="D1217" s="2" t="s">
        <v>2245</v>
      </c>
      <c r="E1217" s="3" t="s">
        <v>472</v>
      </c>
      <c r="G1217" s="4" t="s">
        <v>48</v>
      </c>
      <c r="H1217" s="22" t="s">
        <v>2112</v>
      </c>
      <c r="I1217" s="22">
        <v>160</v>
      </c>
      <c r="J1217" s="22"/>
      <c r="K1217" s="22">
        <f t="shared" si="15"/>
        <v>160</v>
      </c>
      <c r="L1217" s="17"/>
      <c r="M1217" s="23"/>
    </row>
    <row r="1218" spans="1:15" x14ac:dyDescent="0.25">
      <c r="A1218" s="10">
        <v>46094</v>
      </c>
      <c r="B1218" s="2" t="s">
        <v>2244</v>
      </c>
      <c r="C1218" s="2" t="s">
        <v>470</v>
      </c>
      <c r="D1218" s="2" t="s">
        <v>2245</v>
      </c>
      <c r="E1218" s="3" t="s">
        <v>472</v>
      </c>
      <c r="G1218" s="4" t="s">
        <v>48</v>
      </c>
      <c r="H1218" s="22" t="s">
        <v>2111</v>
      </c>
      <c r="I1218" s="22">
        <v>1980</v>
      </c>
      <c r="J1218" s="22"/>
      <c r="K1218" s="22">
        <f t="shared" si="15"/>
        <v>1980</v>
      </c>
      <c r="L1218" s="17"/>
      <c r="M1218" s="23"/>
    </row>
    <row r="1219" spans="1:15" x14ac:dyDescent="0.25">
      <c r="A1219" s="10">
        <v>46094</v>
      </c>
      <c r="B1219" s="2" t="s">
        <v>2244</v>
      </c>
      <c r="C1219" s="2" t="s">
        <v>470</v>
      </c>
      <c r="D1219" s="2" t="s">
        <v>2245</v>
      </c>
      <c r="E1219" s="3" t="s">
        <v>472</v>
      </c>
      <c r="G1219" s="4" t="s">
        <v>48</v>
      </c>
      <c r="H1219" s="22" t="s">
        <v>786</v>
      </c>
      <c r="I1219" s="22">
        <v>3458.6</v>
      </c>
      <c r="J1219" s="22"/>
      <c r="K1219" s="22">
        <f t="shared" si="15"/>
        <v>3458.6</v>
      </c>
      <c r="L1219" s="17"/>
      <c r="M1219" s="23"/>
    </row>
    <row r="1220" spans="1:15" x14ac:dyDescent="0.25">
      <c r="A1220" s="10">
        <v>46094</v>
      </c>
      <c r="B1220" s="2" t="s">
        <v>2244</v>
      </c>
      <c r="C1220" s="2" t="s">
        <v>470</v>
      </c>
      <c r="D1220" s="2" t="s">
        <v>2245</v>
      </c>
      <c r="E1220" s="3" t="s">
        <v>472</v>
      </c>
      <c r="G1220" s="4" t="s">
        <v>48</v>
      </c>
      <c r="H1220" s="22" t="s">
        <v>2249</v>
      </c>
      <c r="I1220" s="22">
        <v>2775.7</v>
      </c>
      <c r="J1220" s="22"/>
      <c r="K1220" s="22">
        <f t="shared" si="15"/>
        <v>2775.7</v>
      </c>
      <c r="L1220" s="17"/>
      <c r="M1220" s="23"/>
    </row>
    <row r="1221" spans="1:15" x14ac:dyDescent="0.25">
      <c r="A1221" s="10">
        <v>46094</v>
      </c>
      <c r="B1221" s="2" t="s">
        <v>2244</v>
      </c>
      <c r="C1221" s="2" t="s">
        <v>470</v>
      </c>
      <c r="D1221" s="2" t="s">
        <v>2245</v>
      </c>
      <c r="E1221" s="3" t="s">
        <v>472</v>
      </c>
      <c r="G1221" s="4" t="s">
        <v>48</v>
      </c>
      <c r="H1221" s="22" t="s">
        <v>1600</v>
      </c>
      <c r="I1221" s="22">
        <v>915.36</v>
      </c>
      <c r="J1221" s="22"/>
      <c r="K1221" s="22">
        <f t="shared" si="15"/>
        <v>915.36</v>
      </c>
      <c r="L1221" s="17"/>
      <c r="M1221" s="23"/>
    </row>
    <row r="1222" spans="1:15" x14ac:dyDescent="0.25">
      <c r="A1222" s="10">
        <v>46094</v>
      </c>
      <c r="B1222" s="2" t="s">
        <v>2244</v>
      </c>
      <c r="C1222" s="2" t="s">
        <v>470</v>
      </c>
      <c r="D1222" s="2" t="s">
        <v>2245</v>
      </c>
      <c r="E1222" s="3" t="s">
        <v>472</v>
      </c>
      <c r="G1222" s="4" t="s">
        <v>48</v>
      </c>
      <c r="H1222" s="22" t="s">
        <v>781</v>
      </c>
      <c r="I1222" s="22">
        <v>6378.12</v>
      </c>
      <c r="J1222" s="22"/>
      <c r="K1222" s="22">
        <f t="shared" si="15"/>
        <v>6378.12</v>
      </c>
      <c r="L1222" s="17"/>
      <c r="M1222" s="23"/>
    </row>
    <row r="1223" spans="1:15" x14ac:dyDescent="0.25">
      <c r="A1223" s="10">
        <v>46094</v>
      </c>
      <c r="B1223" s="2" t="s">
        <v>2244</v>
      </c>
      <c r="C1223" s="2" t="s">
        <v>470</v>
      </c>
      <c r="D1223" s="2" t="s">
        <v>2245</v>
      </c>
      <c r="E1223" s="3" t="s">
        <v>472</v>
      </c>
      <c r="G1223" s="4" t="s">
        <v>48</v>
      </c>
      <c r="H1223" s="22" t="s">
        <v>899</v>
      </c>
      <c r="I1223" s="22">
        <v>1339.29</v>
      </c>
      <c r="J1223" s="22"/>
      <c r="K1223" s="22">
        <f t="shared" si="15"/>
        <v>1339.29</v>
      </c>
      <c r="L1223" s="17"/>
      <c r="M1223" s="23"/>
    </row>
    <row r="1224" spans="1:15" x14ac:dyDescent="0.25">
      <c r="A1224" s="10">
        <v>46094</v>
      </c>
      <c r="B1224" s="2" t="s">
        <v>2244</v>
      </c>
      <c r="C1224" s="2" t="s">
        <v>470</v>
      </c>
      <c r="D1224" s="2" t="s">
        <v>2245</v>
      </c>
      <c r="E1224" s="3" t="s">
        <v>472</v>
      </c>
      <c r="G1224" s="4" t="s">
        <v>48</v>
      </c>
      <c r="H1224" s="22" t="s">
        <v>239</v>
      </c>
      <c r="I1224" s="22">
        <v>981.57</v>
      </c>
      <c r="J1224" s="22"/>
      <c r="K1224" s="22">
        <f t="shared" si="15"/>
        <v>981.57</v>
      </c>
      <c r="L1224" s="17"/>
      <c r="M1224" s="23"/>
    </row>
    <row r="1225" spans="1:15" x14ac:dyDescent="0.25">
      <c r="A1225" s="10">
        <v>46094</v>
      </c>
      <c r="B1225" s="2" t="s">
        <v>2244</v>
      </c>
      <c r="C1225" s="2" t="s">
        <v>470</v>
      </c>
      <c r="D1225" s="2" t="s">
        <v>2245</v>
      </c>
      <c r="E1225" s="3" t="s">
        <v>472</v>
      </c>
      <c r="G1225" s="4" t="s">
        <v>48</v>
      </c>
      <c r="H1225" s="22" t="s">
        <v>49</v>
      </c>
      <c r="I1225" s="22"/>
      <c r="J1225" s="22">
        <f>SUM(I1215:I1224)</f>
        <v>18842.64</v>
      </c>
      <c r="K1225" s="22">
        <f t="shared" si="15"/>
        <v>18842.64</v>
      </c>
      <c r="L1225" s="17"/>
      <c r="M1225" s="23"/>
    </row>
    <row r="1226" spans="1:15" ht="36" x14ac:dyDescent="0.25">
      <c r="A1226" s="10">
        <v>46094</v>
      </c>
      <c r="B1226" s="2" t="s">
        <v>2250</v>
      </c>
      <c r="C1226" s="2" t="s">
        <v>147</v>
      </c>
      <c r="D1226" s="2" t="s">
        <v>2251</v>
      </c>
      <c r="E1226" s="3" t="s">
        <v>2237</v>
      </c>
      <c r="F1226" s="4">
        <f>1350+1400</f>
        <v>2750</v>
      </c>
      <c r="G1226" s="4" t="s">
        <v>48</v>
      </c>
      <c r="H1226" s="22" t="s">
        <v>78</v>
      </c>
      <c r="I1226" s="22">
        <v>2750</v>
      </c>
      <c r="J1226" s="22"/>
      <c r="K1226" s="22">
        <f t="shared" si="15"/>
        <v>2750</v>
      </c>
      <c r="L1226" s="17">
        <v>2750</v>
      </c>
      <c r="M1226" s="23" t="s">
        <v>41</v>
      </c>
      <c r="N1226" s="1" t="s">
        <v>2252</v>
      </c>
      <c r="O1226" s="7" t="s">
        <v>2239</v>
      </c>
    </row>
    <row r="1227" spans="1:15" x14ac:dyDescent="0.25">
      <c r="A1227" s="10">
        <v>46094</v>
      </c>
      <c r="B1227" s="2" t="s">
        <v>2250</v>
      </c>
      <c r="C1227" s="2" t="s">
        <v>147</v>
      </c>
      <c r="D1227" s="2" t="s">
        <v>2251</v>
      </c>
      <c r="E1227" s="3" t="s">
        <v>2237</v>
      </c>
      <c r="G1227" s="4" t="s">
        <v>48</v>
      </c>
      <c r="H1227" s="22" t="s">
        <v>49</v>
      </c>
      <c r="I1227" s="22"/>
      <c r="J1227" s="22">
        <f>I1226</f>
        <v>2750</v>
      </c>
      <c r="K1227" s="22">
        <f t="shared" si="15"/>
        <v>2750</v>
      </c>
      <c r="L1227" s="17"/>
    </row>
    <row r="1228" spans="1:15" x14ac:dyDescent="0.25">
      <c r="A1228" s="10">
        <v>46094</v>
      </c>
      <c r="B1228" s="2" t="s">
        <v>2253</v>
      </c>
      <c r="C1228" s="2" t="s">
        <v>134</v>
      </c>
      <c r="E1228" s="3" t="s">
        <v>66</v>
      </c>
      <c r="F1228" s="4">
        <v>200000</v>
      </c>
      <c r="G1228" s="4" t="s">
        <v>28</v>
      </c>
      <c r="H1228" s="22" t="s">
        <v>2254</v>
      </c>
      <c r="I1228" s="22">
        <v>200000</v>
      </c>
      <c r="J1228" s="22"/>
      <c r="K1228" s="22">
        <f t="shared" si="15"/>
        <v>200000</v>
      </c>
      <c r="L1228" s="17">
        <v>200000</v>
      </c>
      <c r="M1228" s="23" t="s">
        <v>41</v>
      </c>
      <c r="N1228" s="1" t="s">
        <v>2255</v>
      </c>
    </row>
    <row r="1229" spans="1:15" x14ac:dyDescent="0.25">
      <c r="A1229" s="10">
        <v>46094</v>
      </c>
      <c r="B1229" s="2" t="s">
        <v>2253</v>
      </c>
      <c r="C1229" s="2" t="s">
        <v>134</v>
      </c>
      <c r="E1229" s="3" t="s">
        <v>66</v>
      </c>
      <c r="G1229" s="4" t="s">
        <v>48</v>
      </c>
      <c r="H1229" s="22" t="s">
        <v>49</v>
      </c>
      <c r="I1229" s="22"/>
      <c r="J1229" s="22">
        <f>I1228</f>
        <v>200000</v>
      </c>
      <c r="K1229" s="22">
        <f t="shared" si="15"/>
        <v>200000</v>
      </c>
      <c r="L1229" s="17"/>
    </row>
    <row r="1230" spans="1:15" ht="24" x14ac:dyDescent="0.25">
      <c r="A1230" s="10">
        <v>46094</v>
      </c>
      <c r="B1230" s="2" t="s">
        <v>2256</v>
      </c>
      <c r="C1230" s="2" t="s">
        <v>2257</v>
      </c>
      <c r="D1230" s="2" t="s">
        <v>2258</v>
      </c>
      <c r="E1230" s="3" t="s">
        <v>307</v>
      </c>
      <c r="F1230" s="4">
        <f>(7200/1.12)+(7200/1.12*0.12)-(7200/1.12*0.01)</f>
        <v>7135.7142857142844</v>
      </c>
      <c r="G1230" s="4" t="s">
        <v>801</v>
      </c>
      <c r="H1230" s="22" t="s">
        <v>40</v>
      </c>
      <c r="I1230" s="22">
        <f>7200/1.12</f>
        <v>6428.5714285714275</v>
      </c>
      <c r="J1230" s="22"/>
      <c r="K1230" s="22">
        <f t="shared" si="15"/>
        <v>6428.5714285714275</v>
      </c>
      <c r="L1230" s="17"/>
      <c r="M1230" s="6" t="s">
        <v>581</v>
      </c>
      <c r="N1230" s="1" t="s">
        <v>2259</v>
      </c>
    </row>
    <row r="1231" spans="1:15" x14ac:dyDescent="0.25">
      <c r="A1231" s="10">
        <v>46094</v>
      </c>
      <c r="B1231" s="2" t="s">
        <v>2256</v>
      </c>
      <c r="C1231" s="2" t="s">
        <v>2257</v>
      </c>
      <c r="D1231" s="2" t="s">
        <v>2258</v>
      </c>
      <c r="E1231" s="3" t="s">
        <v>307</v>
      </c>
      <c r="G1231" s="4" t="s">
        <v>801</v>
      </c>
      <c r="H1231" s="22" t="s">
        <v>104</v>
      </c>
      <c r="I1231" s="22">
        <f>I1230*0.12</f>
        <v>771.42857142857133</v>
      </c>
      <c r="J1231" s="22"/>
      <c r="K1231" s="22">
        <f t="shared" si="15"/>
        <v>771.42857142857133</v>
      </c>
      <c r="L1231" s="17"/>
    </row>
    <row r="1232" spans="1:15" x14ac:dyDescent="0.25">
      <c r="A1232" s="10">
        <v>46094</v>
      </c>
      <c r="B1232" s="2" t="s">
        <v>2256</v>
      </c>
      <c r="C1232" s="2" t="s">
        <v>2257</v>
      </c>
      <c r="D1232" s="2" t="s">
        <v>2258</v>
      </c>
      <c r="E1232" s="3" t="s">
        <v>307</v>
      </c>
      <c r="G1232" s="4" t="s">
        <v>801</v>
      </c>
      <c r="H1232" s="22" t="s">
        <v>105</v>
      </c>
      <c r="I1232" s="22"/>
      <c r="J1232" s="22">
        <f>I1230*0.01</f>
        <v>64.285714285714278</v>
      </c>
      <c r="K1232" s="22">
        <f t="shared" si="15"/>
        <v>64.285714285714278</v>
      </c>
      <c r="L1232" s="17"/>
    </row>
    <row r="1233" spans="1:23" x14ac:dyDescent="0.25">
      <c r="A1233" s="10">
        <v>46094</v>
      </c>
      <c r="B1233" s="2" t="s">
        <v>2256</v>
      </c>
      <c r="C1233" s="2" t="s">
        <v>2257</v>
      </c>
      <c r="D1233" s="2" t="s">
        <v>2258</v>
      </c>
      <c r="E1233" s="3" t="s">
        <v>307</v>
      </c>
      <c r="G1233" s="4" t="s">
        <v>48</v>
      </c>
      <c r="H1233" s="22" t="s">
        <v>49</v>
      </c>
      <c r="I1233" s="22"/>
      <c r="J1233" s="22">
        <f>I1230+I1231-J1232</f>
        <v>7135.7142857142844</v>
      </c>
      <c r="K1233" s="22">
        <f t="shared" si="15"/>
        <v>7135.7142857142844</v>
      </c>
      <c r="L1233" s="17"/>
    </row>
    <row r="1234" spans="1:23" x14ac:dyDescent="0.25">
      <c r="A1234" s="10">
        <v>46094</v>
      </c>
      <c r="B1234" s="2" t="s">
        <v>2260</v>
      </c>
      <c r="C1234" s="2" t="s">
        <v>95</v>
      </c>
      <c r="D1234" s="2" t="s">
        <v>2261</v>
      </c>
      <c r="E1234" s="3" t="s">
        <v>76</v>
      </c>
      <c r="F1234" s="4">
        <v>7100</v>
      </c>
      <c r="G1234" s="4" t="s">
        <v>128</v>
      </c>
      <c r="H1234" s="22" t="s">
        <v>78</v>
      </c>
      <c r="I1234" s="22">
        <v>7100</v>
      </c>
      <c r="J1234" s="22"/>
      <c r="K1234" s="22">
        <f t="shared" si="15"/>
        <v>7100</v>
      </c>
      <c r="L1234" s="17">
        <v>7100</v>
      </c>
      <c r="M1234" s="23" t="s">
        <v>41</v>
      </c>
      <c r="N1234" s="8" t="s">
        <v>2262</v>
      </c>
      <c r="O1234" s="7" t="s">
        <v>2263</v>
      </c>
      <c r="R1234" s="7" t="s">
        <v>2264</v>
      </c>
      <c r="S1234" s="3" t="s">
        <v>1087</v>
      </c>
      <c r="T1234" s="3" t="s">
        <v>2239</v>
      </c>
    </row>
    <row r="1235" spans="1:23" x14ac:dyDescent="0.25">
      <c r="A1235" s="10">
        <v>46094</v>
      </c>
      <c r="B1235" s="2" t="s">
        <v>2260</v>
      </c>
      <c r="C1235" s="2" t="s">
        <v>95</v>
      </c>
      <c r="D1235" s="2" t="s">
        <v>2261</v>
      </c>
      <c r="E1235" s="3" t="s">
        <v>76</v>
      </c>
      <c r="G1235" s="4" t="s">
        <v>48</v>
      </c>
      <c r="H1235" s="22" t="s">
        <v>49</v>
      </c>
      <c r="I1235" s="22"/>
      <c r="J1235" s="22">
        <f>I1234</f>
        <v>7100</v>
      </c>
      <c r="K1235" s="22">
        <f t="shared" si="15"/>
        <v>7100</v>
      </c>
      <c r="L1235" s="17"/>
      <c r="M1235" s="23"/>
      <c r="N1235" s="8"/>
    </row>
    <row r="1236" spans="1:23" x14ac:dyDescent="0.25">
      <c r="A1236" s="10">
        <v>46094</v>
      </c>
      <c r="B1236" s="2" t="s">
        <v>2265</v>
      </c>
      <c r="C1236" s="2" t="s">
        <v>2266</v>
      </c>
      <c r="D1236" s="2" t="s">
        <v>2267</v>
      </c>
      <c r="E1236" s="3" t="s">
        <v>114</v>
      </c>
      <c r="F1236" s="4">
        <v>3430</v>
      </c>
      <c r="G1236" s="4" t="s">
        <v>128</v>
      </c>
      <c r="H1236" s="22" t="s">
        <v>1916</v>
      </c>
      <c r="I1236" s="22">
        <v>3430</v>
      </c>
      <c r="J1236" s="22"/>
      <c r="K1236" s="22">
        <f t="shared" si="15"/>
        <v>3430</v>
      </c>
      <c r="L1236" s="17">
        <v>3430</v>
      </c>
      <c r="M1236" s="23" t="s">
        <v>41</v>
      </c>
      <c r="N1236" s="1" t="s">
        <v>2268</v>
      </c>
      <c r="O1236" s="7" t="s">
        <v>2263</v>
      </c>
      <c r="R1236" s="7" t="s">
        <v>2264</v>
      </c>
      <c r="S1236" s="3" t="s">
        <v>1087</v>
      </c>
      <c r="T1236" s="3" t="s">
        <v>2239</v>
      </c>
    </row>
    <row r="1237" spans="1:23" x14ac:dyDescent="0.25">
      <c r="A1237" s="10">
        <v>46094</v>
      </c>
      <c r="B1237" s="2" t="s">
        <v>2265</v>
      </c>
      <c r="C1237" s="2" t="s">
        <v>2266</v>
      </c>
      <c r="D1237" s="2" t="s">
        <v>2267</v>
      </c>
      <c r="E1237" s="3" t="s">
        <v>114</v>
      </c>
      <c r="G1237" s="4" t="s">
        <v>48</v>
      </c>
      <c r="H1237" s="22" t="s">
        <v>49</v>
      </c>
      <c r="I1237" s="22">
        <v>0</v>
      </c>
      <c r="J1237" s="22">
        <f>I1236</f>
        <v>3430</v>
      </c>
      <c r="K1237" s="22">
        <f t="shared" si="15"/>
        <v>3430</v>
      </c>
      <c r="L1237" s="17"/>
      <c r="M1237" s="23"/>
    </row>
    <row r="1238" spans="1:23" x14ac:dyDescent="0.25">
      <c r="A1238" s="10">
        <v>46094</v>
      </c>
      <c r="B1238" s="2" t="s">
        <v>2269</v>
      </c>
      <c r="C1238" s="2" t="s">
        <v>2270</v>
      </c>
      <c r="D1238" s="2" t="s">
        <v>2271</v>
      </c>
      <c r="E1238" s="3" t="s">
        <v>553</v>
      </c>
      <c r="F1238" s="4">
        <v>840</v>
      </c>
      <c r="G1238" s="4" t="s">
        <v>128</v>
      </c>
      <c r="H1238" s="22" t="s">
        <v>1916</v>
      </c>
      <c r="I1238" s="22">
        <v>840</v>
      </c>
      <c r="J1238" s="22"/>
      <c r="K1238" s="22">
        <f t="shared" si="15"/>
        <v>840</v>
      </c>
      <c r="L1238" s="17">
        <v>840</v>
      </c>
      <c r="M1238" s="23" t="s">
        <v>41</v>
      </c>
      <c r="N1238" s="8" t="s">
        <v>2272</v>
      </c>
      <c r="O1238" s="7" t="s">
        <v>2263</v>
      </c>
      <c r="R1238" s="7" t="s">
        <v>2264</v>
      </c>
      <c r="S1238" s="3" t="s">
        <v>1087</v>
      </c>
      <c r="T1238" s="3" t="s">
        <v>2239</v>
      </c>
    </row>
    <row r="1239" spans="1:23" x14ac:dyDescent="0.25">
      <c r="A1239" s="10">
        <v>46094</v>
      </c>
      <c r="B1239" s="2" t="s">
        <v>2269</v>
      </c>
      <c r="C1239" s="2" t="s">
        <v>2270</v>
      </c>
      <c r="D1239" s="2" t="s">
        <v>2271</v>
      </c>
      <c r="E1239" s="3" t="s">
        <v>553</v>
      </c>
      <c r="G1239" s="4" t="s">
        <v>48</v>
      </c>
      <c r="H1239" s="22" t="s">
        <v>49</v>
      </c>
      <c r="I1239" s="22">
        <v>0</v>
      </c>
      <c r="J1239" s="22">
        <f>I1238</f>
        <v>840</v>
      </c>
      <c r="K1239" s="22">
        <f t="shared" si="15"/>
        <v>840</v>
      </c>
      <c r="L1239" s="17"/>
      <c r="M1239" s="23"/>
      <c r="N1239" s="8"/>
    </row>
    <row r="1240" spans="1:23" ht="24" x14ac:dyDescent="0.25">
      <c r="A1240" s="10">
        <v>46094</v>
      </c>
      <c r="B1240" s="2" t="s">
        <v>2273</v>
      </c>
      <c r="C1240" s="2" t="s">
        <v>2274</v>
      </c>
      <c r="D1240" s="2" t="s">
        <v>2275</v>
      </c>
      <c r="E1240" s="3" t="s">
        <v>710</v>
      </c>
      <c r="F1240" s="4">
        <v>18540</v>
      </c>
      <c r="G1240" s="4" t="s">
        <v>128</v>
      </c>
      <c r="H1240" s="22" t="s">
        <v>1916</v>
      </c>
      <c r="I1240" s="22">
        <v>18540</v>
      </c>
      <c r="J1240" s="22"/>
      <c r="K1240" s="22">
        <f t="shared" si="15"/>
        <v>18540</v>
      </c>
      <c r="L1240" s="17">
        <v>18540</v>
      </c>
      <c r="M1240" s="23" t="s">
        <v>41</v>
      </c>
      <c r="N1240" s="1" t="s">
        <v>2276</v>
      </c>
      <c r="O1240" s="7" t="s">
        <v>2263</v>
      </c>
      <c r="R1240" s="7" t="s">
        <v>2264</v>
      </c>
      <c r="S1240" s="3" t="s">
        <v>1087</v>
      </c>
      <c r="T1240" s="3" t="s">
        <v>2239</v>
      </c>
      <c r="U1240" s="8" t="s">
        <v>2277</v>
      </c>
      <c r="W1240" s="9" t="s">
        <v>2278</v>
      </c>
    </row>
    <row r="1241" spans="1:23" x14ac:dyDescent="0.25">
      <c r="A1241" s="10">
        <v>46094</v>
      </c>
      <c r="B1241" s="2" t="s">
        <v>2273</v>
      </c>
      <c r="C1241" s="2" t="s">
        <v>2274</v>
      </c>
      <c r="D1241" s="2" t="s">
        <v>2275</v>
      </c>
      <c r="E1241" s="3" t="s">
        <v>710</v>
      </c>
      <c r="G1241" s="4" t="s">
        <v>48</v>
      </c>
      <c r="H1241" s="22" t="s">
        <v>49</v>
      </c>
      <c r="I1241" s="22">
        <v>0</v>
      </c>
      <c r="J1241" s="22">
        <f>I1240</f>
        <v>18540</v>
      </c>
      <c r="K1241" s="22">
        <f t="shared" si="15"/>
        <v>18540</v>
      </c>
      <c r="L1241" s="17"/>
      <c r="M1241" s="23"/>
    </row>
    <row r="1242" spans="1:23" ht="24" x14ac:dyDescent="0.25">
      <c r="A1242" s="10">
        <v>46094</v>
      </c>
      <c r="B1242" s="2" t="s">
        <v>2279</v>
      </c>
      <c r="C1242" s="2" t="s">
        <v>2280</v>
      </c>
      <c r="D1242" s="2" t="s">
        <v>2275</v>
      </c>
      <c r="E1242" s="3" t="s">
        <v>252</v>
      </c>
      <c r="F1242" s="4">
        <v>8288</v>
      </c>
      <c r="G1242" s="4" t="s">
        <v>128</v>
      </c>
      <c r="H1242" s="22" t="s">
        <v>1916</v>
      </c>
      <c r="I1242" s="22">
        <v>8288</v>
      </c>
      <c r="J1242" s="22"/>
      <c r="K1242" s="22">
        <f t="shared" si="15"/>
        <v>8288</v>
      </c>
      <c r="L1242" s="17">
        <v>8288</v>
      </c>
      <c r="M1242" s="23" t="s">
        <v>41</v>
      </c>
      <c r="N1242" s="1" t="s">
        <v>2281</v>
      </c>
      <c r="O1242" s="7" t="s">
        <v>2263</v>
      </c>
      <c r="R1242" s="7" t="s">
        <v>2264</v>
      </c>
      <c r="S1242" s="3" t="s">
        <v>1087</v>
      </c>
      <c r="T1242" s="3" t="s">
        <v>2239</v>
      </c>
    </row>
    <row r="1243" spans="1:23" x14ac:dyDescent="0.25">
      <c r="A1243" s="10">
        <v>46094</v>
      </c>
      <c r="B1243" s="2" t="s">
        <v>2279</v>
      </c>
      <c r="C1243" s="2" t="s">
        <v>2280</v>
      </c>
      <c r="D1243" s="2" t="s">
        <v>2275</v>
      </c>
      <c r="E1243" s="3" t="s">
        <v>252</v>
      </c>
      <c r="G1243" s="4" t="s">
        <v>48</v>
      </c>
      <c r="H1243" s="22" t="s">
        <v>49</v>
      </c>
      <c r="I1243" s="22">
        <v>0</v>
      </c>
      <c r="J1243" s="22">
        <f>I1242</f>
        <v>8288</v>
      </c>
      <c r="K1243" s="22">
        <f t="shared" si="15"/>
        <v>8288</v>
      </c>
      <c r="L1243" s="17"/>
      <c r="M1243" s="23"/>
    </row>
    <row r="1244" spans="1:23" ht="36" x14ac:dyDescent="0.25">
      <c r="A1244" s="10">
        <v>46094</v>
      </c>
      <c r="B1244" s="2" t="s">
        <v>2282</v>
      </c>
      <c r="C1244" s="2" t="s">
        <v>396</v>
      </c>
      <c r="E1244" s="3" t="s">
        <v>614</v>
      </c>
      <c r="F1244" s="4">
        <f>2000+270+100</f>
        <v>2370</v>
      </c>
      <c r="G1244" s="4" t="s">
        <v>48</v>
      </c>
      <c r="H1244" s="22" t="s">
        <v>899</v>
      </c>
      <c r="I1244" s="22">
        <v>2000</v>
      </c>
      <c r="J1244" s="22"/>
      <c r="K1244" s="22">
        <f t="shared" si="15"/>
        <v>2000</v>
      </c>
      <c r="L1244" s="17">
        <v>2370</v>
      </c>
      <c r="M1244" s="23" t="s">
        <v>41</v>
      </c>
      <c r="N1244" s="1" t="s">
        <v>2283</v>
      </c>
      <c r="R1244" s="7" t="s">
        <v>2264</v>
      </c>
      <c r="T1244" s="3" t="s">
        <v>1589</v>
      </c>
    </row>
    <row r="1245" spans="1:23" x14ac:dyDescent="0.25">
      <c r="A1245" s="10">
        <v>46094</v>
      </c>
      <c r="B1245" s="2" t="s">
        <v>2282</v>
      </c>
      <c r="C1245" s="2" t="s">
        <v>396</v>
      </c>
      <c r="E1245" s="3" t="s">
        <v>614</v>
      </c>
      <c r="G1245" s="4" t="s">
        <v>48</v>
      </c>
      <c r="H1245" s="22" t="s">
        <v>1186</v>
      </c>
      <c r="I1245" s="22">
        <v>370</v>
      </c>
      <c r="J1245" s="22"/>
      <c r="K1245" s="22">
        <f t="shared" si="15"/>
        <v>370</v>
      </c>
      <c r="L1245" s="17"/>
      <c r="M1245" s="23"/>
    </row>
    <row r="1246" spans="1:23" x14ac:dyDescent="0.25">
      <c r="A1246" s="10">
        <v>46094</v>
      </c>
      <c r="B1246" s="2" t="s">
        <v>2282</v>
      </c>
      <c r="C1246" s="2" t="s">
        <v>396</v>
      </c>
      <c r="E1246" s="3" t="s">
        <v>614</v>
      </c>
      <c r="G1246" s="4" t="s">
        <v>48</v>
      </c>
      <c r="H1246" s="22" t="s">
        <v>49</v>
      </c>
      <c r="I1246" s="22"/>
      <c r="J1246" s="22">
        <f>I1244+I1245</f>
        <v>2370</v>
      </c>
      <c r="K1246" s="22">
        <f t="shared" si="15"/>
        <v>2370</v>
      </c>
      <c r="L1246" s="17"/>
      <c r="M1246" s="23"/>
    </row>
    <row r="1247" spans="1:23" ht="24" x14ac:dyDescent="0.25">
      <c r="A1247" s="10">
        <v>46099</v>
      </c>
      <c r="B1247" s="2" t="s">
        <v>2284</v>
      </c>
      <c r="C1247" s="2" t="s">
        <v>95</v>
      </c>
      <c r="D1247" s="2" t="s">
        <v>2285</v>
      </c>
      <c r="E1247" s="3" t="s">
        <v>2286</v>
      </c>
      <c r="F1247" s="4">
        <v>14351.55</v>
      </c>
      <c r="G1247" s="4" t="s">
        <v>211</v>
      </c>
      <c r="H1247" s="22" t="s">
        <v>817</v>
      </c>
      <c r="I1247" s="22">
        <v>14351.55</v>
      </c>
      <c r="J1247" s="22"/>
      <c r="K1247" s="22">
        <f t="shared" si="15"/>
        <v>14351.55</v>
      </c>
      <c r="L1247" s="17"/>
      <c r="M1247" s="29" t="s">
        <v>1766</v>
      </c>
      <c r="N1247" s="1" t="s">
        <v>2287</v>
      </c>
      <c r="O1247" s="28" t="s">
        <v>2288</v>
      </c>
      <c r="P1247" s="7" t="s">
        <v>1766</v>
      </c>
      <c r="Q1247" s="25" t="s">
        <v>2289</v>
      </c>
      <c r="R1247" s="7" t="s">
        <v>2290</v>
      </c>
      <c r="S1247" s="3" t="s">
        <v>2291</v>
      </c>
      <c r="T1247" s="3" t="s">
        <v>2292</v>
      </c>
    </row>
    <row r="1248" spans="1:23" x14ac:dyDescent="0.25">
      <c r="A1248" s="10">
        <v>46099</v>
      </c>
      <c r="B1248" s="2" t="s">
        <v>2284</v>
      </c>
      <c r="C1248" s="2" t="s">
        <v>95</v>
      </c>
      <c r="D1248" s="2" t="s">
        <v>2285</v>
      </c>
      <c r="E1248" s="3" t="s">
        <v>2286</v>
      </c>
      <c r="G1248" s="4" t="s">
        <v>48</v>
      </c>
      <c r="H1248" s="22" t="s">
        <v>49</v>
      </c>
      <c r="I1248" s="22"/>
      <c r="J1248" s="22">
        <f>I1247</f>
        <v>14351.55</v>
      </c>
      <c r="K1248" s="22">
        <f t="shared" si="15"/>
        <v>14351.55</v>
      </c>
      <c r="L1248" s="17"/>
      <c r="M1248" s="29"/>
      <c r="O1248" s="28"/>
      <c r="Q1248" s="25"/>
    </row>
    <row r="1249" spans="1:20" ht="36" x14ac:dyDescent="0.25">
      <c r="A1249" s="10">
        <v>46099</v>
      </c>
      <c r="B1249" s="2" t="s">
        <v>2293</v>
      </c>
      <c r="C1249" s="2" t="s">
        <v>147</v>
      </c>
      <c r="D1249" s="2" t="s">
        <v>2251</v>
      </c>
      <c r="E1249" s="3" t="s">
        <v>261</v>
      </c>
      <c r="F1249" s="4">
        <f>5000+500</f>
        <v>5500</v>
      </c>
      <c r="G1249" s="4" t="s">
        <v>211</v>
      </c>
      <c r="H1249" s="22" t="s">
        <v>78</v>
      </c>
      <c r="I1249" s="22">
        <v>5500</v>
      </c>
      <c r="J1249" s="22"/>
      <c r="K1249" s="22">
        <f t="shared" si="15"/>
        <v>5500</v>
      </c>
      <c r="L1249" s="17">
        <v>5500</v>
      </c>
      <c r="M1249" s="23" t="s">
        <v>41</v>
      </c>
      <c r="N1249" s="1" t="s">
        <v>2294</v>
      </c>
      <c r="O1249" s="7" t="s">
        <v>2295</v>
      </c>
      <c r="P1249" s="7" t="s">
        <v>609</v>
      </c>
      <c r="R1249" s="7" t="s">
        <v>2296</v>
      </c>
      <c r="S1249" s="3" t="s">
        <v>609</v>
      </c>
      <c r="T1249" s="3" t="s">
        <v>2297</v>
      </c>
    </row>
    <row r="1250" spans="1:20" x14ac:dyDescent="0.25">
      <c r="A1250" s="10">
        <v>46099</v>
      </c>
      <c r="B1250" s="2" t="s">
        <v>2293</v>
      </c>
      <c r="C1250" s="2" t="s">
        <v>147</v>
      </c>
      <c r="D1250" s="2" t="s">
        <v>2251</v>
      </c>
      <c r="E1250" s="3" t="s">
        <v>261</v>
      </c>
      <c r="G1250" s="4" t="s">
        <v>48</v>
      </c>
      <c r="H1250" s="22" t="s">
        <v>611</v>
      </c>
      <c r="I1250" s="22"/>
      <c r="J1250" s="22">
        <f>I1249</f>
        <v>5500</v>
      </c>
      <c r="K1250" s="22">
        <f t="shared" si="15"/>
        <v>5500</v>
      </c>
      <c r="L1250" s="17"/>
      <c r="M1250" s="23"/>
    </row>
    <row r="1251" spans="1:20" ht="24" x14ac:dyDescent="0.25">
      <c r="A1251" s="10">
        <v>46099</v>
      </c>
      <c r="B1251" s="2" t="s">
        <v>2298</v>
      </c>
      <c r="C1251" s="2" t="s">
        <v>2299</v>
      </c>
      <c r="D1251" s="2" t="s">
        <v>2300</v>
      </c>
      <c r="E1251" s="3" t="s">
        <v>548</v>
      </c>
      <c r="F1251" s="4">
        <f>(166600/1.12)+(166600/1.12*0.12)-(166600/1.12*0.01)</f>
        <v>165112.5</v>
      </c>
      <c r="G1251" s="4" t="s">
        <v>128</v>
      </c>
      <c r="H1251" s="22" t="s">
        <v>1916</v>
      </c>
      <c r="I1251" s="22">
        <f>166600/1.12</f>
        <v>148750</v>
      </c>
      <c r="J1251" s="22"/>
      <c r="K1251" s="22">
        <f t="shared" si="15"/>
        <v>148750</v>
      </c>
      <c r="L1251" s="17">
        <v>165112.5</v>
      </c>
      <c r="M1251" s="23" t="s">
        <v>41</v>
      </c>
      <c r="N1251" s="44" t="s">
        <v>2301</v>
      </c>
      <c r="O1251" s="24" t="s">
        <v>2230</v>
      </c>
    </row>
    <row r="1252" spans="1:20" x14ac:dyDescent="0.25">
      <c r="A1252" s="10">
        <v>46099</v>
      </c>
      <c r="B1252" s="2" t="s">
        <v>2298</v>
      </c>
      <c r="C1252" s="2" t="s">
        <v>2299</v>
      </c>
      <c r="D1252" s="2" t="s">
        <v>2300</v>
      </c>
      <c r="E1252" s="3" t="s">
        <v>548</v>
      </c>
      <c r="G1252" s="4" t="s">
        <v>128</v>
      </c>
      <c r="H1252" s="22" t="s">
        <v>104</v>
      </c>
      <c r="I1252" s="22">
        <f>I1251*0.12</f>
        <v>17850</v>
      </c>
      <c r="J1252" s="22"/>
      <c r="K1252" s="22">
        <f t="shared" si="15"/>
        <v>17850</v>
      </c>
      <c r="L1252" s="17"/>
      <c r="N1252" s="44"/>
    </row>
    <row r="1253" spans="1:20" x14ac:dyDescent="0.25">
      <c r="A1253" s="10">
        <v>46099</v>
      </c>
      <c r="B1253" s="2" t="s">
        <v>2298</v>
      </c>
      <c r="C1253" s="2" t="s">
        <v>2299</v>
      </c>
      <c r="D1253" s="2" t="s">
        <v>2300</v>
      </c>
      <c r="E1253" s="3" t="s">
        <v>548</v>
      </c>
      <c r="G1253" s="4" t="s">
        <v>128</v>
      </c>
      <c r="H1253" s="22" t="s">
        <v>105</v>
      </c>
      <c r="I1253" s="22"/>
      <c r="J1253" s="22">
        <f>I1251*0.01</f>
        <v>1487.5</v>
      </c>
      <c r="K1253" s="22">
        <f t="shared" si="15"/>
        <v>1487.5</v>
      </c>
      <c r="L1253" s="17"/>
      <c r="N1253" s="44"/>
    </row>
    <row r="1254" spans="1:20" x14ac:dyDescent="0.25">
      <c r="A1254" s="10">
        <v>46099</v>
      </c>
      <c r="B1254" s="2" t="s">
        <v>2298</v>
      </c>
      <c r="C1254" s="2" t="s">
        <v>2299</v>
      </c>
      <c r="D1254" s="2" t="s">
        <v>2300</v>
      </c>
      <c r="E1254" s="3" t="s">
        <v>548</v>
      </c>
      <c r="G1254" s="4" t="s">
        <v>48</v>
      </c>
      <c r="H1254" s="22" t="s">
        <v>49</v>
      </c>
      <c r="I1254" s="22"/>
      <c r="J1254" s="22">
        <f>I1251+I1252-J1253</f>
        <v>165112.5</v>
      </c>
      <c r="K1254" s="22">
        <f t="shared" si="15"/>
        <v>165112.5</v>
      </c>
      <c r="L1254" s="17"/>
      <c r="N1254" s="44"/>
    </row>
    <row r="1255" spans="1:20" ht="48" x14ac:dyDescent="0.25">
      <c r="A1255" s="10">
        <v>46099</v>
      </c>
      <c r="B1255" s="2" t="s">
        <v>2302</v>
      </c>
      <c r="C1255" s="2" t="s">
        <v>147</v>
      </c>
      <c r="D1255" s="2" t="s">
        <v>2303</v>
      </c>
      <c r="E1255" s="3" t="s">
        <v>222</v>
      </c>
      <c r="F1255" s="4">
        <f>7000+5600+7200+1000</f>
        <v>20800</v>
      </c>
      <c r="G1255" s="4" t="s">
        <v>2304</v>
      </c>
      <c r="H1255" s="22" t="s">
        <v>78</v>
      </c>
      <c r="I1255" s="22">
        <v>20800</v>
      </c>
      <c r="J1255" s="22"/>
      <c r="K1255" s="22">
        <f t="shared" si="15"/>
        <v>20800</v>
      </c>
      <c r="L1255" s="17"/>
      <c r="M1255" s="6" t="s">
        <v>581</v>
      </c>
      <c r="N1255" s="1" t="s">
        <v>2305</v>
      </c>
    </row>
    <row r="1256" spans="1:20" x14ac:dyDescent="0.25">
      <c r="A1256" s="10">
        <v>46099</v>
      </c>
      <c r="B1256" s="2" t="s">
        <v>2302</v>
      </c>
      <c r="C1256" s="2" t="s">
        <v>147</v>
      </c>
      <c r="D1256" s="2" t="s">
        <v>2303</v>
      </c>
      <c r="E1256" s="3" t="s">
        <v>222</v>
      </c>
      <c r="G1256" s="4" t="s">
        <v>48</v>
      </c>
      <c r="H1256" s="22" t="s">
        <v>49</v>
      </c>
      <c r="I1256" s="22"/>
      <c r="J1256" s="22">
        <f>I1255</f>
        <v>20800</v>
      </c>
      <c r="K1256" s="22">
        <f t="shared" si="15"/>
        <v>20800</v>
      </c>
      <c r="L1256" s="17"/>
    </row>
    <row r="1257" spans="1:20" ht="24" x14ac:dyDescent="0.25">
      <c r="A1257" s="10">
        <v>46099</v>
      </c>
      <c r="B1257" s="2" t="s">
        <v>2306</v>
      </c>
      <c r="C1257" s="2" t="s">
        <v>95</v>
      </c>
      <c r="D1257" s="2" t="s">
        <v>2307</v>
      </c>
      <c r="E1257" s="3" t="s">
        <v>222</v>
      </c>
      <c r="F1257" s="4">
        <v>2625</v>
      </c>
      <c r="G1257" s="4" t="s">
        <v>28</v>
      </c>
      <c r="H1257" s="22" t="s">
        <v>78</v>
      </c>
      <c r="I1257" s="22">
        <v>2625</v>
      </c>
      <c r="J1257" s="22"/>
      <c r="K1257" s="22">
        <f t="shared" si="15"/>
        <v>2625</v>
      </c>
      <c r="L1257" s="17">
        <v>2625</v>
      </c>
      <c r="M1257" s="23" t="s">
        <v>41</v>
      </c>
      <c r="N1257" s="1" t="s">
        <v>2308</v>
      </c>
      <c r="O1257" s="24" t="s">
        <v>2309</v>
      </c>
      <c r="P1257" s="7" t="s">
        <v>81</v>
      </c>
      <c r="R1257" s="7" t="s">
        <v>2310</v>
      </c>
      <c r="S1257" s="3" t="s">
        <v>83</v>
      </c>
    </row>
    <row r="1258" spans="1:20" x14ac:dyDescent="0.25">
      <c r="A1258" s="10">
        <v>46099</v>
      </c>
      <c r="B1258" s="2" t="s">
        <v>2306</v>
      </c>
      <c r="C1258" s="2" t="s">
        <v>95</v>
      </c>
      <c r="D1258" s="2" t="s">
        <v>2307</v>
      </c>
      <c r="E1258" s="3" t="s">
        <v>222</v>
      </c>
      <c r="G1258" s="4" t="s">
        <v>48</v>
      </c>
      <c r="H1258" s="22" t="s">
        <v>49</v>
      </c>
      <c r="I1258" s="22"/>
      <c r="J1258" s="22">
        <f>I1257</f>
        <v>2625</v>
      </c>
      <c r="K1258" s="22">
        <f t="shared" ref="K1258:K1405" si="16">ABS(I1258-J1258)</f>
        <v>2625</v>
      </c>
      <c r="L1258" s="17"/>
    </row>
    <row r="1259" spans="1:20" ht="24" x14ac:dyDescent="0.25">
      <c r="A1259" s="10">
        <v>46099</v>
      </c>
      <c r="B1259" s="2" t="s">
        <v>2311</v>
      </c>
      <c r="E1259" s="3" t="s">
        <v>27</v>
      </c>
      <c r="F1259" s="4">
        <v>279000</v>
      </c>
      <c r="G1259" s="4" t="s">
        <v>326</v>
      </c>
      <c r="H1259" s="22" t="s">
        <v>731</v>
      </c>
      <c r="I1259" s="22">
        <v>279000</v>
      </c>
      <c r="J1259" s="22"/>
      <c r="K1259" s="22">
        <f t="shared" si="16"/>
        <v>279000</v>
      </c>
      <c r="L1259" s="17">
        <v>279000</v>
      </c>
      <c r="M1259" s="23" t="s">
        <v>41</v>
      </c>
      <c r="N1259" s="1" t="s">
        <v>2312</v>
      </c>
      <c r="O1259" s="7" t="s">
        <v>313</v>
      </c>
      <c r="P1259" s="7" t="s">
        <v>32</v>
      </c>
      <c r="Q1259" s="25" t="s">
        <v>2313</v>
      </c>
      <c r="R1259" s="7" t="s">
        <v>2296</v>
      </c>
      <c r="S1259" s="3" t="s">
        <v>1630</v>
      </c>
      <c r="T1259" s="3" t="s">
        <v>919</v>
      </c>
    </row>
    <row r="1260" spans="1:20" x14ac:dyDescent="0.25">
      <c r="A1260" s="10">
        <v>46099</v>
      </c>
      <c r="B1260" s="2" t="s">
        <v>2311</v>
      </c>
      <c r="E1260" s="3" t="s">
        <v>27</v>
      </c>
      <c r="G1260" s="4" t="s">
        <v>326</v>
      </c>
      <c r="H1260" s="22" t="s">
        <v>327</v>
      </c>
      <c r="I1260" s="22"/>
      <c r="J1260" s="22">
        <v>279000</v>
      </c>
      <c r="K1260" s="22">
        <f t="shared" si="16"/>
        <v>279000</v>
      </c>
      <c r="L1260" s="17"/>
      <c r="M1260" s="23"/>
      <c r="Q1260" s="25"/>
    </row>
    <row r="1261" spans="1:20" x14ac:dyDescent="0.25">
      <c r="A1261" s="10">
        <v>46099</v>
      </c>
      <c r="B1261" s="2" t="s">
        <v>2314</v>
      </c>
      <c r="E1261" s="3" t="s">
        <v>398</v>
      </c>
      <c r="F1261" s="4">
        <v>400000</v>
      </c>
      <c r="G1261" s="4" t="s">
        <v>167</v>
      </c>
      <c r="H1261" s="22" t="s">
        <v>168</v>
      </c>
      <c r="I1261" s="22">
        <v>400000</v>
      </c>
      <c r="J1261" s="22"/>
      <c r="K1261" s="22">
        <f t="shared" si="16"/>
        <v>400000</v>
      </c>
      <c r="L1261" s="17">
        <v>400000</v>
      </c>
      <c r="M1261" s="23" t="s">
        <v>41</v>
      </c>
      <c r="N1261" s="1" t="s">
        <v>2315</v>
      </c>
      <c r="O1261" s="7" t="s">
        <v>313</v>
      </c>
      <c r="P1261" s="7" t="s">
        <v>32</v>
      </c>
      <c r="Q1261" s="25" t="s">
        <v>2316</v>
      </c>
      <c r="R1261" s="7" t="s">
        <v>2296</v>
      </c>
      <c r="S1261" s="3" t="s">
        <v>145</v>
      </c>
      <c r="T1261" s="3" t="s">
        <v>324</v>
      </c>
    </row>
    <row r="1262" spans="1:20" x14ac:dyDescent="0.25">
      <c r="A1262" s="10">
        <v>46099</v>
      </c>
      <c r="B1262" s="2" t="s">
        <v>2314</v>
      </c>
      <c r="E1262" s="3" t="s">
        <v>398</v>
      </c>
      <c r="G1262" s="4" t="s">
        <v>48</v>
      </c>
      <c r="H1262" s="22" t="s">
        <v>49</v>
      </c>
      <c r="I1262" s="22"/>
      <c r="J1262" s="22">
        <f>I1261</f>
        <v>400000</v>
      </c>
      <c r="K1262" s="22">
        <f t="shared" si="16"/>
        <v>400000</v>
      </c>
      <c r="L1262" s="17"/>
      <c r="M1262" s="23"/>
      <c r="Q1262" s="25"/>
    </row>
    <row r="1263" spans="1:20" x14ac:dyDescent="0.25">
      <c r="A1263" s="10">
        <v>46099</v>
      </c>
      <c r="B1263" s="2" t="s">
        <v>2317</v>
      </c>
      <c r="E1263" s="3" t="s">
        <v>398</v>
      </c>
      <c r="F1263" s="4">
        <v>200000</v>
      </c>
      <c r="G1263" s="4" t="s">
        <v>167</v>
      </c>
      <c r="H1263" s="22" t="s">
        <v>168</v>
      </c>
      <c r="I1263" s="22">
        <v>200000</v>
      </c>
      <c r="J1263" s="22"/>
      <c r="K1263" s="22">
        <f t="shared" si="16"/>
        <v>200000</v>
      </c>
      <c r="L1263" s="17">
        <v>200000</v>
      </c>
      <c r="M1263" s="23" t="s">
        <v>41</v>
      </c>
      <c r="N1263" s="1" t="s">
        <v>2315</v>
      </c>
      <c r="O1263" s="7" t="s">
        <v>313</v>
      </c>
      <c r="P1263" s="7" t="s">
        <v>32</v>
      </c>
      <c r="Q1263" s="25" t="s">
        <v>2318</v>
      </c>
      <c r="R1263" s="7" t="s">
        <v>2296</v>
      </c>
      <c r="S1263" s="3" t="s">
        <v>145</v>
      </c>
      <c r="T1263" s="3" t="s">
        <v>324</v>
      </c>
    </row>
    <row r="1264" spans="1:20" x14ac:dyDescent="0.25">
      <c r="A1264" s="10">
        <v>46099</v>
      </c>
      <c r="B1264" s="2" t="s">
        <v>2317</v>
      </c>
      <c r="E1264" s="3" t="s">
        <v>398</v>
      </c>
      <c r="G1264" s="4" t="s">
        <v>48</v>
      </c>
      <c r="H1264" s="22" t="s">
        <v>49</v>
      </c>
      <c r="I1264" s="22"/>
      <c r="J1264" s="22">
        <f>I1263</f>
        <v>200000</v>
      </c>
      <c r="K1264" s="22">
        <f t="shared" si="16"/>
        <v>200000</v>
      </c>
      <c r="L1264" s="17"/>
      <c r="M1264" s="23"/>
      <c r="Q1264" s="25"/>
    </row>
    <row r="1265" spans="1:23" ht="23.4" customHeight="1" x14ac:dyDescent="0.25">
      <c r="A1265" s="10">
        <v>46099</v>
      </c>
      <c r="B1265" s="2" t="s">
        <v>2319</v>
      </c>
      <c r="C1265" s="2" t="s">
        <v>141</v>
      </c>
      <c r="E1265" s="3" t="s">
        <v>27</v>
      </c>
      <c r="F1265" s="4">
        <v>335200</v>
      </c>
      <c r="G1265" s="4" t="s">
        <v>48</v>
      </c>
      <c r="H1265" s="22" t="s">
        <v>81</v>
      </c>
      <c r="I1265" s="22">
        <v>335200</v>
      </c>
      <c r="J1265" s="22"/>
      <c r="K1265" s="22">
        <f t="shared" si="16"/>
        <v>335200</v>
      </c>
      <c r="L1265" s="17">
        <v>335200</v>
      </c>
      <c r="M1265" s="23" t="s">
        <v>41</v>
      </c>
      <c r="N1265" s="1" t="s">
        <v>2320</v>
      </c>
      <c r="O1265" s="7" t="s">
        <v>143</v>
      </c>
      <c r="P1265" s="7" t="s">
        <v>32</v>
      </c>
      <c r="Q1265" s="25" t="s">
        <v>2321</v>
      </c>
      <c r="R1265" s="7" t="s">
        <v>2296</v>
      </c>
      <c r="S1265" s="3" t="s">
        <v>145</v>
      </c>
      <c r="T1265" s="3" t="s">
        <v>324</v>
      </c>
    </row>
    <row r="1266" spans="1:23" ht="23.4" customHeight="1" x14ac:dyDescent="0.25">
      <c r="A1266" s="10">
        <v>46099</v>
      </c>
      <c r="B1266" s="2" t="s">
        <v>2319</v>
      </c>
      <c r="C1266" s="2" t="s">
        <v>141</v>
      </c>
      <c r="E1266" s="3" t="s">
        <v>27</v>
      </c>
      <c r="G1266" s="4" t="s">
        <v>48</v>
      </c>
      <c r="H1266" s="22" t="s">
        <v>49</v>
      </c>
      <c r="I1266" s="22"/>
      <c r="J1266" s="22">
        <f>I1265</f>
        <v>335200</v>
      </c>
      <c r="K1266" s="22">
        <f t="shared" si="16"/>
        <v>335200</v>
      </c>
      <c r="L1266" s="17"/>
      <c r="M1266" s="23"/>
      <c r="Q1266" s="25"/>
    </row>
    <row r="1267" spans="1:23" ht="24" x14ac:dyDescent="0.25">
      <c r="A1267" s="10">
        <v>46099</v>
      </c>
      <c r="B1267" s="2" t="s">
        <v>2322</v>
      </c>
      <c r="C1267" s="2" t="s">
        <v>141</v>
      </c>
      <c r="E1267" s="3" t="s">
        <v>27</v>
      </c>
      <c r="F1267" s="4">
        <v>393440.49</v>
      </c>
      <c r="G1267" s="4" t="s">
        <v>326</v>
      </c>
      <c r="H1267" s="22" t="s">
        <v>81</v>
      </c>
      <c r="I1267" s="22">
        <v>393440.49</v>
      </c>
      <c r="J1267" s="22"/>
      <c r="K1267" s="22">
        <f t="shared" si="16"/>
        <v>393440.49</v>
      </c>
      <c r="L1267" s="17">
        <v>393440.49</v>
      </c>
      <c r="M1267" s="23" t="s">
        <v>41</v>
      </c>
      <c r="N1267" s="1" t="s">
        <v>2323</v>
      </c>
      <c r="O1267" s="7" t="s">
        <v>143</v>
      </c>
      <c r="P1267" s="7" t="s">
        <v>32</v>
      </c>
      <c r="Q1267" s="25" t="s">
        <v>2324</v>
      </c>
      <c r="R1267" s="7" t="s">
        <v>2296</v>
      </c>
      <c r="S1267" s="3" t="s">
        <v>1630</v>
      </c>
      <c r="T1267" s="3" t="s">
        <v>919</v>
      </c>
    </row>
    <row r="1268" spans="1:23" x14ac:dyDescent="0.25">
      <c r="A1268" s="10">
        <v>46099</v>
      </c>
      <c r="B1268" s="2" t="s">
        <v>2322</v>
      </c>
      <c r="C1268" s="2" t="s">
        <v>141</v>
      </c>
      <c r="E1268" s="3" t="s">
        <v>27</v>
      </c>
      <c r="G1268" s="4" t="s">
        <v>326</v>
      </c>
      <c r="H1268" s="22" t="s">
        <v>49</v>
      </c>
      <c r="I1268" s="22"/>
      <c r="J1268" s="22">
        <f>I1267</f>
        <v>393440.49</v>
      </c>
      <c r="K1268" s="22">
        <f t="shared" si="16"/>
        <v>393440.49</v>
      </c>
      <c r="L1268" s="17"/>
      <c r="M1268" s="23"/>
      <c r="Q1268" s="25"/>
    </row>
    <row r="1269" spans="1:23" x14ac:dyDescent="0.25">
      <c r="A1269" s="10">
        <v>46100</v>
      </c>
      <c r="B1269" s="2" t="s">
        <v>2325</v>
      </c>
      <c r="C1269" s="2" t="s">
        <v>141</v>
      </c>
      <c r="E1269" s="3" t="s">
        <v>27</v>
      </c>
      <c r="F1269" s="4">
        <v>200000</v>
      </c>
      <c r="G1269" s="4" t="s">
        <v>48</v>
      </c>
      <c r="H1269" s="22" t="s">
        <v>81</v>
      </c>
      <c r="I1269" s="22">
        <v>200000</v>
      </c>
      <c r="J1269" s="22"/>
      <c r="K1269" s="22">
        <f t="shared" si="16"/>
        <v>200000</v>
      </c>
      <c r="L1269" s="17">
        <v>200000</v>
      </c>
      <c r="M1269" s="23" t="s">
        <v>41</v>
      </c>
      <c r="N1269" s="1" t="s">
        <v>2326</v>
      </c>
      <c r="O1269" s="7" t="s">
        <v>143</v>
      </c>
      <c r="P1269" s="7" t="s">
        <v>32</v>
      </c>
      <c r="Q1269" s="25" t="s">
        <v>2327</v>
      </c>
      <c r="R1269" s="7" t="s">
        <v>2170</v>
      </c>
      <c r="S1269" s="3" t="s">
        <v>145</v>
      </c>
      <c r="T1269" s="3" t="s">
        <v>324</v>
      </c>
    </row>
    <row r="1270" spans="1:23" x14ac:dyDescent="0.25">
      <c r="A1270" s="10">
        <v>46100</v>
      </c>
      <c r="B1270" s="2" t="s">
        <v>2325</v>
      </c>
      <c r="C1270" s="2" t="s">
        <v>141</v>
      </c>
      <c r="E1270" s="3" t="s">
        <v>27</v>
      </c>
      <c r="G1270" s="4" t="s">
        <v>48</v>
      </c>
      <c r="H1270" s="22" t="s">
        <v>49</v>
      </c>
      <c r="I1270" s="22"/>
      <c r="J1270" s="22">
        <f>I1269</f>
        <v>200000</v>
      </c>
      <c r="K1270" s="22">
        <f t="shared" si="16"/>
        <v>200000</v>
      </c>
      <c r="L1270" s="17"/>
      <c r="M1270" s="23"/>
      <c r="Q1270" s="25"/>
    </row>
    <row r="1271" spans="1:23" x14ac:dyDescent="0.25">
      <c r="A1271" s="10">
        <v>46100</v>
      </c>
      <c r="B1271" s="2" t="s">
        <v>2328</v>
      </c>
      <c r="D1271" s="31" t="s">
        <v>194</v>
      </c>
      <c r="E1271" s="3" t="s">
        <v>195</v>
      </c>
      <c r="F1271" s="4">
        <v>120000</v>
      </c>
      <c r="G1271" s="4" t="s">
        <v>167</v>
      </c>
      <c r="H1271" s="22" t="s">
        <v>168</v>
      </c>
      <c r="I1271" s="22">
        <v>120000</v>
      </c>
      <c r="J1271" s="22"/>
      <c r="K1271" s="22">
        <f t="shared" si="16"/>
        <v>120000</v>
      </c>
      <c r="L1271" s="17">
        <v>120000</v>
      </c>
      <c r="M1271" s="23" t="s">
        <v>41</v>
      </c>
      <c r="N1271" s="1" t="s">
        <v>196</v>
      </c>
      <c r="O1271" s="7" t="s">
        <v>313</v>
      </c>
      <c r="P1271" s="7" t="s">
        <v>32</v>
      </c>
      <c r="Q1271" s="25" t="s">
        <v>2329</v>
      </c>
      <c r="R1271" s="7" t="s">
        <v>2170</v>
      </c>
      <c r="S1271" s="3" t="s">
        <v>145</v>
      </c>
      <c r="T1271" s="3" t="s">
        <v>324</v>
      </c>
    </row>
    <row r="1272" spans="1:23" x14ac:dyDescent="0.25">
      <c r="A1272" s="10">
        <v>46100</v>
      </c>
      <c r="B1272" s="2" t="s">
        <v>2328</v>
      </c>
      <c r="D1272" s="31" t="s">
        <v>194</v>
      </c>
      <c r="E1272" s="3" t="s">
        <v>195</v>
      </c>
      <c r="G1272" s="4" t="s">
        <v>48</v>
      </c>
      <c r="H1272" s="22" t="s">
        <v>49</v>
      </c>
      <c r="I1272" s="22"/>
      <c r="J1272" s="22">
        <f>I1271</f>
        <v>120000</v>
      </c>
      <c r="K1272" s="22">
        <f t="shared" si="16"/>
        <v>120000</v>
      </c>
      <c r="L1272" s="17"/>
      <c r="M1272" s="23"/>
    </row>
    <row r="1273" spans="1:23" x14ac:dyDescent="0.25">
      <c r="A1273" s="10">
        <v>46100</v>
      </c>
      <c r="B1273" s="2" t="s">
        <v>2330</v>
      </c>
      <c r="C1273" s="2" t="s">
        <v>310</v>
      </c>
      <c r="E1273" s="3" t="s">
        <v>27</v>
      </c>
      <c r="F1273" s="4">
        <v>500000</v>
      </c>
      <c r="G1273" s="4" t="s">
        <v>48</v>
      </c>
      <c r="H1273" s="22" t="s">
        <v>334</v>
      </c>
      <c r="I1273" s="22">
        <v>500000</v>
      </c>
      <c r="J1273" s="22"/>
      <c r="K1273" s="22">
        <f t="shared" si="16"/>
        <v>500000</v>
      </c>
      <c r="L1273" s="17">
        <v>500000</v>
      </c>
      <c r="M1273" s="23" t="s">
        <v>41</v>
      </c>
      <c r="N1273" s="1" t="s">
        <v>2331</v>
      </c>
      <c r="O1273" s="7" t="s">
        <v>2332</v>
      </c>
      <c r="P1273" s="7" t="s">
        <v>32</v>
      </c>
      <c r="Q1273" s="25" t="s">
        <v>2333</v>
      </c>
      <c r="R1273" s="7" t="s">
        <v>2170</v>
      </c>
      <c r="S1273" s="3" t="s">
        <v>343</v>
      </c>
      <c r="T1273" s="3" t="s">
        <v>2334</v>
      </c>
      <c r="W1273" s="9" t="s">
        <v>2335</v>
      </c>
    </row>
    <row r="1274" spans="1:23" x14ac:dyDescent="0.25">
      <c r="A1274" s="10">
        <v>46100</v>
      </c>
      <c r="B1274" s="2" t="s">
        <v>2330</v>
      </c>
      <c r="C1274" s="2" t="s">
        <v>310</v>
      </c>
      <c r="E1274" s="3" t="s">
        <v>27</v>
      </c>
      <c r="G1274" s="4" t="s">
        <v>48</v>
      </c>
      <c r="H1274" s="22" t="s">
        <v>205</v>
      </c>
      <c r="I1274" s="22"/>
      <c r="J1274" s="22">
        <f>I1273</f>
        <v>500000</v>
      </c>
      <c r="K1274" s="22">
        <f t="shared" si="16"/>
        <v>500000</v>
      </c>
      <c r="L1274" s="17"/>
      <c r="M1274" s="23"/>
      <c r="Q1274" s="25"/>
    </row>
    <row r="1275" spans="1:23" ht="36" x14ac:dyDescent="0.25">
      <c r="A1275" s="10">
        <v>46100</v>
      </c>
      <c r="B1275" s="2" t="s">
        <v>2336</v>
      </c>
      <c r="C1275" s="2" t="s">
        <v>147</v>
      </c>
      <c r="D1275" s="2" t="s">
        <v>2337</v>
      </c>
      <c r="E1275" s="3" t="s">
        <v>149</v>
      </c>
      <c r="F1275" s="4">
        <f>2700+3000+8000</f>
        <v>13700</v>
      </c>
      <c r="G1275" s="4" t="s">
        <v>2338</v>
      </c>
      <c r="H1275" s="22" t="s">
        <v>78</v>
      </c>
      <c r="I1275" s="22">
        <f>13700/2</f>
        <v>6850</v>
      </c>
      <c r="J1275" s="22"/>
      <c r="K1275" s="22">
        <f t="shared" si="16"/>
        <v>6850</v>
      </c>
      <c r="L1275" s="17">
        <v>13700</v>
      </c>
      <c r="M1275" s="23" t="s">
        <v>41</v>
      </c>
      <c r="N1275" s="1" t="s">
        <v>2339</v>
      </c>
      <c r="O1275" s="7" t="s">
        <v>2340</v>
      </c>
      <c r="P1275" s="7" t="s">
        <v>81</v>
      </c>
      <c r="R1275" s="7" t="s">
        <v>2170</v>
      </c>
      <c r="S1275" s="3" t="s">
        <v>83</v>
      </c>
      <c r="T1275" s="3" t="s">
        <v>1618</v>
      </c>
    </row>
    <row r="1276" spans="1:23" x14ac:dyDescent="0.25">
      <c r="A1276" s="10">
        <v>46100</v>
      </c>
      <c r="B1276" s="2" t="s">
        <v>2336</v>
      </c>
      <c r="C1276" s="2" t="s">
        <v>147</v>
      </c>
      <c r="D1276" s="2" t="s">
        <v>2337</v>
      </c>
      <c r="E1276" s="3" t="s">
        <v>149</v>
      </c>
      <c r="G1276" s="4" t="s">
        <v>1030</v>
      </c>
      <c r="H1276" s="22" t="s">
        <v>78</v>
      </c>
      <c r="I1276" s="22">
        <f>13700/2</f>
        <v>6850</v>
      </c>
      <c r="J1276" s="22"/>
      <c r="K1276" s="22">
        <f t="shared" si="16"/>
        <v>6850</v>
      </c>
      <c r="L1276" s="17"/>
      <c r="M1276" s="23"/>
    </row>
    <row r="1277" spans="1:23" x14ac:dyDescent="0.25">
      <c r="A1277" s="10">
        <v>46100</v>
      </c>
      <c r="B1277" s="2" t="s">
        <v>2336</v>
      </c>
      <c r="C1277" s="2" t="s">
        <v>147</v>
      </c>
      <c r="D1277" s="2" t="s">
        <v>2337</v>
      </c>
      <c r="E1277" s="3" t="s">
        <v>149</v>
      </c>
      <c r="G1277" s="4" t="s">
        <v>48</v>
      </c>
      <c r="H1277" s="22" t="s">
        <v>49</v>
      </c>
      <c r="I1277" s="22"/>
      <c r="J1277" s="22">
        <f>I1275+I1276</f>
        <v>13700</v>
      </c>
      <c r="K1277" s="22">
        <f t="shared" si="16"/>
        <v>13700</v>
      </c>
      <c r="L1277" s="17"/>
      <c r="M1277" s="23"/>
    </row>
    <row r="1278" spans="1:23" ht="24" x14ac:dyDescent="0.25">
      <c r="A1278" s="10">
        <v>46100</v>
      </c>
      <c r="B1278" s="2" t="s">
        <v>2341</v>
      </c>
      <c r="D1278" s="2" t="s">
        <v>2342</v>
      </c>
      <c r="E1278" s="3" t="s">
        <v>275</v>
      </c>
      <c r="F1278" s="4">
        <f>(20409.72-400.19)+400.19-66.7</f>
        <v>20343.02</v>
      </c>
      <c r="G1278" s="4" t="s">
        <v>128</v>
      </c>
      <c r="H1278" s="22" t="s">
        <v>2029</v>
      </c>
      <c r="I1278" s="22">
        <v>20009.53</v>
      </c>
      <c r="J1278" s="22"/>
      <c r="K1278" s="22">
        <f t="shared" si="16"/>
        <v>20009.53</v>
      </c>
      <c r="L1278" s="17">
        <v>20343.02</v>
      </c>
      <c r="M1278" s="23" t="s">
        <v>41</v>
      </c>
      <c r="N1278" s="1" t="s">
        <v>2343</v>
      </c>
      <c r="O1278" s="7" t="s">
        <v>278</v>
      </c>
      <c r="P1278" s="7" t="s">
        <v>81</v>
      </c>
      <c r="R1278" s="7" t="s">
        <v>2032</v>
      </c>
      <c r="S1278" s="3" t="s">
        <v>1087</v>
      </c>
      <c r="T1278" s="3" t="s">
        <v>1088</v>
      </c>
    </row>
    <row r="1279" spans="1:23" x14ac:dyDescent="0.25">
      <c r="A1279" s="10">
        <v>46100</v>
      </c>
      <c r="B1279" s="2" t="s">
        <v>2341</v>
      </c>
      <c r="D1279" s="2" t="s">
        <v>2342</v>
      </c>
      <c r="E1279" s="3" t="s">
        <v>275</v>
      </c>
      <c r="G1279" s="4" t="s">
        <v>128</v>
      </c>
      <c r="H1279" s="22" t="s">
        <v>281</v>
      </c>
      <c r="I1279" s="22">
        <v>400.19</v>
      </c>
      <c r="J1279" s="22"/>
      <c r="K1279" s="22">
        <f t="shared" si="16"/>
        <v>400.19</v>
      </c>
      <c r="L1279" s="17"/>
    </row>
    <row r="1280" spans="1:23" x14ac:dyDescent="0.25">
      <c r="A1280" s="10">
        <v>46100</v>
      </c>
      <c r="B1280" s="2" t="s">
        <v>2341</v>
      </c>
      <c r="D1280" s="2" t="s">
        <v>2342</v>
      </c>
      <c r="E1280" s="3" t="s">
        <v>275</v>
      </c>
      <c r="G1280" s="4" t="s">
        <v>128</v>
      </c>
      <c r="H1280" s="22" t="s">
        <v>282</v>
      </c>
      <c r="I1280" s="22"/>
      <c r="J1280" s="22">
        <f>66.7</f>
        <v>66.7</v>
      </c>
      <c r="K1280" s="22">
        <f t="shared" si="16"/>
        <v>66.7</v>
      </c>
      <c r="L1280" s="17"/>
    </row>
    <row r="1281" spans="1:19" x14ac:dyDescent="0.25">
      <c r="A1281" s="10">
        <v>46100</v>
      </c>
      <c r="B1281" s="2" t="s">
        <v>2341</v>
      </c>
      <c r="D1281" s="2" t="s">
        <v>2342</v>
      </c>
      <c r="E1281" s="3" t="s">
        <v>275</v>
      </c>
      <c r="G1281" s="4" t="s">
        <v>48</v>
      </c>
      <c r="H1281" s="22" t="s">
        <v>49</v>
      </c>
      <c r="I1281" s="22"/>
      <c r="J1281" s="22">
        <f>I1278+I1279-J1280</f>
        <v>20343.019999999997</v>
      </c>
      <c r="K1281" s="22">
        <f t="shared" si="16"/>
        <v>20343.019999999997</v>
      </c>
      <c r="L1281" s="17"/>
    </row>
    <row r="1282" spans="1:19" ht="24" x14ac:dyDescent="0.25">
      <c r="A1282" s="10">
        <v>46100</v>
      </c>
      <c r="B1282" s="2" t="s">
        <v>2344</v>
      </c>
      <c r="D1282" s="2" t="s">
        <v>2342</v>
      </c>
      <c r="E1282" s="3" t="s">
        <v>275</v>
      </c>
      <c r="F1282" s="4">
        <f>(13592.53-266.52)+266.52-44.42</f>
        <v>13548.11</v>
      </c>
      <c r="G1282" s="4" t="s">
        <v>48</v>
      </c>
      <c r="H1282" s="22" t="s">
        <v>2029</v>
      </c>
      <c r="I1282" s="22">
        <v>13326.01</v>
      </c>
      <c r="J1282" s="22"/>
      <c r="K1282" s="22">
        <f t="shared" si="16"/>
        <v>13326.01</v>
      </c>
      <c r="L1282" s="17">
        <v>13548.11</v>
      </c>
      <c r="M1282" s="23" t="s">
        <v>41</v>
      </c>
      <c r="N1282" s="1" t="s">
        <v>2345</v>
      </c>
      <c r="O1282" s="7" t="s">
        <v>278</v>
      </c>
      <c r="P1282" s="7" t="s">
        <v>81</v>
      </c>
      <c r="R1282" s="7" t="s">
        <v>1962</v>
      </c>
      <c r="S1282" s="3" t="s">
        <v>83</v>
      </c>
    </row>
    <row r="1283" spans="1:19" x14ac:dyDescent="0.25">
      <c r="A1283" s="10">
        <v>46100</v>
      </c>
      <c r="B1283" s="2" t="s">
        <v>2344</v>
      </c>
      <c r="D1283" s="2" t="s">
        <v>2342</v>
      </c>
      <c r="E1283" s="3" t="s">
        <v>275</v>
      </c>
      <c r="G1283" s="4" t="s">
        <v>48</v>
      </c>
      <c r="H1283" s="22" t="s">
        <v>281</v>
      </c>
      <c r="I1283" s="22">
        <v>266.52</v>
      </c>
      <c r="J1283" s="22"/>
      <c r="K1283" s="22">
        <f t="shared" si="16"/>
        <v>266.52</v>
      </c>
      <c r="L1283" s="17"/>
    </row>
    <row r="1284" spans="1:19" x14ac:dyDescent="0.25">
      <c r="A1284" s="10">
        <v>46100</v>
      </c>
      <c r="B1284" s="2" t="s">
        <v>2344</v>
      </c>
      <c r="D1284" s="2" t="s">
        <v>2342</v>
      </c>
      <c r="E1284" s="3" t="s">
        <v>275</v>
      </c>
      <c r="G1284" s="4" t="s">
        <v>48</v>
      </c>
      <c r="H1284" s="22" t="s">
        <v>282</v>
      </c>
      <c r="I1284" s="22"/>
      <c r="J1284" s="22">
        <v>44.42</v>
      </c>
      <c r="K1284" s="22">
        <f t="shared" si="16"/>
        <v>44.42</v>
      </c>
      <c r="L1284" s="17"/>
    </row>
    <row r="1285" spans="1:19" x14ac:dyDescent="0.25">
      <c r="A1285" s="10">
        <v>46100</v>
      </c>
      <c r="B1285" s="2" t="s">
        <v>2344</v>
      </c>
      <c r="D1285" s="2" t="s">
        <v>2342</v>
      </c>
      <c r="E1285" s="3" t="s">
        <v>275</v>
      </c>
      <c r="G1285" s="4" t="s">
        <v>48</v>
      </c>
      <c r="H1285" s="22" t="s">
        <v>49</v>
      </c>
      <c r="I1285" s="22"/>
      <c r="J1285" s="22">
        <f>I1282+I1283-J1284</f>
        <v>13548.11</v>
      </c>
      <c r="K1285" s="22">
        <f t="shared" si="16"/>
        <v>13548.11</v>
      </c>
      <c r="L1285" s="17"/>
    </row>
    <row r="1286" spans="1:19" x14ac:dyDescent="0.25">
      <c r="A1286" s="10">
        <v>46100</v>
      </c>
      <c r="B1286" s="2" t="s">
        <v>2346</v>
      </c>
      <c r="C1286" s="2" t="s">
        <v>95</v>
      </c>
      <c r="D1286" s="2" t="s">
        <v>2347</v>
      </c>
      <c r="E1286" s="3" t="s">
        <v>1068</v>
      </c>
      <c r="F1286" s="4">
        <v>1604.04</v>
      </c>
      <c r="G1286" s="3" t="s">
        <v>801</v>
      </c>
      <c r="H1286" s="34" t="s">
        <v>40</v>
      </c>
      <c r="I1286" s="22">
        <v>1604.04</v>
      </c>
      <c r="J1286" s="22"/>
      <c r="K1286" s="22">
        <f t="shared" si="16"/>
        <v>1604.04</v>
      </c>
      <c r="L1286" s="32"/>
      <c r="M1286" s="23" t="s">
        <v>41</v>
      </c>
      <c r="N1286" s="1" t="s">
        <v>2348</v>
      </c>
      <c r="O1286" s="7" t="s">
        <v>2349</v>
      </c>
    </row>
    <row r="1287" spans="1:19" x14ac:dyDescent="0.25">
      <c r="A1287" s="10">
        <v>46100</v>
      </c>
      <c r="B1287" s="2" t="s">
        <v>2346</v>
      </c>
      <c r="C1287" s="2" t="s">
        <v>95</v>
      </c>
      <c r="D1287" s="2" t="s">
        <v>2347</v>
      </c>
      <c r="E1287" s="3" t="s">
        <v>1068</v>
      </c>
      <c r="F1287" s="3"/>
      <c r="G1287" s="4" t="s">
        <v>48</v>
      </c>
      <c r="H1287" s="22" t="s">
        <v>49</v>
      </c>
      <c r="I1287" s="22"/>
      <c r="J1287" s="22">
        <f>I1286</f>
        <v>1604.04</v>
      </c>
      <c r="K1287" s="22">
        <f t="shared" si="16"/>
        <v>1604.04</v>
      </c>
      <c r="L1287" s="32"/>
    </row>
    <row r="1288" spans="1:19" ht="24" x14ac:dyDescent="0.25">
      <c r="A1288" s="10">
        <v>46100</v>
      </c>
      <c r="B1288" s="2" t="s">
        <v>2350</v>
      </c>
      <c r="C1288" s="2" t="s">
        <v>2351</v>
      </c>
      <c r="D1288" s="2" t="s">
        <v>2352</v>
      </c>
      <c r="E1288" s="3" t="s">
        <v>1068</v>
      </c>
      <c r="F1288" s="4">
        <v>3346.18</v>
      </c>
      <c r="G1288" s="3" t="s">
        <v>801</v>
      </c>
      <c r="H1288" s="34" t="s">
        <v>40</v>
      </c>
      <c r="I1288" s="22">
        <v>3346.18</v>
      </c>
      <c r="J1288" s="22"/>
      <c r="K1288" s="22">
        <f t="shared" si="16"/>
        <v>3346.18</v>
      </c>
      <c r="L1288" s="17"/>
      <c r="M1288" s="6" t="s">
        <v>581</v>
      </c>
      <c r="N1288" s="1" t="s">
        <v>2353</v>
      </c>
      <c r="O1288" s="24" t="s">
        <v>2354</v>
      </c>
    </row>
    <row r="1289" spans="1:19" x14ac:dyDescent="0.25">
      <c r="A1289" s="10">
        <v>46100</v>
      </c>
      <c r="B1289" s="2" t="s">
        <v>2350</v>
      </c>
      <c r="C1289" s="2" t="s">
        <v>2351</v>
      </c>
      <c r="D1289" s="2" t="s">
        <v>2352</v>
      </c>
      <c r="E1289" s="3" t="s">
        <v>1068</v>
      </c>
      <c r="G1289" s="4" t="s">
        <v>48</v>
      </c>
      <c r="H1289" s="22" t="s">
        <v>49</v>
      </c>
      <c r="I1289" s="22"/>
      <c r="J1289" s="22">
        <f>I1288</f>
        <v>3346.18</v>
      </c>
      <c r="K1289" s="22">
        <f t="shared" si="16"/>
        <v>3346.18</v>
      </c>
      <c r="L1289" s="17"/>
    </row>
    <row r="1290" spans="1:19" ht="24" x14ac:dyDescent="0.25">
      <c r="A1290" s="10">
        <v>46100</v>
      </c>
      <c r="B1290" s="2" t="s">
        <v>2355</v>
      </c>
      <c r="C1290" s="2" t="s">
        <v>2356</v>
      </c>
      <c r="D1290" s="2" t="s">
        <v>2357</v>
      </c>
      <c r="E1290" s="3" t="s">
        <v>114</v>
      </c>
      <c r="F1290" s="4">
        <f>32300</f>
        <v>32300</v>
      </c>
      <c r="G1290" s="4" t="s">
        <v>110</v>
      </c>
      <c r="H1290" s="22" t="s">
        <v>1901</v>
      </c>
      <c r="I1290" s="22">
        <v>32300</v>
      </c>
      <c r="J1290" s="22"/>
      <c r="K1290" s="22">
        <f t="shared" si="16"/>
        <v>32300</v>
      </c>
      <c r="L1290" s="17">
        <v>32300</v>
      </c>
      <c r="M1290" s="23" t="s">
        <v>41</v>
      </c>
      <c r="N1290" s="1" t="s">
        <v>2358</v>
      </c>
      <c r="O1290" s="24" t="s">
        <v>2230</v>
      </c>
    </row>
    <row r="1291" spans="1:19" x14ac:dyDescent="0.25">
      <c r="A1291" s="10">
        <v>46100</v>
      </c>
      <c r="B1291" s="2" t="s">
        <v>2355</v>
      </c>
      <c r="C1291" s="2" t="s">
        <v>2356</v>
      </c>
      <c r="D1291" s="2" t="s">
        <v>2357</v>
      </c>
      <c r="E1291" s="3" t="s">
        <v>114</v>
      </c>
      <c r="G1291" s="4" t="s">
        <v>48</v>
      </c>
      <c r="H1291" s="22" t="s">
        <v>49</v>
      </c>
      <c r="I1291" s="22"/>
      <c r="J1291" s="22">
        <f>I1290</f>
        <v>32300</v>
      </c>
      <c r="K1291" s="22">
        <f t="shared" si="16"/>
        <v>32300</v>
      </c>
      <c r="L1291" s="17"/>
    </row>
    <row r="1292" spans="1:19" ht="24" x14ac:dyDescent="0.25">
      <c r="A1292" s="10">
        <v>46100</v>
      </c>
      <c r="B1292" s="2" t="s">
        <v>2359</v>
      </c>
      <c r="C1292" s="2" t="s">
        <v>2360</v>
      </c>
      <c r="D1292" s="2" t="s">
        <v>2357</v>
      </c>
      <c r="E1292" s="3" t="s">
        <v>109</v>
      </c>
      <c r="F1292" s="4">
        <v>19100</v>
      </c>
      <c r="G1292" s="4" t="s">
        <v>110</v>
      </c>
      <c r="H1292" s="22" t="s">
        <v>1901</v>
      </c>
      <c r="I1292" s="22">
        <v>19100</v>
      </c>
      <c r="J1292" s="22"/>
      <c r="K1292" s="22">
        <f t="shared" si="16"/>
        <v>19100</v>
      </c>
      <c r="L1292" s="17">
        <v>19100</v>
      </c>
      <c r="M1292" s="23" t="s">
        <v>41</v>
      </c>
      <c r="N1292" s="1" t="s">
        <v>2361</v>
      </c>
      <c r="O1292" s="24" t="s">
        <v>2230</v>
      </c>
    </row>
    <row r="1293" spans="1:19" x14ac:dyDescent="0.25">
      <c r="A1293" s="10">
        <v>46100</v>
      </c>
      <c r="B1293" s="2" t="s">
        <v>2359</v>
      </c>
      <c r="C1293" s="2" t="s">
        <v>2360</v>
      </c>
      <c r="D1293" s="2" t="s">
        <v>2357</v>
      </c>
      <c r="E1293" s="3" t="s">
        <v>109</v>
      </c>
      <c r="G1293" s="4" t="s">
        <v>48</v>
      </c>
      <c r="H1293" s="22" t="s">
        <v>49</v>
      </c>
      <c r="I1293" s="22"/>
      <c r="J1293" s="22">
        <f>I1292</f>
        <v>19100</v>
      </c>
      <c r="K1293" s="22">
        <f t="shared" si="16"/>
        <v>19100</v>
      </c>
      <c r="L1293" s="17"/>
    </row>
    <row r="1294" spans="1:19" ht="24" x14ac:dyDescent="0.25">
      <c r="A1294" s="10">
        <v>46100</v>
      </c>
      <c r="B1294" s="2" t="s">
        <v>2362</v>
      </c>
      <c r="C1294" s="2" t="s">
        <v>2363</v>
      </c>
      <c r="D1294" s="2" t="s">
        <v>2357</v>
      </c>
      <c r="E1294" s="3" t="s">
        <v>553</v>
      </c>
      <c r="F1294" s="4">
        <v>980</v>
      </c>
      <c r="G1294" s="4" t="s">
        <v>110</v>
      </c>
      <c r="H1294" s="22" t="s">
        <v>1901</v>
      </c>
      <c r="I1294" s="22">
        <v>980</v>
      </c>
      <c r="J1294" s="22"/>
      <c r="K1294" s="22">
        <f t="shared" si="16"/>
        <v>980</v>
      </c>
      <c r="L1294" s="17">
        <v>980</v>
      </c>
      <c r="M1294" s="23" t="s">
        <v>41</v>
      </c>
      <c r="N1294" s="1" t="s">
        <v>2364</v>
      </c>
      <c r="O1294" s="24" t="s">
        <v>2230</v>
      </c>
    </row>
    <row r="1295" spans="1:19" x14ac:dyDescent="0.25">
      <c r="A1295" s="10">
        <v>46100</v>
      </c>
      <c r="B1295" s="2" t="s">
        <v>2362</v>
      </c>
      <c r="C1295" s="2" t="s">
        <v>2363</v>
      </c>
      <c r="D1295" s="2" t="s">
        <v>2357</v>
      </c>
      <c r="E1295" s="3" t="s">
        <v>553</v>
      </c>
      <c r="G1295" s="4" t="s">
        <v>48</v>
      </c>
      <c r="H1295" s="22" t="s">
        <v>49</v>
      </c>
      <c r="I1295" s="22"/>
      <c r="J1295" s="22">
        <f>I1294</f>
        <v>980</v>
      </c>
      <c r="K1295" s="22">
        <f t="shared" si="16"/>
        <v>980</v>
      </c>
      <c r="L1295" s="17"/>
    </row>
    <row r="1296" spans="1:19" ht="24" x14ac:dyDescent="0.25">
      <c r="A1296" s="10">
        <v>46100</v>
      </c>
      <c r="B1296" s="2" t="s">
        <v>2365</v>
      </c>
      <c r="C1296" s="2" t="s">
        <v>95</v>
      </c>
      <c r="D1296" s="2" t="s">
        <v>2366</v>
      </c>
      <c r="E1296" s="3" t="s">
        <v>76</v>
      </c>
      <c r="F1296" s="4">
        <f>3600+1800+3600+3120+3120</f>
        <v>15240</v>
      </c>
      <c r="G1296" s="3" t="s">
        <v>77</v>
      </c>
      <c r="H1296" s="22" t="s">
        <v>78</v>
      </c>
      <c r="I1296" s="22">
        <v>15240</v>
      </c>
      <c r="J1296" s="22"/>
      <c r="K1296" s="22">
        <f t="shared" si="16"/>
        <v>15240</v>
      </c>
      <c r="L1296" s="32"/>
      <c r="M1296" s="6" t="s">
        <v>581</v>
      </c>
      <c r="N1296" s="1" t="s">
        <v>2367</v>
      </c>
    </row>
    <row r="1297" spans="1:21" x14ac:dyDescent="0.25">
      <c r="A1297" s="10">
        <v>46100</v>
      </c>
      <c r="B1297" s="2" t="s">
        <v>2365</v>
      </c>
      <c r="C1297" s="2" t="s">
        <v>95</v>
      </c>
      <c r="D1297" s="2" t="s">
        <v>2366</v>
      </c>
      <c r="E1297" s="3" t="s">
        <v>76</v>
      </c>
      <c r="G1297" s="4" t="s">
        <v>48</v>
      </c>
      <c r="H1297" s="22" t="s">
        <v>49</v>
      </c>
      <c r="I1297" s="22"/>
      <c r="J1297" s="22">
        <f>I1296</f>
        <v>15240</v>
      </c>
      <c r="K1297" s="22">
        <f t="shared" si="16"/>
        <v>15240</v>
      </c>
      <c r="L1297" s="32"/>
    </row>
    <row r="1298" spans="1:21" ht="24" x14ac:dyDescent="0.25">
      <c r="A1298" s="10">
        <v>46104</v>
      </c>
      <c r="B1298" s="2" t="s">
        <v>2368</v>
      </c>
      <c r="C1298" s="2" t="s">
        <v>95</v>
      </c>
      <c r="D1298" s="2" t="s">
        <v>2369</v>
      </c>
      <c r="E1298" s="3" t="s">
        <v>955</v>
      </c>
      <c r="F1298" s="4">
        <v>3500</v>
      </c>
      <c r="G1298" s="4" t="s">
        <v>128</v>
      </c>
      <c r="H1298" s="22" t="s">
        <v>78</v>
      </c>
      <c r="I1298" s="22">
        <v>3500</v>
      </c>
      <c r="J1298" s="22"/>
      <c r="K1298" s="22">
        <f t="shared" si="16"/>
        <v>3500</v>
      </c>
      <c r="L1298" s="17">
        <v>3500</v>
      </c>
      <c r="M1298" s="23" t="s">
        <v>41</v>
      </c>
      <c r="N1298" s="1" t="s">
        <v>2370</v>
      </c>
      <c r="O1298" s="24" t="s">
        <v>2230</v>
      </c>
    </row>
    <row r="1299" spans="1:21" x14ac:dyDescent="0.25">
      <c r="A1299" s="10">
        <v>46104</v>
      </c>
      <c r="B1299" s="2" t="s">
        <v>2368</v>
      </c>
      <c r="C1299" s="2" t="s">
        <v>95</v>
      </c>
      <c r="D1299" s="2" t="s">
        <v>2369</v>
      </c>
      <c r="E1299" s="3" t="s">
        <v>955</v>
      </c>
      <c r="G1299" s="4" t="s">
        <v>48</v>
      </c>
      <c r="H1299" s="22" t="s">
        <v>49</v>
      </c>
      <c r="I1299" s="22"/>
      <c r="J1299" s="22">
        <f>I1298</f>
        <v>3500</v>
      </c>
      <c r="K1299" s="22">
        <f t="shared" si="16"/>
        <v>3500</v>
      </c>
      <c r="L1299" s="17"/>
    </row>
    <row r="1300" spans="1:21" ht="24" x14ac:dyDescent="0.25">
      <c r="A1300" s="10">
        <v>46104</v>
      </c>
      <c r="B1300" s="2" t="s">
        <v>2371</v>
      </c>
      <c r="C1300" s="2" t="s">
        <v>95</v>
      </c>
      <c r="D1300" s="2" t="s">
        <v>2372</v>
      </c>
      <c r="E1300" s="3" t="s">
        <v>2373</v>
      </c>
      <c r="F1300" s="4">
        <v>3450</v>
      </c>
      <c r="G1300" s="4" t="s">
        <v>48</v>
      </c>
      <c r="H1300" s="22" t="s">
        <v>2113</v>
      </c>
      <c r="I1300" s="22">
        <v>3450</v>
      </c>
      <c r="J1300" s="22"/>
      <c r="K1300" s="22">
        <f t="shared" si="16"/>
        <v>3450</v>
      </c>
      <c r="L1300" s="17">
        <v>3450</v>
      </c>
      <c r="M1300" s="23" t="s">
        <v>41</v>
      </c>
      <c r="N1300" s="1" t="s">
        <v>2374</v>
      </c>
      <c r="O1300" s="7" t="s">
        <v>183</v>
      </c>
      <c r="P1300" s="7" t="s">
        <v>81</v>
      </c>
      <c r="R1300" s="7" t="s">
        <v>2375</v>
      </c>
      <c r="S1300" s="3" t="s">
        <v>83</v>
      </c>
      <c r="T1300" s="3" t="s">
        <v>2376</v>
      </c>
      <c r="U1300" s="1" t="s">
        <v>2377</v>
      </c>
    </row>
    <row r="1301" spans="1:21" x14ac:dyDescent="0.25">
      <c r="A1301" s="10">
        <v>46104</v>
      </c>
      <c r="B1301" s="2" t="s">
        <v>2371</v>
      </c>
      <c r="C1301" s="2" t="s">
        <v>95</v>
      </c>
      <c r="D1301" s="2" t="s">
        <v>2372</v>
      </c>
      <c r="E1301" s="3" t="s">
        <v>2373</v>
      </c>
      <c r="G1301" s="4" t="s">
        <v>48</v>
      </c>
      <c r="H1301" s="22" t="s">
        <v>49</v>
      </c>
      <c r="I1301" s="22"/>
      <c r="J1301" s="22">
        <f>I1300</f>
        <v>3450</v>
      </c>
      <c r="K1301" s="22">
        <f t="shared" si="16"/>
        <v>3450</v>
      </c>
      <c r="L1301" s="17"/>
    </row>
    <row r="1302" spans="1:21" ht="24" x14ac:dyDescent="0.25">
      <c r="A1302" s="10">
        <v>46104</v>
      </c>
      <c r="B1302" s="2" t="s">
        <v>2378</v>
      </c>
      <c r="C1302" s="2" t="s">
        <v>831</v>
      </c>
      <c r="D1302" s="2" t="s">
        <v>2379</v>
      </c>
      <c r="E1302" s="3" t="s">
        <v>833</v>
      </c>
      <c r="F1302" s="4">
        <v>10592.38</v>
      </c>
      <c r="G1302" s="4" t="s">
        <v>48</v>
      </c>
      <c r="H1302" s="22" t="s">
        <v>834</v>
      </c>
      <c r="I1302" s="22">
        <v>10592.38</v>
      </c>
      <c r="J1302" s="22"/>
      <c r="K1302" s="22">
        <f t="shared" si="16"/>
        <v>10592.38</v>
      </c>
      <c r="L1302" s="17"/>
      <c r="M1302" s="23" t="s">
        <v>41</v>
      </c>
      <c r="N1302" s="1" t="s">
        <v>2380</v>
      </c>
    </row>
    <row r="1303" spans="1:21" x14ac:dyDescent="0.25">
      <c r="A1303" s="10">
        <v>46104</v>
      </c>
      <c r="B1303" s="2" t="s">
        <v>2378</v>
      </c>
      <c r="C1303" s="2" t="s">
        <v>831</v>
      </c>
      <c r="D1303" s="2" t="s">
        <v>2379</v>
      </c>
      <c r="E1303" s="3" t="s">
        <v>833</v>
      </c>
      <c r="G1303" s="4" t="s">
        <v>48</v>
      </c>
      <c r="H1303" s="22" t="s">
        <v>49</v>
      </c>
      <c r="I1303" s="22"/>
      <c r="J1303" s="22">
        <f>I1302</f>
        <v>10592.38</v>
      </c>
      <c r="K1303" s="22">
        <f t="shared" si="16"/>
        <v>10592.38</v>
      </c>
      <c r="L1303" s="17"/>
    </row>
    <row r="1304" spans="1:21" ht="24" x14ac:dyDescent="0.25">
      <c r="A1304" s="10">
        <v>46104</v>
      </c>
      <c r="B1304" s="2" t="s">
        <v>2381</v>
      </c>
      <c r="C1304" s="2" t="s">
        <v>837</v>
      </c>
      <c r="D1304" s="2" t="s">
        <v>2379</v>
      </c>
      <c r="E1304" s="3" t="s">
        <v>833</v>
      </c>
      <c r="F1304" s="4">
        <v>6318.81</v>
      </c>
      <c r="G1304" s="4" t="s">
        <v>98</v>
      </c>
      <c r="H1304" s="22" t="s">
        <v>834</v>
      </c>
      <c r="I1304" s="22">
        <v>6318.81</v>
      </c>
      <c r="J1304" s="22"/>
      <c r="K1304" s="22">
        <f t="shared" si="16"/>
        <v>6318.81</v>
      </c>
      <c r="L1304" s="17"/>
      <c r="M1304" s="23" t="s">
        <v>41</v>
      </c>
      <c r="N1304" s="1" t="s">
        <v>2382</v>
      </c>
    </row>
    <row r="1305" spans="1:21" x14ac:dyDescent="0.25">
      <c r="A1305" s="10">
        <v>46104</v>
      </c>
      <c r="B1305" s="2" t="s">
        <v>2381</v>
      </c>
      <c r="C1305" s="2" t="s">
        <v>837</v>
      </c>
      <c r="D1305" s="2" t="s">
        <v>2379</v>
      </c>
      <c r="E1305" s="3" t="s">
        <v>833</v>
      </c>
      <c r="G1305" s="4" t="s">
        <v>48</v>
      </c>
      <c r="H1305" s="22" t="s">
        <v>49</v>
      </c>
      <c r="I1305" s="22"/>
      <c r="J1305" s="22">
        <f>I1304</f>
        <v>6318.81</v>
      </c>
      <c r="K1305" s="22">
        <f t="shared" si="16"/>
        <v>6318.81</v>
      </c>
      <c r="L1305" s="17"/>
    </row>
    <row r="1306" spans="1:21" x14ac:dyDescent="0.25">
      <c r="A1306" s="10">
        <v>46104</v>
      </c>
      <c r="B1306" s="2" t="s">
        <v>2383</v>
      </c>
      <c r="C1306" s="2" t="s">
        <v>2384</v>
      </c>
      <c r="D1306" s="31" t="s">
        <v>483</v>
      </c>
      <c r="E1306" s="3" t="s">
        <v>759</v>
      </c>
      <c r="F1306" s="4">
        <f>101050+25</f>
        <v>101075</v>
      </c>
      <c r="G1306" s="4" t="s">
        <v>48</v>
      </c>
      <c r="H1306" s="34" t="s">
        <v>2385</v>
      </c>
      <c r="I1306" s="22">
        <v>101050</v>
      </c>
      <c r="J1306" s="22"/>
      <c r="K1306" s="22">
        <f t="shared" si="16"/>
        <v>101050</v>
      </c>
      <c r="L1306" s="32"/>
      <c r="M1306" s="6" t="s">
        <v>581</v>
      </c>
      <c r="N1306" s="1" t="s">
        <v>2386</v>
      </c>
    </row>
    <row r="1307" spans="1:21" x14ac:dyDescent="0.25">
      <c r="A1307" s="10">
        <v>46104</v>
      </c>
      <c r="B1307" s="2" t="s">
        <v>2383</v>
      </c>
      <c r="C1307" s="2" t="s">
        <v>2384</v>
      </c>
      <c r="D1307" s="31" t="s">
        <v>483</v>
      </c>
      <c r="E1307" s="3" t="s">
        <v>759</v>
      </c>
      <c r="G1307" s="4" t="s">
        <v>48</v>
      </c>
      <c r="H1307" s="34" t="s">
        <v>47</v>
      </c>
      <c r="I1307" s="22">
        <v>25</v>
      </c>
      <c r="J1307" s="22"/>
      <c r="K1307" s="22">
        <f t="shared" si="16"/>
        <v>25</v>
      </c>
      <c r="L1307" s="32"/>
    </row>
    <row r="1308" spans="1:21" x14ac:dyDescent="0.25">
      <c r="A1308" s="10">
        <v>46104</v>
      </c>
      <c r="B1308" s="2" t="s">
        <v>2383</v>
      </c>
      <c r="C1308" s="2" t="s">
        <v>2384</v>
      </c>
      <c r="D1308" s="31" t="s">
        <v>483</v>
      </c>
      <c r="E1308" s="3" t="s">
        <v>759</v>
      </c>
      <c r="G1308" s="4" t="s">
        <v>48</v>
      </c>
      <c r="H1308" s="22" t="s">
        <v>49</v>
      </c>
      <c r="I1308" s="22"/>
      <c r="J1308" s="22">
        <f>I1306+I1307</f>
        <v>101075</v>
      </c>
      <c r="K1308" s="22">
        <f t="shared" si="16"/>
        <v>101075</v>
      </c>
      <c r="L1308" s="32"/>
    </row>
    <row r="1309" spans="1:21" x14ac:dyDescent="0.25">
      <c r="A1309" s="10">
        <v>46104</v>
      </c>
      <c r="B1309" s="2" t="s">
        <v>2387</v>
      </c>
      <c r="C1309" s="2" t="s">
        <v>2384</v>
      </c>
      <c r="D1309" s="31" t="s">
        <v>483</v>
      </c>
      <c r="E1309" s="3" t="s">
        <v>753</v>
      </c>
      <c r="F1309" s="4">
        <v>21720</v>
      </c>
      <c r="G1309" s="4" t="s">
        <v>48</v>
      </c>
      <c r="H1309" s="22" t="s">
        <v>2388</v>
      </c>
      <c r="I1309" s="22">
        <v>21720</v>
      </c>
      <c r="J1309" s="22"/>
      <c r="K1309" s="22">
        <f t="shared" si="16"/>
        <v>21720</v>
      </c>
      <c r="L1309" s="17"/>
      <c r="M1309" s="6" t="s">
        <v>581</v>
      </c>
      <c r="N1309" s="1" t="s">
        <v>2389</v>
      </c>
    </row>
    <row r="1310" spans="1:21" x14ac:dyDescent="0.25">
      <c r="A1310" s="10">
        <v>46104</v>
      </c>
      <c r="B1310" s="2" t="s">
        <v>2387</v>
      </c>
      <c r="C1310" s="2" t="s">
        <v>2384</v>
      </c>
      <c r="D1310" s="31" t="s">
        <v>483</v>
      </c>
      <c r="E1310" s="3" t="s">
        <v>753</v>
      </c>
      <c r="G1310" s="4" t="s">
        <v>48</v>
      </c>
      <c r="H1310" s="22" t="s">
        <v>49</v>
      </c>
      <c r="I1310" s="22"/>
      <c r="J1310" s="22">
        <f>I1309</f>
        <v>21720</v>
      </c>
      <c r="K1310" s="22">
        <f t="shared" si="16"/>
        <v>21720</v>
      </c>
      <c r="L1310" s="17"/>
    </row>
    <row r="1311" spans="1:21" x14ac:dyDescent="0.25">
      <c r="A1311" s="10">
        <v>46104</v>
      </c>
      <c r="B1311" s="2" t="s">
        <v>2390</v>
      </c>
      <c r="C1311" s="2" t="s">
        <v>2384</v>
      </c>
      <c r="D1311" s="31" t="s">
        <v>483</v>
      </c>
      <c r="E1311" s="3" t="s">
        <v>755</v>
      </c>
      <c r="F1311" s="4">
        <f>28304.5+25</f>
        <v>28329.5</v>
      </c>
      <c r="G1311" s="4" t="s">
        <v>48</v>
      </c>
      <c r="H1311" s="22" t="s">
        <v>2391</v>
      </c>
      <c r="I1311" s="22">
        <v>28304.5</v>
      </c>
      <c r="J1311" s="22"/>
      <c r="K1311" s="22">
        <f t="shared" si="16"/>
        <v>28304.5</v>
      </c>
      <c r="L1311" s="17"/>
      <c r="M1311" s="6" t="s">
        <v>581</v>
      </c>
      <c r="N1311" s="1" t="s">
        <v>2392</v>
      </c>
    </row>
    <row r="1312" spans="1:21" x14ac:dyDescent="0.25">
      <c r="A1312" s="10">
        <v>46104</v>
      </c>
      <c r="B1312" s="2" t="s">
        <v>2390</v>
      </c>
      <c r="C1312" s="2" t="s">
        <v>2384</v>
      </c>
      <c r="D1312" s="31" t="s">
        <v>483</v>
      </c>
      <c r="E1312" s="3" t="s">
        <v>755</v>
      </c>
      <c r="G1312" s="4" t="s">
        <v>48</v>
      </c>
      <c r="H1312" s="22" t="s">
        <v>47</v>
      </c>
      <c r="I1312" s="22">
        <v>25</v>
      </c>
      <c r="J1312" s="22"/>
      <c r="K1312" s="22">
        <f t="shared" si="16"/>
        <v>25</v>
      </c>
      <c r="L1312" s="17"/>
    </row>
    <row r="1313" spans="1:19" x14ac:dyDescent="0.25">
      <c r="A1313" s="10">
        <v>46104</v>
      </c>
      <c r="B1313" s="2" t="s">
        <v>2390</v>
      </c>
      <c r="C1313" s="2" t="s">
        <v>2384</v>
      </c>
      <c r="D1313" s="31" t="s">
        <v>483</v>
      </c>
      <c r="E1313" s="3" t="s">
        <v>755</v>
      </c>
      <c r="G1313" s="4" t="s">
        <v>48</v>
      </c>
      <c r="H1313" s="22" t="s">
        <v>49</v>
      </c>
      <c r="I1313" s="22"/>
      <c r="J1313" s="22">
        <f>I1311+I1312</f>
        <v>28329.5</v>
      </c>
      <c r="K1313" s="22">
        <f t="shared" si="16"/>
        <v>28329.5</v>
      </c>
      <c r="L1313" s="17"/>
    </row>
    <row r="1314" spans="1:19" x14ac:dyDescent="0.25">
      <c r="A1314" s="10">
        <v>46104</v>
      </c>
      <c r="B1314" s="2" t="s">
        <v>2393</v>
      </c>
      <c r="C1314" s="2" t="s">
        <v>2384</v>
      </c>
      <c r="D1314" s="31" t="s">
        <v>1521</v>
      </c>
      <c r="E1314" s="3" t="s">
        <v>759</v>
      </c>
      <c r="F1314" s="4">
        <f>103930+25</f>
        <v>103955</v>
      </c>
      <c r="G1314" s="4" t="s">
        <v>48</v>
      </c>
      <c r="H1314" s="34" t="s">
        <v>2385</v>
      </c>
      <c r="I1314" s="22">
        <v>103930</v>
      </c>
      <c r="J1314" s="22"/>
      <c r="K1314" s="22">
        <f t="shared" si="16"/>
        <v>103930</v>
      </c>
      <c r="L1314" s="17"/>
      <c r="M1314" s="6" t="s">
        <v>581</v>
      </c>
      <c r="N1314" s="1" t="s">
        <v>2394</v>
      </c>
    </row>
    <row r="1315" spans="1:19" x14ac:dyDescent="0.25">
      <c r="A1315" s="10">
        <v>46104</v>
      </c>
      <c r="B1315" s="2" t="s">
        <v>2393</v>
      </c>
      <c r="C1315" s="2" t="s">
        <v>2384</v>
      </c>
      <c r="D1315" s="31" t="s">
        <v>1521</v>
      </c>
      <c r="E1315" s="3" t="s">
        <v>759</v>
      </c>
      <c r="G1315" s="4" t="s">
        <v>48</v>
      </c>
      <c r="H1315" s="34" t="s">
        <v>47</v>
      </c>
      <c r="I1315" s="22">
        <v>25</v>
      </c>
      <c r="J1315" s="22"/>
      <c r="K1315" s="22">
        <f t="shared" si="16"/>
        <v>25</v>
      </c>
      <c r="L1315" s="17"/>
    </row>
    <row r="1316" spans="1:19" x14ac:dyDescent="0.25">
      <c r="A1316" s="10">
        <v>46104</v>
      </c>
      <c r="B1316" s="2" t="s">
        <v>2393</v>
      </c>
      <c r="C1316" s="2" t="s">
        <v>2384</v>
      </c>
      <c r="D1316" s="31" t="s">
        <v>1521</v>
      </c>
      <c r="E1316" s="3" t="s">
        <v>759</v>
      </c>
      <c r="G1316" s="4" t="s">
        <v>48</v>
      </c>
      <c r="H1316" s="22" t="s">
        <v>49</v>
      </c>
      <c r="I1316" s="22"/>
      <c r="J1316" s="22">
        <f>I1314+I1315</f>
        <v>103955</v>
      </c>
      <c r="K1316" s="22">
        <f t="shared" si="16"/>
        <v>103955</v>
      </c>
      <c r="L1316" s="17"/>
    </row>
    <row r="1317" spans="1:19" x14ac:dyDescent="0.25">
      <c r="A1317" s="10">
        <v>46104</v>
      </c>
      <c r="B1317" s="2" t="s">
        <v>2395</v>
      </c>
      <c r="C1317" s="2" t="s">
        <v>2384</v>
      </c>
      <c r="D1317" s="31" t="s">
        <v>1521</v>
      </c>
      <c r="E1317" s="3" t="s">
        <v>753</v>
      </c>
      <c r="F1317" s="4">
        <v>21120</v>
      </c>
      <c r="G1317" s="4" t="s">
        <v>48</v>
      </c>
      <c r="H1317" s="22" t="s">
        <v>2388</v>
      </c>
      <c r="I1317" s="22">
        <v>21120</v>
      </c>
      <c r="J1317" s="22"/>
      <c r="K1317" s="22">
        <f t="shared" si="16"/>
        <v>21120</v>
      </c>
      <c r="L1317" s="17"/>
      <c r="M1317" s="6" t="s">
        <v>581</v>
      </c>
      <c r="N1317" s="1" t="s">
        <v>2396</v>
      </c>
    </row>
    <row r="1318" spans="1:19" x14ac:dyDescent="0.25">
      <c r="A1318" s="10">
        <v>46104</v>
      </c>
      <c r="B1318" s="2" t="s">
        <v>2395</v>
      </c>
      <c r="C1318" s="2" t="s">
        <v>2384</v>
      </c>
      <c r="D1318" s="31" t="s">
        <v>1521</v>
      </c>
      <c r="E1318" s="3" t="s">
        <v>753</v>
      </c>
      <c r="G1318" s="4" t="s">
        <v>48</v>
      </c>
      <c r="H1318" s="22" t="s">
        <v>49</v>
      </c>
      <c r="I1318" s="22"/>
      <c r="J1318" s="22">
        <f>I1317</f>
        <v>21120</v>
      </c>
      <c r="K1318" s="22">
        <f t="shared" si="16"/>
        <v>21120</v>
      </c>
      <c r="L1318" s="17"/>
    </row>
    <row r="1319" spans="1:19" x14ac:dyDescent="0.25">
      <c r="A1319" s="10">
        <v>46104</v>
      </c>
      <c r="B1319" s="2" t="s">
        <v>2397</v>
      </c>
      <c r="C1319" s="2" t="s">
        <v>2384</v>
      </c>
      <c r="D1319" s="31" t="s">
        <v>1521</v>
      </c>
      <c r="E1319" s="3" t="s">
        <v>755</v>
      </c>
      <c r="F1319" s="4">
        <f>29054.5+25</f>
        <v>29079.5</v>
      </c>
      <c r="G1319" s="4" t="s">
        <v>48</v>
      </c>
      <c r="H1319" s="22" t="s">
        <v>2391</v>
      </c>
      <c r="I1319" s="22">
        <v>29054.5</v>
      </c>
      <c r="J1319" s="22"/>
      <c r="K1319" s="22">
        <f t="shared" si="16"/>
        <v>29054.5</v>
      </c>
      <c r="L1319" s="32"/>
      <c r="M1319" s="6" t="s">
        <v>581</v>
      </c>
      <c r="N1319" s="1" t="s">
        <v>2398</v>
      </c>
    </row>
    <row r="1320" spans="1:19" x14ac:dyDescent="0.25">
      <c r="A1320" s="10">
        <v>46104</v>
      </c>
      <c r="B1320" s="2" t="s">
        <v>2397</v>
      </c>
      <c r="C1320" s="2" t="s">
        <v>2384</v>
      </c>
      <c r="D1320" s="31" t="s">
        <v>1521</v>
      </c>
      <c r="E1320" s="3" t="s">
        <v>755</v>
      </c>
      <c r="G1320" s="4" t="s">
        <v>48</v>
      </c>
      <c r="H1320" s="22" t="s">
        <v>47</v>
      </c>
      <c r="I1320" s="22">
        <v>25</v>
      </c>
      <c r="J1320" s="22"/>
      <c r="K1320" s="22">
        <f t="shared" si="16"/>
        <v>25</v>
      </c>
      <c r="L1320" s="32"/>
    </row>
    <row r="1321" spans="1:19" x14ac:dyDescent="0.25">
      <c r="A1321" s="10">
        <v>46104</v>
      </c>
      <c r="B1321" s="2" t="s">
        <v>2397</v>
      </c>
      <c r="C1321" s="2" t="s">
        <v>2384</v>
      </c>
      <c r="D1321" s="31" t="s">
        <v>1521</v>
      </c>
      <c r="E1321" s="3" t="s">
        <v>755</v>
      </c>
      <c r="G1321" s="4" t="s">
        <v>48</v>
      </c>
      <c r="H1321" s="22" t="s">
        <v>49</v>
      </c>
      <c r="I1321" s="22"/>
      <c r="J1321" s="22">
        <f>I1319+I1320</f>
        <v>29079.5</v>
      </c>
      <c r="K1321" s="22">
        <f t="shared" si="16"/>
        <v>29079.5</v>
      </c>
      <c r="L1321" s="32"/>
    </row>
    <row r="1322" spans="1:19" ht="24" x14ac:dyDescent="0.25">
      <c r="A1322" s="10">
        <v>46104</v>
      </c>
      <c r="B1322" s="2" t="s">
        <v>2399</v>
      </c>
      <c r="E1322" s="3" t="s">
        <v>27</v>
      </c>
      <c r="F1322" s="4">
        <v>7723.44</v>
      </c>
      <c r="G1322" s="4" t="s">
        <v>48</v>
      </c>
      <c r="H1322" s="22"/>
      <c r="I1322" s="22"/>
      <c r="J1322" s="22"/>
      <c r="K1322" s="22">
        <f t="shared" si="16"/>
        <v>0</v>
      </c>
      <c r="L1322" s="17"/>
      <c r="M1322" s="23" t="s">
        <v>41</v>
      </c>
      <c r="N1322" s="1" t="s">
        <v>2400</v>
      </c>
    </row>
    <row r="1323" spans="1:19" ht="36" x14ac:dyDescent="0.25">
      <c r="A1323" s="10">
        <v>46104</v>
      </c>
      <c r="B1323" s="2" t="s">
        <v>2401</v>
      </c>
      <c r="C1323" s="2" t="s">
        <v>25</v>
      </c>
      <c r="D1323" s="2" t="s">
        <v>2402</v>
      </c>
      <c r="E1323" s="3" t="s">
        <v>27</v>
      </c>
      <c r="F1323" s="4">
        <v>613525.14</v>
      </c>
      <c r="G1323" s="4" t="s">
        <v>204</v>
      </c>
      <c r="H1323" s="22" t="s">
        <v>2403</v>
      </c>
      <c r="I1323" s="22">
        <v>613525.14</v>
      </c>
      <c r="J1323" s="22"/>
      <c r="K1323" s="22">
        <f t="shared" si="16"/>
        <v>613525.14</v>
      </c>
      <c r="L1323" s="17">
        <v>613525.14</v>
      </c>
      <c r="M1323" s="23" t="s">
        <v>41</v>
      </c>
      <c r="N1323" s="1" t="s">
        <v>2404</v>
      </c>
      <c r="O1323" s="24" t="s">
        <v>2405</v>
      </c>
      <c r="P1323" s="7" t="s">
        <v>32</v>
      </c>
      <c r="Q1323" s="25" t="s">
        <v>2406</v>
      </c>
      <c r="R1323" s="7" t="s">
        <v>2296</v>
      </c>
      <c r="S1323" s="3" t="s">
        <v>2407</v>
      </c>
    </row>
    <row r="1324" spans="1:19" x14ac:dyDescent="0.25">
      <c r="A1324" s="10">
        <v>46104</v>
      </c>
      <c r="B1324" s="2" t="s">
        <v>2401</v>
      </c>
      <c r="C1324" s="2" t="s">
        <v>25</v>
      </c>
      <c r="D1324" s="2" t="s">
        <v>2402</v>
      </c>
      <c r="E1324" s="3" t="s">
        <v>27</v>
      </c>
      <c r="G1324" s="4" t="s">
        <v>204</v>
      </c>
      <c r="H1324" s="22" t="s">
        <v>1894</v>
      </c>
      <c r="I1324" s="22"/>
      <c r="J1324" s="22">
        <f>I1323</f>
        <v>613525.14</v>
      </c>
      <c r="K1324" s="22">
        <f t="shared" si="16"/>
        <v>613525.14</v>
      </c>
      <c r="L1324" s="17"/>
      <c r="M1324" s="23"/>
      <c r="O1324" s="24"/>
      <c r="Q1324" s="25"/>
    </row>
    <row r="1325" spans="1:19" ht="36" x14ac:dyDescent="0.25">
      <c r="A1325" s="10">
        <v>46104</v>
      </c>
      <c r="B1325" s="2" t="s">
        <v>2408</v>
      </c>
      <c r="C1325" s="2" t="s">
        <v>25</v>
      </c>
      <c r="D1325" s="2" t="s">
        <v>2402</v>
      </c>
      <c r="E1325" s="3" t="s">
        <v>27</v>
      </c>
      <c r="F1325" s="4">
        <v>874149.86</v>
      </c>
      <c r="G1325" s="4" t="s">
        <v>204</v>
      </c>
      <c r="H1325" s="22" t="s">
        <v>2403</v>
      </c>
      <c r="I1325" s="22">
        <v>874149.86</v>
      </c>
      <c r="J1325" s="22"/>
      <c r="K1325" s="22">
        <f t="shared" si="16"/>
        <v>874149.86</v>
      </c>
      <c r="L1325" s="17">
        <v>874149.86</v>
      </c>
      <c r="M1325" s="23" t="s">
        <v>41</v>
      </c>
      <c r="N1325" s="1" t="s">
        <v>2409</v>
      </c>
      <c r="O1325" s="24" t="s">
        <v>2410</v>
      </c>
      <c r="P1325" s="7" t="s">
        <v>32</v>
      </c>
      <c r="Q1325" s="25" t="s">
        <v>2411</v>
      </c>
      <c r="R1325" s="7" t="s">
        <v>2296</v>
      </c>
      <c r="S1325" s="3" t="s">
        <v>2412</v>
      </c>
    </row>
    <row r="1326" spans="1:19" x14ac:dyDescent="0.25">
      <c r="A1326" s="10">
        <v>46104</v>
      </c>
      <c r="B1326" s="2" t="s">
        <v>2408</v>
      </c>
      <c r="C1326" s="2" t="s">
        <v>25</v>
      </c>
      <c r="D1326" s="2" t="s">
        <v>2402</v>
      </c>
      <c r="E1326" s="3" t="s">
        <v>27</v>
      </c>
      <c r="G1326" s="4" t="s">
        <v>204</v>
      </c>
      <c r="H1326" s="22" t="s">
        <v>1894</v>
      </c>
      <c r="I1326" s="22"/>
      <c r="J1326" s="22">
        <f>I1325</f>
        <v>874149.86</v>
      </c>
      <c r="K1326" s="22">
        <f t="shared" si="16"/>
        <v>874149.86</v>
      </c>
      <c r="L1326" s="17"/>
      <c r="M1326" s="23"/>
      <c r="O1326" s="24"/>
      <c r="Q1326" s="25"/>
    </row>
    <row r="1327" spans="1:19" ht="24" x14ac:dyDescent="0.25">
      <c r="A1327" s="10">
        <v>46104</v>
      </c>
      <c r="B1327" s="2" t="s">
        <v>2413</v>
      </c>
      <c r="C1327" s="2" t="s">
        <v>470</v>
      </c>
      <c r="D1327" s="2" t="s">
        <v>2414</v>
      </c>
      <c r="E1327" s="3" t="s">
        <v>610</v>
      </c>
      <c r="F1327" s="4">
        <v>27427</v>
      </c>
      <c r="G1327" s="4" t="s">
        <v>48</v>
      </c>
      <c r="H1327" s="34"/>
      <c r="I1327" s="34"/>
      <c r="J1327" s="34"/>
      <c r="K1327" s="22">
        <f t="shared" si="16"/>
        <v>0</v>
      </c>
      <c r="L1327" s="32"/>
      <c r="M1327" s="6" t="s">
        <v>581</v>
      </c>
      <c r="N1327" s="1" t="s">
        <v>2415</v>
      </c>
    </row>
    <row r="1328" spans="1:19" x14ac:dyDescent="0.25">
      <c r="A1328" s="10">
        <v>46104</v>
      </c>
      <c r="B1328" s="2" t="s">
        <v>2416</v>
      </c>
      <c r="C1328" s="2" t="s">
        <v>1957</v>
      </c>
      <c r="D1328" s="2" t="s">
        <v>2417</v>
      </c>
      <c r="E1328" s="3" t="s">
        <v>27</v>
      </c>
      <c r="F1328" s="4">
        <v>50000</v>
      </c>
      <c r="G1328" s="4" t="s">
        <v>48</v>
      </c>
      <c r="H1328" s="22" t="s">
        <v>1973</v>
      </c>
      <c r="I1328" s="22">
        <v>50000</v>
      </c>
      <c r="J1328" s="22"/>
      <c r="K1328" s="22">
        <f t="shared" si="16"/>
        <v>50000</v>
      </c>
      <c r="L1328" s="17"/>
      <c r="M1328" s="6" t="s">
        <v>581</v>
      </c>
      <c r="N1328" s="1" t="s">
        <v>2418</v>
      </c>
    </row>
    <row r="1329" spans="1:21" x14ac:dyDescent="0.25">
      <c r="A1329" s="10">
        <v>46104</v>
      </c>
      <c r="B1329" s="2" t="s">
        <v>2416</v>
      </c>
      <c r="C1329" s="2" t="s">
        <v>1957</v>
      </c>
      <c r="D1329" s="2" t="s">
        <v>2417</v>
      </c>
      <c r="E1329" s="3" t="s">
        <v>27</v>
      </c>
      <c r="G1329" s="4" t="s">
        <v>48</v>
      </c>
      <c r="H1329" s="22" t="s">
        <v>49</v>
      </c>
      <c r="I1329" s="22"/>
      <c r="J1329" s="22">
        <f>I1328</f>
        <v>50000</v>
      </c>
      <c r="K1329" s="22">
        <f t="shared" si="16"/>
        <v>50000</v>
      </c>
      <c r="L1329" s="17"/>
    </row>
    <row r="1330" spans="1:21" ht="24" x14ac:dyDescent="0.25">
      <c r="A1330" s="10">
        <v>46104</v>
      </c>
      <c r="B1330" s="2" t="s">
        <v>2419</v>
      </c>
      <c r="E1330" s="3" t="s">
        <v>2420</v>
      </c>
      <c r="F1330" s="4">
        <f>561000-555991.07</f>
        <v>5008.9300000000512</v>
      </c>
      <c r="G1330" s="4" t="s">
        <v>204</v>
      </c>
      <c r="H1330" s="22" t="s">
        <v>406</v>
      </c>
      <c r="I1330" s="22">
        <v>5008.93</v>
      </c>
      <c r="J1330" s="22"/>
      <c r="K1330" s="22">
        <f t="shared" si="16"/>
        <v>5008.93</v>
      </c>
      <c r="L1330" s="17">
        <v>5008.93</v>
      </c>
      <c r="M1330" s="23" t="s">
        <v>41</v>
      </c>
      <c r="N1330" s="1" t="s">
        <v>2421</v>
      </c>
      <c r="O1330" s="7" t="s">
        <v>2422</v>
      </c>
      <c r="P1330" s="7" t="s">
        <v>32</v>
      </c>
      <c r="Q1330" s="25" t="s">
        <v>2423</v>
      </c>
      <c r="R1330" s="7" t="s">
        <v>2424</v>
      </c>
      <c r="S1330" s="3" t="s">
        <v>145</v>
      </c>
      <c r="T1330" s="3" t="s">
        <v>324</v>
      </c>
      <c r="U1330" s="8" t="s">
        <v>2425</v>
      </c>
    </row>
    <row r="1331" spans="1:21" x14ac:dyDescent="0.25">
      <c r="A1331" s="10">
        <v>46104</v>
      </c>
      <c r="B1331" s="2" t="s">
        <v>2419</v>
      </c>
      <c r="E1331" s="3" t="s">
        <v>2420</v>
      </c>
      <c r="G1331" s="4" t="s">
        <v>48</v>
      </c>
      <c r="H1331" s="22" t="s">
        <v>49</v>
      </c>
      <c r="I1331" s="22"/>
      <c r="J1331" s="22">
        <f>I1330</f>
        <v>5008.93</v>
      </c>
      <c r="K1331" s="22">
        <f t="shared" si="16"/>
        <v>5008.93</v>
      </c>
      <c r="L1331" s="17"/>
    </row>
    <row r="1332" spans="1:21" x14ac:dyDescent="0.25">
      <c r="A1332" s="10">
        <v>46105</v>
      </c>
      <c r="B1332" s="2" t="s">
        <v>2426</v>
      </c>
      <c r="E1332" s="3" t="s">
        <v>398</v>
      </c>
      <c r="F1332" s="4">
        <v>120000</v>
      </c>
      <c r="G1332" s="4" t="s">
        <v>167</v>
      </c>
      <c r="H1332" s="22" t="s">
        <v>168</v>
      </c>
      <c r="I1332" s="22">
        <v>120000</v>
      </c>
      <c r="J1332" s="22"/>
      <c r="K1332" s="22">
        <f t="shared" si="16"/>
        <v>120000</v>
      </c>
      <c r="L1332" s="17">
        <v>120000</v>
      </c>
      <c r="M1332" s="23" t="s">
        <v>41</v>
      </c>
      <c r="N1332" s="1" t="s">
        <v>2427</v>
      </c>
      <c r="O1332" s="7" t="s">
        <v>668</v>
      </c>
      <c r="P1332" s="7" t="s">
        <v>81</v>
      </c>
      <c r="R1332" s="7" t="s">
        <v>2428</v>
      </c>
      <c r="S1332" s="3" t="s">
        <v>1087</v>
      </c>
      <c r="T1332" s="3" t="s">
        <v>1088</v>
      </c>
    </row>
    <row r="1333" spans="1:21" x14ac:dyDescent="0.25">
      <c r="A1333" s="10">
        <v>46105</v>
      </c>
      <c r="B1333" s="2" t="s">
        <v>2426</v>
      </c>
      <c r="E1333" s="3" t="s">
        <v>398</v>
      </c>
      <c r="G1333" s="4" t="s">
        <v>167</v>
      </c>
      <c r="H1333" s="22" t="s">
        <v>81</v>
      </c>
      <c r="I1333" s="22"/>
      <c r="J1333" s="22">
        <f>I1332</f>
        <v>120000</v>
      </c>
      <c r="K1333" s="22">
        <f t="shared" si="16"/>
        <v>120000</v>
      </c>
      <c r="L1333" s="17"/>
    </row>
    <row r="1334" spans="1:21" x14ac:dyDescent="0.25">
      <c r="A1334" s="10">
        <v>46105</v>
      </c>
      <c r="B1334" s="2" t="s">
        <v>2429</v>
      </c>
      <c r="E1334" s="3" t="s">
        <v>398</v>
      </c>
      <c r="F1334" s="4">
        <v>500000</v>
      </c>
      <c r="G1334" s="4" t="s">
        <v>167</v>
      </c>
      <c r="H1334" s="22" t="s">
        <v>168</v>
      </c>
      <c r="I1334" s="22">
        <v>500000</v>
      </c>
      <c r="J1334" s="34"/>
      <c r="K1334" s="22">
        <f t="shared" si="16"/>
        <v>500000</v>
      </c>
      <c r="L1334" s="17">
        <v>500000</v>
      </c>
      <c r="M1334" s="23" t="s">
        <v>41</v>
      </c>
      <c r="N1334" s="1" t="s">
        <v>2430</v>
      </c>
      <c r="O1334" s="7" t="s">
        <v>2431</v>
      </c>
      <c r="P1334" s="7" t="s">
        <v>32</v>
      </c>
      <c r="Q1334" s="25" t="s">
        <v>2432</v>
      </c>
      <c r="R1334" s="7" t="s">
        <v>2428</v>
      </c>
      <c r="S1334" s="3" t="s">
        <v>145</v>
      </c>
      <c r="T1334" s="3" t="s">
        <v>324</v>
      </c>
    </row>
    <row r="1335" spans="1:21" x14ac:dyDescent="0.25">
      <c r="A1335" s="10">
        <v>46105</v>
      </c>
      <c r="B1335" s="2" t="s">
        <v>2429</v>
      </c>
      <c r="E1335" s="3" t="s">
        <v>398</v>
      </c>
      <c r="G1335" s="4" t="s">
        <v>48</v>
      </c>
      <c r="H1335" s="34" t="s">
        <v>334</v>
      </c>
      <c r="I1335" s="34"/>
      <c r="J1335" s="35">
        <f>I1334</f>
        <v>500000</v>
      </c>
      <c r="K1335" s="22">
        <f t="shared" si="16"/>
        <v>500000</v>
      </c>
      <c r="L1335" s="32"/>
      <c r="Q1335" s="25"/>
    </row>
    <row r="1336" spans="1:21" ht="24" x14ac:dyDescent="0.25">
      <c r="A1336" s="10">
        <v>46105</v>
      </c>
      <c r="B1336" s="2" t="s">
        <v>2433</v>
      </c>
      <c r="C1336" s="2" t="s">
        <v>310</v>
      </c>
      <c r="E1336" s="3" t="s">
        <v>27</v>
      </c>
      <c r="F1336" s="4">
        <f>613525.14-500000</f>
        <v>113525.14000000001</v>
      </c>
      <c r="G1336" s="4" t="s">
        <v>48</v>
      </c>
      <c r="H1336" s="22" t="s">
        <v>334</v>
      </c>
      <c r="I1336" s="22">
        <v>113525.14</v>
      </c>
      <c r="J1336" s="22"/>
      <c r="K1336" s="22">
        <f t="shared" si="16"/>
        <v>113525.14</v>
      </c>
      <c r="L1336" s="17">
        <v>113525.14</v>
      </c>
      <c r="M1336" s="23" t="s">
        <v>41</v>
      </c>
      <c r="N1336" s="1" t="s">
        <v>2434</v>
      </c>
      <c r="O1336" s="7" t="s">
        <v>2431</v>
      </c>
      <c r="P1336" s="7" t="s">
        <v>32</v>
      </c>
      <c r="Q1336" s="25" t="s">
        <v>2435</v>
      </c>
      <c r="R1336" s="7" t="s">
        <v>2428</v>
      </c>
      <c r="S1336" s="3" t="s">
        <v>315</v>
      </c>
      <c r="T1336" s="3" t="s">
        <v>2436</v>
      </c>
    </row>
    <row r="1337" spans="1:21" x14ac:dyDescent="0.25">
      <c r="A1337" s="10">
        <v>46105</v>
      </c>
      <c r="B1337" s="2" t="s">
        <v>2433</v>
      </c>
      <c r="C1337" s="2" t="s">
        <v>310</v>
      </c>
      <c r="E1337" s="3" t="s">
        <v>27</v>
      </c>
      <c r="G1337" s="4" t="s">
        <v>48</v>
      </c>
      <c r="H1337" s="22" t="s">
        <v>2403</v>
      </c>
      <c r="I1337" s="22"/>
      <c r="J1337" s="22">
        <f>I1336</f>
        <v>113525.14</v>
      </c>
      <c r="K1337" s="22">
        <f t="shared" si="16"/>
        <v>113525.14</v>
      </c>
      <c r="L1337" s="17"/>
      <c r="Q1337" s="25"/>
    </row>
    <row r="1338" spans="1:21" ht="24" x14ac:dyDescent="0.25">
      <c r="A1338" s="10">
        <v>46105</v>
      </c>
      <c r="B1338" s="2" t="s">
        <v>2437</v>
      </c>
      <c r="C1338" s="2" t="s">
        <v>310</v>
      </c>
      <c r="E1338" s="3" t="s">
        <v>2438</v>
      </c>
      <c r="F1338" s="4">
        <v>500000</v>
      </c>
      <c r="G1338" s="4" t="s">
        <v>167</v>
      </c>
      <c r="H1338" s="22" t="s">
        <v>336</v>
      </c>
      <c r="I1338" s="22">
        <v>500000</v>
      </c>
      <c r="J1338" s="22"/>
      <c r="K1338" s="22">
        <f t="shared" si="16"/>
        <v>500000</v>
      </c>
      <c r="L1338" s="17">
        <v>500000</v>
      </c>
      <c r="M1338" s="23" t="s">
        <v>41</v>
      </c>
      <c r="N1338" s="1" t="s">
        <v>2439</v>
      </c>
      <c r="O1338" s="7" t="s">
        <v>2431</v>
      </c>
      <c r="P1338" s="7" t="s">
        <v>32</v>
      </c>
      <c r="Q1338" s="25" t="s">
        <v>2440</v>
      </c>
      <c r="R1338" s="7" t="s">
        <v>2428</v>
      </c>
      <c r="S1338" s="3" t="s">
        <v>315</v>
      </c>
      <c r="T1338" s="3" t="s">
        <v>2436</v>
      </c>
    </row>
    <row r="1339" spans="1:21" x14ac:dyDescent="0.25">
      <c r="A1339" s="10">
        <v>46105</v>
      </c>
      <c r="B1339" s="2" t="s">
        <v>2437</v>
      </c>
      <c r="C1339" s="2" t="s">
        <v>310</v>
      </c>
      <c r="E1339" s="3" t="s">
        <v>2438</v>
      </c>
      <c r="G1339" s="4" t="s">
        <v>48</v>
      </c>
      <c r="H1339" s="22" t="s">
        <v>2403</v>
      </c>
      <c r="I1339" s="22"/>
      <c r="J1339" s="22">
        <f>I1338</f>
        <v>500000</v>
      </c>
      <c r="K1339" s="22">
        <f t="shared" si="16"/>
        <v>500000</v>
      </c>
      <c r="L1339" s="17"/>
      <c r="Q1339" s="25"/>
    </row>
    <row r="1340" spans="1:21" ht="24" x14ac:dyDescent="0.25">
      <c r="A1340" s="10">
        <v>46105</v>
      </c>
      <c r="B1340" s="2" t="s">
        <v>2441</v>
      </c>
      <c r="C1340" s="2" t="s">
        <v>310</v>
      </c>
      <c r="E1340" s="3" t="s">
        <v>27</v>
      </c>
      <c r="F1340" s="4">
        <v>874149.86</v>
      </c>
      <c r="G1340" s="4" t="s">
        <v>48</v>
      </c>
      <c r="H1340" s="22" t="s">
        <v>334</v>
      </c>
      <c r="I1340" s="22">
        <v>874149.86</v>
      </c>
      <c r="J1340" s="22"/>
      <c r="K1340" s="22">
        <f t="shared" si="16"/>
        <v>874149.86</v>
      </c>
      <c r="L1340" s="17"/>
      <c r="M1340" s="23" t="s">
        <v>41</v>
      </c>
      <c r="N1340" s="1" t="s">
        <v>2442</v>
      </c>
      <c r="O1340" s="7" t="s">
        <v>2431</v>
      </c>
      <c r="P1340" s="7" t="s">
        <v>2443</v>
      </c>
    </row>
    <row r="1341" spans="1:21" x14ac:dyDescent="0.25">
      <c r="A1341" s="10">
        <v>46105</v>
      </c>
      <c r="B1341" s="2" t="s">
        <v>2441</v>
      </c>
      <c r="C1341" s="2" t="s">
        <v>310</v>
      </c>
      <c r="E1341" s="3" t="s">
        <v>27</v>
      </c>
      <c r="G1341" s="4" t="s">
        <v>48</v>
      </c>
      <c r="H1341" s="22" t="s">
        <v>205</v>
      </c>
      <c r="I1341" s="22"/>
      <c r="J1341" s="22">
        <f>I1340</f>
        <v>874149.86</v>
      </c>
      <c r="K1341" s="22">
        <f t="shared" si="16"/>
        <v>874149.86</v>
      </c>
      <c r="L1341" s="17"/>
    </row>
    <row r="1342" spans="1:21" x14ac:dyDescent="0.25">
      <c r="A1342" s="10">
        <v>46106</v>
      </c>
      <c r="B1342" s="2" t="s">
        <v>2444</v>
      </c>
      <c r="C1342" s="2" t="s">
        <v>2445</v>
      </c>
      <c r="D1342" s="2" t="s">
        <v>2446</v>
      </c>
      <c r="E1342" s="3" t="s">
        <v>2447</v>
      </c>
      <c r="F1342" s="4">
        <f t="shared" ref="F1342:F1386" si="17">57000+6840-2850</f>
        <v>60990</v>
      </c>
      <c r="G1342" s="4" t="s">
        <v>48</v>
      </c>
      <c r="H1342" s="22" t="s">
        <v>2448</v>
      </c>
      <c r="I1342" s="22">
        <v>57000</v>
      </c>
      <c r="J1342" s="22"/>
      <c r="K1342" s="22">
        <f t="shared" si="16"/>
        <v>57000</v>
      </c>
      <c r="L1342" s="17">
        <v>60990</v>
      </c>
      <c r="M1342" s="23" t="s">
        <v>41</v>
      </c>
      <c r="N1342" s="1" t="s">
        <v>2449</v>
      </c>
      <c r="P1342" s="7" t="s">
        <v>32</v>
      </c>
      <c r="Q1342" s="7">
        <v>2000000016</v>
      </c>
      <c r="R1342" s="7" t="s">
        <v>1956</v>
      </c>
      <c r="S1342" s="3" t="s">
        <v>2450</v>
      </c>
    </row>
    <row r="1343" spans="1:21" x14ac:dyDescent="0.25">
      <c r="A1343" s="10">
        <v>46106</v>
      </c>
      <c r="B1343" s="2" t="s">
        <v>2444</v>
      </c>
      <c r="C1343" s="2" t="s">
        <v>2445</v>
      </c>
      <c r="D1343" s="2" t="s">
        <v>2446</v>
      </c>
      <c r="E1343" s="3" t="s">
        <v>2447</v>
      </c>
      <c r="G1343" s="4" t="s">
        <v>48</v>
      </c>
      <c r="H1343" s="22" t="s">
        <v>239</v>
      </c>
      <c r="I1343" s="22">
        <v>6840</v>
      </c>
      <c r="J1343" s="22"/>
      <c r="K1343" s="22">
        <f t="shared" si="16"/>
        <v>6840</v>
      </c>
      <c r="L1343" s="17"/>
      <c r="M1343" s="29"/>
    </row>
    <row r="1344" spans="1:21" x14ac:dyDescent="0.25">
      <c r="A1344" s="10">
        <v>46106</v>
      </c>
      <c r="B1344" s="2" t="s">
        <v>2444</v>
      </c>
      <c r="C1344" s="2" t="s">
        <v>2445</v>
      </c>
      <c r="D1344" s="2" t="s">
        <v>2446</v>
      </c>
      <c r="E1344" s="3" t="s">
        <v>2447</v>
      </c>
      <c r="G1344" s="4" t="s">
        <v>48</v>
      </c>
      <c r="H1344" s="22" t="s">
        <v>2451</v>
      </c>
      <c r="I1344" s="22"/>
      <c r="J1344" s="22">
        <v>2850</v>
      </c>
      <c r="K1344" s="22">
        <f t="shared" si="16"/>
        <v>2850</v>
      </c>
      <c r="L1344" s="17"/>
      <c r="M1344" s="29"/>
    </row>
    <row r="1345" spans="1:21" x14ac:dyDescent="0.25">
      <c r="A1345" s="10">
        <v>46106</v>
      </c>
      <c r="B1345" s="2" t="s">
        <v>2444</v>
      </c>
      <c r="C1345" s="2" t="s">
        <v>2445</v>
      </c>
      <c r="D1345" s="2" t="s">
        <v>2446</v>
      </c>
      <c r="E1345" s="3" t="s">
        <v>2447</v>
      </c>
      <c r="G1345" s="4" t="s">
        <v>48</v>
      </c>
      <c r="H1345" s="22" t="s">
        <v>49</v>
      </c>
      <c r="I1345" s="22"/>
      <c r="J1345" s="22">
        <f>I1342+I1343-J1344</f>
        <v>60990</v>
      </c>
      <c r="K1345" s="22">
        <f t="shared" si="16"/>
        <v>60990</v>
      </c>
      <c r="L1345" s="17"/>
      <c r="M1345" s="29"/>
    </row>
    <row r="1346" spans="1:21" x14ac:dyDescent="0.25">
      <c r="A1346" s="10">
        <v>46106</v>
      </c>
      <c r="B1346" s="2" t="s">
        <v>2452</v>
      </c>
      <c r="C1346" s="2" t="s">
        <v>2445</v>
      </c>
      <c r="D1346" s="2" t="s">
        <v>2446</v>
      </c>
      <c r="E1346" s="3" t="s">
        <v>2447</v>
      </c>
      <c r="F1346" s="4">
        <f t="shared" si="17"/>
        <v>60990</v>
      </c>
      <c r="G1346" s="4" t="s">
        <v>48</v>
      </c>
      <c r="H1346" s="22" t="s">
        <v>2448</v>
      </c>
      <c r="I1346" s="22">
        <v>57000</v>
      </c>
      <c r="J1346" s="22"/>
      <c r="K1346" s="22">
        <f t="shared" si="16"/>
        <v>57000</v>
      </c>
      <c r="L1346" s="17">
        <v>60990</v>
      </c>
      <c r="M1346" s="23" t="s">
        <v>41</v>
      </c>
      <c r="N1346" s="1" t="s">
        <v>2453</v>
      </c>
      <c r="O1346" s="7" t="s">
        <v>2454</v>
      </c>
      <c r="P1346" s="7" t="s">
        <v>32</v>
      </c>
      <c r="Q1346" s="7">
        <v>2000000028</v>
      </c>
      <c r="R1346" s="7" t="s">
        <v>2455</v>
      </c>
      <c r="S1346" s="3" t="s">
        <v>2450</v>
      </c>
      <c r="U1346" s="8" t="s">
        <v>2456</v>
      </c>
    </row>
    <row r="1347" spans="1:21" x14ac:dyDescent="0.25">
      <c r="A1347" s="10">
        <v>46106</v>
      </c>
      <c r="B1347" s="2" t="s">
        <v>2452</v>
      </c>
      <c r="C1347" s="2" t="s">
        <v>2445</v>
      </c>
      <c r="D1347" s="2" t="s">
        <v>2446</v>
      </c>
      <c r="E1347" s="3" t="s">
        <v>2447</v>
      </c>
      <c r="G1347" s="4" t="s">
        <v>48</v>
      </c>
      <c r="H1347" s="22" t="s">
        <v>239</v>
      </c>
      <c r="I1347" s="22">
        <v>6840</v>
      </c>
      <c r="J1347" s="22"/>
      <c r="K1347" s="22">
        <f t="shared" si="16"/>
        <v>6840</v>
      </c>
      <c r="L1347" s="17"/>
      <c r="M1347" s="29"/>
    </row>
    <row r="1348" spans="1:21" x14ac:dyDescent="0.25">
      <c r="A1348" s="10">
        <v>46106</v>
      </c>
      <c r="B1348" s="2" t="s">
        <v>2452</v>
      </c>
      <c r="C1348" s="2" t="s">
        <v>2445</v>
      </c>
      <c r="D1348" s="2" t="s">
        <v>2446</v>
      </c>
      <c r="E1348" s="3" t="s">
        <v>2447</v>
      </c>
      <c r="G1348" s="4" t="s">
        <v>48</v>
      </c>
      <c r="H1348" s="22" t="s">
        <v>2451</v>
      </c>
      <c r="I1348" s="22"/>
      <c r="J1348" s="22">
        <v>2850</v>
      </c>
      <c r="K1348" s="22">
        <f t="shared" si="16"/>
        <v>2850</v>
      </c>
      <c r="L1348" s="17"/>
      <c r="M1348" s="29"/>
    </row>
    <row r="1349" spans="1:21" x14ac:dyDescent="0.25">
      <c r="A1349" s="10">
        <v>46106</v>
      </c>
      <c r="B1349" s="2" t="s">
        <v>2452</v>
      </c>
      <c r="C1349" s="2" t="s">
        <v>2445</v>
      </c>
      <c r="D1349" s="2" t="s">
        <v>2446</v>
      </c>
      <c r="E1349" s="3" t="s">
        <v>2447</v>
      </c>
      <c r="G1349" s="4" t="s">
        <v>48</v>
      </c>
      <c r="H1349" s="22" t="s">
        <v>49</v>
      </c>
      <c r="I1349" s="22"/>
      <c r="J1349" s="22">
        <f>I1346+I1347-J1348</f>
        <v>60990</v>
      </c>
      <c r="K1349" s="22">
        <f t="shared" si="16"/>
        <v>60990</v>
      </c>
      <c r="L1349" s="17"/>
      <c r="M1349" s="29"/>
    </row>
    <row r="1350" spans="1:21" x14ac:dyDescent="0.25">
      <c r="A1350" s="10">
        <v>46106</v>
      </c>
      <c r="B1350" s="2" t="s">
        <v>2457</v>
      </c>
      <c r="C1350" s="2" t="s">
        <v>2445</v>
      </c>
      <c r="D1350" s="2" t="s">
        <v>2446</v>
      </c>
      <c r="E1350" s="3" t="s">
        <v>2447</v>
      </c>
      <c r="F1350" s="4">
        <f t="shared" si="17"/>
        <v>60990</v>
      </c>
      <c r="G1350" s="4" t="s">
        <v>48</v>
      </c>
      <c r="H1350" s="22" t="s">
        <v>2448</v>
      </c>
      <c r="I1350" s="22">
        <v>57000</v>
      </c>
      <c r="J1350" s="22"/>
      <c r="K1350" s="22">
        <f t="shared" si="16"/>
        <v>57000</v>
      </c>
      <c r="L1350" s="17"/>
      <c r="M1350" s="29" t="s">
        <v>1766</v>
      </c>
      <c r="N1350" s="1" t="s">
        <v>2458</v>
      </c>
      <c r="P1350" s="7" t="s">
        <v>32</v>
      </c>
      <c r="Q1350" s="7">
        <v>2000000029</v>
      </c>
      <c r="R1350" s="7" t="s">
        <v>2459</v>
      </c>
      <c r="S1350" s="3" t="s">
        <v>2450</v>
      </c>
    </row>
    <row r="1351" spans="1:21" x14ac:dyDescent="0.25">
      <c r="A1351" s="10">
        <v>46106</v>
      </c>
      <c r="B1351" s="2" t="s">
        <v>2457</v>
      </c>
      <c r="C1351" s="2" t="s">
        <v>2445</v>
      </c>
      <c r="D1351" s="2" t="s">
        <v>2446</v>
      </c>
      <c r="E1351" s="3" t="s">
        <v>2447</v>
      </c>
      <c r="G1351" s="4" t="s">
        <v>48</v>
      </c>
      <c r="H1351" s="22" t="s">
        <v>239</v>
      </c>
      <c r="I1351" s="22">
        <v>6840</v>
      </c>
      <c r="J1351" s="22"/>
      <c r="K1351" s="22">
        <f t="shared" si="16"/>
        <v>6840</v>
      </c>
      <c r="L1351" s="17"/>
      <c r="M1351" s="29"/>
    </row>
    <row r="1352" spans="1:21" x14ac:dyDescent="0.25">
      <c r="A1352" s="10">
        <v>46106</v>
      </c>
      <c r="B1352" s="2" t="s">
        <v>2457</v>
      </c>
      <c r="C1352" s="2" t="s">
        <v>2445</v>
      </c>
      <c r="D1352" s="2" t="s">
        <v>2446</v>
      </c>
      <c r="E1352" s="3" t="s">
        <v>2447</v>
      </c>
      <c r="G1352" s="4" t="s">
        <v>48</v>
      </c>
      <c r="H1352" s="22" t="s">
        <v>2451</v>
      </c>
      <c r="I1352" s="22"/>
      <c r="J1352" s="22">
        <v>2850</v>
      </c>
      <c r="K1352" s="22">
        <f t="shared" si="16"/>
        <v>2850</v>
      </c>
      <c r="L1352" s="17"/>
      <c r="M1352" s="29"/>
    </row>
    <row r="1353" spans="1:21" x14ac:dyDescent="0.25">
      <c r="A1353" s="10">
        <v>46106</v>
      </c>
      <c r="B1353" s="2" t="s">
        <v>2457</v>
      </c>
      <c r="C1353" s="2" t="s">
        <v>2445</v>
      </c>
      <c r="D1353" s="2" t="s">
        <v>2446</v>
      </c>
      <c r="E1353" s="3" t="s">
        <v>2447</v>
      </c>
      <c r="G1353" s="4" t="s">
        <v>48</v>
      </c>
      <c r="H1353" s="22" t="s">
        <v>49</v>
      </c>
      <c r="I1353" s="22"/>
      <c r="J1353" s="22">
        <f>I1350+I1351-J1352</f>
        <v>60990</v>
      </c>
      <c r="K1353" s="22">
        <f t="shared" si="16"/>
        <v>60990</v>
      </c>
      <c r="L1353" s="17"/>
      <c r="M1353" s="29"/>
    </row>
    <row r="1354" spans="1:21" x14ac:dyDescent="0.25">
      <c r="A1354" s="10">
        <v>46106</v>
      </c>
      <c r="B1354" s="2" t="s">
        <v>2460</v>
      </c>
      <c r="C1354" s="2" t="s">
        <v>2445</v>
      </c>
      <c r="D1354" s="2" t="s">
        <v>2446</v>
      </c>
      <c r="E1354" s="3" t="s">
        <v>2447</v>
      </c>
      <c r="F1354" s="4">
        <f t="shared" si="17"/>
        <v>60990</v>
      </c>
      <c r="G1354" s="4" t="s">
        <v>48</v>
      </c>
      <c r="H1354" s="22" t="s">
        <v>2448</v>
      </c>
      <c r="I1354" s="22">
        <v>57000</v>
      </c>
      <c r="J1354" s="22"/>
      <c r="K1354" s="22">
        <f t="shared" si="16"/>
        <v>57000</v>
      </c>
      <c r="L1354" s="17"/>
      <c r="M1354" s="29" t="s">
        <v>1766</v>
      </c>
      <c r="N1354" s="1" t="s">
        <v>2461</v>
      </c>
      <c r="P1354" s="7" t="s">
        <v>32</v>
      </c>
      <c r="Q1354" s="7">
        <v>2000000030</v>
      </c>
      <c r="R1354" s="7" t="s">
        <v>2462</v>
      </c>
      <c r="S1354" s="3" t="s">
        <v>2450</v>
      </c>
    </row>
    <row r="1355" spans="1:21" x14ac:dyDescent="0.25">
      <c r="A1355" s="10">
        <v>46106</v>
      </c>
      <c r="B1355" s="2" t="s">
        <v>2460</v>
      </c>
      <c r="C1355" s="2" t="s">
        <v>2445</v>
      </c>
      <c r="D1355" s="2" t="s">
        <v>2446</v>
      </c>
      <c r="E1355" s="3" t="s">
        <v>2447</v>
      </c>
      <c r="G1355" s="4" t="s">
        <v>48</v>
      </c>
      <c r="H1355" s="22" t="s">
        <v>239</v>
      </c>
      <c r="I1355" s="22">
        <v>6840</v>
      </c>
      <c r="J1355" s="22"/>
      <c r="K1355" s="22">
        <f t="shared" si="16"/>
        <v>6840</v>
      </c>
      <c r="L1355" s="17"/>
      <c r="M1355" s="29"/>
    </row>
    <row r="1356" spans="1:21" x14ac:dyDescent="0.25">
      <c r="A1356" s="10">
        <v>46106</v>
      </c>
      <c r="B1356" s="2" t="s">
        <v>2460</v>
      </c>
      <c r="C1356" s="2" t="s">
        <v>2445</v>
      </c>
      <c r="D1356" s="2" t="s">
        <v>2446</v>
      </c>
      <c r="E1356" s="3" t="s">
        <v>2447</v>
      </c>
      <c r="G1356" s="4" t="s">
        <v>48</v>
      </c>
      <c r="H1356" s="22" t="s">
        <v>2451</v>
      </c>
      <c r="I1356" s="22"/>
      <c r="J1356" s="22">
        <v>2850</v>
      </c>
      <c r="K1356" s="22">
        <f t="shared" si="16"/>
        <v>2850</v>
      </c>
      <c r="L1356" s="17"/>
      <c r="M1356" s="29"/>
    </row>
    <row r="1357" spans="1:21" x14ac:dyDescent="0.25">
      <c r="A1357" s="10">
        <v>46106</v>
      </c>
      <c r="B1357" s="2" t="s">
        <v>2460</v>
      </c>
      <c r="C1357" s="2" t="s">
        <v>2445</v>
      </c>
      <c r="D1357" s="2" t="s">
        <v>2446</v>
      </c>
      <c r="E1357" s="3" t="s">
        <v>2447</v>
      </c>
      <c r="G1357" s="4" t="s">
        <v>48</v>
      </c>
      <c r="H1357" s="22" t="s">
        <v>49</v>
      </c>
      <c r="I1357" s="22"/>
      <c r="J1357" s="22">
        <f>I1354+I1355-J1356</f>
        <v>60990</v>
      </c>
      <c r="K1357" s="22">
        <f t="shared" si="16"/>
        <v>60990</v>
      </c>
      <c r="L1357" s="17"/>
      <c r="M1357" s="29"/>
    </row>
    <row r="1358" spans="1:21" x14ac:dyDescent="0.25">
      <c r="A1358" s="10">
        <v>46106</v>
      </c>
      <c r="B1358" s="2" t="s">
        <v>2463</v>
      </c>
      <c r="C1358" s="2" t="s">
        <v>2445</v>
      </c>
      <c r="D1358" s="2" t="s">
        <v>2446</v>
      </c>
      <c r="E1358" s="3" t="s">
        <v>2447</v>
      </c>
      <c r="F1358" s="4">
        <f t="shared" si="17"/>
        <v>60990</v>
      </c>
      <c r="G1358" s="4" t="s">
        <v>48</v>
      </c>
      <c r="H1358" s="22" t="s">
        <v>2448</v>
      </c>
      <c r="I1358" s="22">
        <v>57000</v>
      </c>
      <c r="J1358" s="22"/>
      <c r="K1358" s="22">
        <f t="shared" si="16"/>
        <v>57000</v>
      </c>
      <c r="L1358" s="17"/>
      <c r="M1358" s="29" t="s">
        <v>1766</v>
      </c>
      <c r="N1358" s="1" t="s">
        <v>2464</v>
      </c>
      <c r="P1358" s="7" t="s">
        <v>32</v>
      </c>
      <c r="Q1358" s="7">
        <v>2000000031</v>
      </c>
      <c r="R1358" s="7" t="s">
        <v>2465</v>
      </c>
      <c r="S1358" s="3" t="s">
        <v>2450</v>
      </c>
    </row>
    <row r="1359" spans="1:21" x14ac:dyDescent="0.25">
      <c r="A1359" s="10">
        <v>46106</v>
      </c>
      <c r="B1359" s="2" t="s">
        <v>2463</v>
      </c>
      <c r="C1359" s="2" t="s">
        <v>2445</v>
      </c>
      <c r="D1359" s="2" t="s">
        <v>2446</v>
      </c>
      <c r="E1359" s="3" t="s">
        <v>2447</v>
      </c>
      <c r="G1359" s="4" t="s">
        <v>48</v>
      </c>
      <c r="H1359" s="22" t="s">
        <v>239</v>
      </c>
      <c r="I1359" s="22">
        <v>6840</v>
      </c>
      <c r="J1359" s="22"/>
      <c r="K1359" s="22">
        <f t="shared" si="16"/>
        <v>6840</v>
      </c>
      <c r="L1359" s="17"/>
      <c r="M1359" s="29"/>
    </row>
    <row r="1360" spans="1:21" x14ac:dyDescent="0.25">
      <c r="A1360" s="10">
        <v>46106</v>
      </c>
      <c r="B1360" s="2" t="s">
        <v>2463</v>
      </c>
      <c r="C1360" s="2" t="s">
        <v>2445</v>
      </c>
      <c r="D1360" s="2" t="s">
        <v>2446</v>
      </c>
      <c r="E1360" s="3" t="s">
        <v>2447</v>
      </c>
      <c r="G1360" s="4" t="s">
        <v>48</v>
      </c>
      <c r="H1360" s="22" t="s">
        <v>2451</v>
      </c>
      <c r="I1360" s="22"/>
      <c r="J1360" s="22">
        <v>2850</v>
      </c>
      <c r="K1360" s="22">
        <f t="shared" si="16"/>
        <v>2850</v>
      </c>
      <c r="L1360" s="17"/>
      <c r="M1360" s="29"/>
    </row>
    <row r="1361" spans="1:19" x14ac:dyDescent="0.25">
      <c r="A1361" s="10">
        <v>46106</v>
      </c>
      <c r="B1361" s="2" t="s">
        <v>2463</v>
      </c>
      <c r="C1361" s="2" t="s">
        <v>2445</v>
      </c>
      <c r="D1361" s="2" t="s">
        <v>2446</v>
      </c>
      <c r="E1361" s="3" t="s">
        <v>2447</v>
      </c>
      <c r="G1361" s="4" t="s">
        <v>48</v>
      </c>
      <c r="H1361" s="22" t="s">
        <v>49</v>
      </c>
      <c r="I1361" s="22"/>
      <c r="J1361" s="22">
        <f>I1358+I1359-J1360</f>
        <v>60990</v>
      </c>
      <c r="K1361" s="22">
        <f t="shared" si="16"/>
        <v>60990</v>
      </c>
      <c r="L1361" s="17"/>
      <c r="M1361" s="29"/>
    </row>
    <row r="1362" spans="1:19" x14ac:dyDescent="0.25">
      <c r="A1362" s="10">
        <v>46106</v>
      </c>
      <c r="B1362" s="2" t="s">
        <v>2466</v>
      </c>
      <c r="C1362" s="2" t="s">
        <v>2445</v>
      </c>
      <c r="D1362" s="2" t="s">
        <v>2446</v>
      </c>
      <c r="E1362" s="3" t="s">
        <v>2447</v>
      </c>
      <c r="F1362" s="4">
        <f t="shared" si="17"/>
        <v>60990</v>
      </c>
      <c r="G1362" s="4" t="s">
        <v>48</v>
      </c>
      <c r="H1362" s="22" t="s">
        <v>2448</v>
      </c>
      <c r="I1362" s="22">
        <v>57000</v>
      </c>
      <c r="J1362" s="22"/>
      <c r="K1362" s="22">
        <f t="shared" si="16"/>
        <v>57000</v>
      </c>
      <c r="L1362" s="17"/>
      <c r="M1362" s="29" t="s">
        <v>1766</v>
      </c>
      <c r="N1362" s="1" t="s">
        <v>2467</v>
      </c>
      <c r="P1362" s="7" t="s">
        <v>32</v>
      </c>
      <c r="Q1362" s="7">
        <v>2000000032</v>
      </c>
      <c r="R1362" s="7" t="s">
        <v>2468</v>
      </c>
      <c r="S1362" s="3" t="s">
        <v>2450</v>
      </c>
    </row>
    <row r="1363" spans="1:19" x14ac:dyDescent="0.25">
      <c r="A1363" s="10">
        <v>46106</v>
      </c>
      <c r="B1363" s="2" t="s">
        <v>2466</v>
      </c>
      <c r="C1363" s="2" t="s">
        <v>2445</v>
      </c>
      <c r="D1363" s="2" t="s">
        <v>2446</v>
      </c>
      <c r="E1363" s="3" t="s">
        <v>2447</v>
      </c>
      <c r="G1363" s="4" t="s">
        <v>48</v>
      </c>
      <c r="H1363" s="22" t="s">
        <v>239</v>
      </c>
      <c r="I1363" s="22">
        <v>6840</v>
      </c>
      <c r="J1363" s="22"/>
      <c r="K1363" s="22">
        <f t="shared" si="16"/>
        <v>6840</v>
      </c>
      <c r="L1363" s="17"/>
      <c r="M1363" s="29"/>
    </row>
    <row r="1364" spans="1:19" x14ac:dyDescent="0.25">
      <c r="A1364" s="10">
        <v>46106</v>
      </c>
      <c r="B1364" s="2" t="s">
        <v>2466</v>
      </c>
      <c r="C1364" s="2" t="s">
        <v>2445</v>
      </c>
      <c r="D1364" s="2" t="s">
        <v>2446</v>
      </c>
      <c r="E1364" s="3" t="s">
        <v>2447</v>
      </c>
      <c r="G1364" s="4" t="s">
        <v>48</v>
      </c>
      <c r="H1364" s="22" t="s">
        <v>2451</v>
      </c>
      <c r="I1364" s="22"/>
      <c r="J1364" s="22">
        <v>2850</v>
      </c>
      <c r="K1364" s="22">
        <f t="shared" si="16"/>
        <v>2850</v>
      </c>
      <c r="L1364" s="17"/>
      <c r="M1364" s="29"/>
    </row>
    <row r="1365" spans="1:19" x14ac:dyDescent="0.25">
      <c r="A1365" s="10">
        <v>46106</v>
      </c>
      <c r="B1365" s="2" t="s">
        <v>2466</v>
      </c>
      <c r="C1365" s="2" t="s">
        <v>2445</v>
      </c>
      <c r="D1365" s="2" t="s">
        <v>2446</v>
      </c>
      <c r="E1365" s="3" t="s">
        <v>2447</v>
      </c>
      <c r="G1365" s="4" t="s">
        <v>48</v>
      </c>
      <c r="H1365" s="22" t="s">
        <v>49</v>
      </c>
      <c r="I1365" s="22"/>
      <c r="J1365" s="22">
        <f>I1362+I1363-J1364</f>
        <v>60990</v>
      </c>
      <c r="K1365" s="22">
        <f t="shared" si="16"/>
        <v>60990</v>
      </c>
      <c r="L1365" s="17"/>
      <c r="M1365" s="29"/>
    </row>
    <row r="1366" spans="1:19" x14ac:dyDescent="0.25">
      <c r="A1366" s="10">
        <v>46106</v>
      </c>
      <c r="B1366" s="2" t="s">
        <v>2469</v>
      </c>
      <c r="C1366" s="2" t="s">
        <v>2445</v>
      </c>
      <c r="D1366" s="2" t="s">
        <v>2446</v>
      </c>
      <c r="E1366" s="3" t="s">
        <v>2447</v>
      </c>
      <c r="F1366" s="4">
        <f t="shared" si="17"/>
        <v>60990</v>
      </c>
      <c r="G1366" s="4" t="s">
        <v>48</v>
      </c>
      <c r="H1366" s="22" t="s">
        <v>2448</v>
      </c>
      <c r="I1366" s="22">
        <v>57000</v>
      </c>
      <c r="J1366" s="22"/>
      <c r="K1366" s="22">
        <f t="shared" si="16"/>
        <v>57000</v>
      </c>
      <c r="L1366" s="17"/>
      <c r="M1366" s="29" t="s">
        <v>1766</v>
      </c>
      <c r="N1366" s="1" t="s">
        <v>2470</v>
      </c>
      <c r="P1366" s="7" t="s">
        <v>32</v>
      </c>
      <c r="Q1366" s="7">
        <v>2000000033</v>
      </c>
      <c r="R1366" s="7" t="s">
        <v>2471</v>
      </c>
      <c r="S1366" s="3" t="s">
        <v>2450</v>
      </c>
    </row>
    <row r="1367" spans="1:19" x14ac:dyDescent="0.25">
      <c r="A1367" s="10">
        <v>46106</v>
      </c>
      <c r="B1367" s="2" t="s">
        <v>2469</v>
      </c>
      <c r="C1367" s="2" t="s">
        <v>2445</v>
      </c>
      <c r="D1367" s="2" t="s">
        <v>2446</v>
      </c>
      <c r="E1367" s="3" t="s">
        <v>2447</v>
      </c>
      <c r="G1367" s="4" t="s">
        <v>48</v>
      </c>
      <c r="H1367" s="22" t="s">
        <v>239</v>
      </c>
      <c r="I1367" s="22">
        <v>6840</v>
      </c>
      <c r="J1367" s="22"/>
      <c r="K1367" s="22">
        <f t="shared" si="16"/>
        <v>6840</v>
      </c>
      <c r="L1367" s="17"/>
      <c r="M1367" s="29"/>
    </row>
    <row r="1368" spans="1:19" x14ac:dyDescent="0.25">
      <c r="A1368" s="10">
        <v>46106</v>
      </c>
      <c r="B1368" s="2" t="s">
        <v>2469</v>
      </c>
      <c r="C1368" s="2" t="s">
        <v>2445</v>
      </c>
      <c r="D1368" s="2" t="s">
        <v>2446</v>
      </c>
      <c r="E1368" s="3" t="s">
        <v>2447</v>
      </c>
      <c r="G1368" s="4" t="s">
        <v>48</v>
      </c>
      <c r="H1368" s="22" t="s">
        <v>2451</v>
      </c>
      <c r="I1368" s="22"/>
      <c r="J1368" s="22">
        <v>2850</v>
      </c>
      <c r="K1368" s="22">
        <f t="shared" si="16"/>
        <v>2850</v>
      </c>
      <c r="L1368" s="17"/>
      <c r="M1368" s="29"/>
    </row>
    <row r="1369" spans="1:19" x14ac:dyDescent="0.25">
      <c r="A1369" s="10">
        <v>46106</v>
      </c>
      <c r="B1369" s="2" t="s">
        <v>2469</v>
      </c>
      <c r="C1369" s="2" t="s">
        <v>2445</v>
      </c>
      <c r="D1369" s="2" t="s">
        <v>2446</v>
      </c>
      <c r="E1369" s="3" t="s">
        <v>2447</v>
      </c>
      <c r="G1369" s="4" t="s">
        <v>48</v>
      </c>
      <c r="H1369" s="22" t="s">
        <v>49</v>
      </c>
      <c r="I1369" s="22"/>
      <c r="J1369" s="22">
        <f>I1366+I1367-J1368</f>
        <v>60990</v>
      </c>
      <c r="K1369" s="22">
        <f t="shared" si="16"/>
        <v>60990</v>
      </c>
      <c r="L1369" s="17"/>
      <c r="M1369" s="29"/>
    </row>
    <row r="1370" spans="1:19" x14ac:dyDescent="0.25">
      <c r="A1370" s="10">
        <v>46106</v>
      </c>
      <c r="B1370" s="2" t="s">
        <v>2472</v>
      </c>
      <c r="C1370" s="2" t="s">
        <v>2445</v>
      </c>
      <c r="D1370" s="2" t="s">
        <v>2446</v>
      </c>
      <c r="E1370" s="3" t="s">
        <v>2447</v>
      </c>
      <c r="F1370" s="4">
        <f t="shared" si="17"/>
        <v>60990</v>
      </c>
      <c r="G1370" s="4" t="s">
        <v>48</v>
      </c>
      <c r="H1370" s="22" t="s">
        <v>2448</v>
      </c>
      <c r="I1370" s="22">
        <v>57000</v>
      </c>
      <c r="J1370" s="22"/>
      <c r="K1370" s="22">
        <f t="shared" si="16"/>
        <v>57000</v>
      </c>
      <c r="L1370" s="17"/>
      <c r="M1370" s="29" t="s">
        <v>1766</v>
      </c>
      <c r="N1370" s="1" t="s">
        <v>2473</v>
      </c>
      <c r="P1370" s="7" t="s">
        <v>32</v>
      </c>
      <c r="Q1370" s="7">
        <v>2000000034</v>
      </c>
      <c r="R1370" s="7" t="s">
        <v>2474</v>
      </c>
      <c r="S1370" s="3" t="s">
        <v>2450</v>
      </c>
    </row>
    <row r="1371" spans="1:19" x14ac:dyDescent="0.25">
      <c r="A1371" s="10">
        <v>46106</v>
      </c>
      <c r="B1371" s="2" t="s">
        <v>2472</v>
      </c>
      <c r="C1371" s="2" t="s">
        <v>2445</v>
      </c>
      <c r="D1371" s="2" t="s">
        <v>2446</v>
      </c>
      <c r="E1371" s="3" t="s">
        <v>2447</v>
      </c>
      <c r="G1371" s="4" t="s">
        <v>48</v>
      </c>
      <c r="H1371" s="22" t="s">
        <v>239</v>
      </c>
      <c r="I1371" s="22">
        <v>6840</v>
      </c>
      <c r="J1371" s="22"/>
      <c r="K1371" s="22">
        <f t="shared" si="16"/>
        <v>6840</v>
      </c>
      <c r="L1371" s="17"/>
      <c r="M1371" s="29"/>
    </row>
    <row r="1372" spans="1:19" x14ac:dyDescent="0.25">
      <c r="A1372" s="10">
        <v>46106</v>
      </c>
      <c r="B1372" s="2" t="s">
        <v>2472</v>
      </c>
      <c r="C1372" s="2" t="s">
        <v>2445</v>
      </c>
      <c r="D1372" s="2" t="s">
        <v>2446</v>
      </c>
      <c r="E1372" s="3" t="s">
        <v>2447</v>
      </c>
      <c r="G1372" s="4" t="s">
        <v>48</v>
      </c>
      <c r="H1372" s="22" t="s">
        <v>2451</v>
      </c>
      <c r="I1372" s="22"/>
      <c r="J1372" s="22">
        <v>2850</v>
      </c>
      <c r="K1372" s="22">
        <f t="shared" si="16"/>
        <v>2850</v>
      </c>
      <c r="L1372" s="17"/>
      <c r="M1372" s="29"/>
    </row>
    <row r="1373" spans="1:19" x14ac:dyDescent="0.25">
      <c r="A1373" s="10">
        <v>46106</v>
      </c>
      <c r="B1373" s="2" t="s">
        <v>2472</v>
      </c>
      <c r="C1373" s="2" t="s">
        <v>2445</v>
      </c>
      <c r="D1373" s="2" t="s">
        <v>2446</v>
      </c>
      <c r="E1373" s="3" t="s">
        <v>2447</v>
      </c>
      <c r="G1373" s="4" t="s">
        <v>48</v>
      </c>
      <c r="H1373" s="22" t="s">
        <v>49</v>
      </c>
      <c r="I1373" s="22"/>
      <c r="J1373" s="22">
        <f>I1370+I1371-J1372</f>
        <v>60990</v>
      </c>
      <c r="K1373" s="22">
        <f t="shared" si="16"/>
        <v>60990</v>
      </c>
      <c r="L1373" s="17"/>
      <c r="M1373" s="29"/>
    </row>
    <row r="1374" spans="1:19" x14ac:dyDescent="0.25">
      <c r="A1374" s="10">
        <v>46106</v>
      </c>
      <c r="B1374" s="2" t="s">
        <v>2475</v>
      </c>
      <c r="C1374" s="2" t="s">
        <v>2445</v>
      </c>
      <c r="D1374" s="2" t="s">
        <v>2446</v>
      </c>
      <c r="E1374" s="3" t="s">
        <v>2447</v>
      </c>
      <c r="F1374" s="4">
        <f t="shared" si="17"/>
        <v>60990</v>
      </c>
      <c r="G1374" s="4" t="s">
        <v>48</v>
      </c>
      <c r="H1374" s="22" t="s">
        <v>2448</v>
      </c>
      <c r="I1374" s="22">
        <v>57000</v>
      </c>
      <c r="J1374" s="22"/>
      <c r="K1374" s="22">
        <f t="shared" si="16"/>
        <v>57000</v>
      </c>
      <c r="L1374" s="17"/>
      <c r="M1374" s="29" t="s">
        <v>1766</v>
      </c>
      <c r="N1374" s="1" t="s">
        <v>2476</v>
      </c>
      <c r="P1374" s="7" t="s">
        <v>32</v>
      </c>
      <c r="Q1374" s="7">
        <v>2000000035</v>
      </c>
      <c r="R1374" s="7" t="s">
        <v>2477</v>
      </c>
      <c r="S1374" s="3" t="s">
        <v>2450</v>
      </c>
    </row>
    <row r="1375" spans="1:19" x14ac:dyDescent="0.25">
      <c r="A1375" s="10">
        <v>46106</v>
      </c>
      <c r="B1375" s="2" t="s">
        <v>2475</v>
      </c>
      <c r="C1375" s="2" t="s">
        <v>2445</v>
      </c>
      <c r="D1375" s="2" t="s">
        <v>2446</v>
      </c>
      <c r="E1375" s="3" t="s">
        <v>2447</v>
      </c>
      <c r="G1375" s="4" t="s">
        <v>48</v>
      </c>
      <c r="H1375" s="22" t="s">
        <v>239</v>
      </c>
      <c r="I1375" s="22">
        <v>6840</v>
      </c>
      <c r="J1375" s="22"/>
      <c r="K1375" s="22">
        <f t="shared" si="16"/>
        <v>6840</v>
      </c>
      <c r="L1375" s="17"/>
      <c r="M1375" s="29"/>
    </row>
    <row r="1376" spans="1:19" x14ac:dyDescent="0.25">
      <c r="A1376" s="10">
        <v>46106</v>
      </c>
      <c r="B1376" s="2" t="s">
        <v>2475</v>
      </c>
      <c r="C1376" s="2" t="s">
        <v>2445</v>
      </c>
      <c r="D1376" s="2" t="s">
        <v>2446</v>
      </c>
      <c r="E1376" s="3" t="s">
        <v>2447</v>
      </c>
      <c r="G1376" s="4" t="s">
        <v>48</v>
      </c>
      <c r="H1376" s="22" t="s">
        <v>2451</v>
      </c>
      <c r="I1376" s="22"/>
      <c r="J1376" s="22">
        <v>2850</v>
      </c>
      <c r="K1376" s="22">
        <f t="shared" si="16"/>
        <v>2850</v>
      </c>
      <c r="L1376" s="17"/>
      <c r="M1376" s="29"/>
    </row>
    <row r="1377" spans="1:19" x14ac:dyDescent="0.25">
      <c r="A1377" s="10">
        <v>46106</v>
      </c>
      <c r="B1377" s="2" t="s">
        <v>2475</v>
      </c>
      <c r="C1377" s="2" t="s">
        <v>2445</v>
      </c>
      <c r="D1377" s="2" t="s">
        <v>2446</v>
      </c>
      <c r="E1377" s="3" t="s">
        <v>2447</v>
      </c>
      <c r="G1377" s="4" t="s">
        <v>48</v>
      </c>
      <c r="H1377" s="22" t="s">
        <v>49</v>
      </c>
      <c r="I1377" s="22"/>
      <c r="J1377" s="22">
        <f>I1374+I1375-J1376</f>
        <v>60990</v>
      </c>
      <c r="K1377" s="22">
        <f t="shared" si="16"/>
        <v>60990</v>
      </c>
      <c r="L1377" s="17"/>
      <c r="M1377" s="29"/>
    </row>
    <row r="1378" spans="1:19" x14ac:dyDescent="0.25">
      <c r="A1378" s="10">
        <v>46106</v>
      </c>
      <c r="B1378" s="2" t="s">
        <v>2478</v>
      </c>
      <c r="C1378" s="2" t="s">
        <v>2445</v>
      </c>
      <c r="D1378" s="2" t="s">
        <v>2446</v>
      </c>
      <c r="E1378" s="3" t="s">
        <v>2447</v>
      </c>
      <c r="F1378" s="4">
        <f t="shared" si="17"/>
        <v>60990</v>
      </c>
      <c r="G1378" s="4" t="s">
        <v>48</v>
      </c>
      <c r="H1378" s="22" t="s">
        <v>2448</v>
      </c>
      <c r="I1378" s="22">
        <v>57000</v>
      </c>
      <c r="J1378" s="22"/>
      <c r="K1378" s="22">
        <f t="shared" si="16"/>
        <v>57000</v>
      </c>
      <c r="L1378" s="17"/>
      <c r="M1378" s="29" t="s">
        <v>1766</v>
      </c>
      <c r="N1378" s="1" t="s">
        <v>2479</v>
      </c>
      <c r="P1378" s="7" t="s">
        <v>32</v>
      </c>
      <c r="Q1378" s="7">
        <v>2000000036</v>
      </c>
      <c r="R1378" s="7" t="s">
        <v>2480</v>
      </c>
      <c r="S1378" s="3" t="s">
        <v>2450</v>
      </c>
    </row>
    <row r="1379" spans="1:19" x14ac:dyDescent="0.25">
      <c r="A1379" s="10">
        <v>46106</v>
      </c>
      <c r="B1379" s="2" t="s">
        <v>2478</v>
      </c>
      <c r="C1379" s="2" t="s">
        <v>2445</v>
      </c>
      <c r="D1379" s="2" t="s">
        <v>2446</v>
      </c>
      <c r="E1379" s="3" t="s">
        <v>2447</v>
      </c>
      <c r="G1379" s="4" t="s">
        <v>48</v>
      </c>
      <c r="H1379" s="22" t="s">
        <v>239</v>
      </c>
      <c r="I1379" s="22">
        <v>6840</v>
      </c>
      <c r="J1379" s="22"/>
      <c r="K1379" s="22">
        <f t="shared" si="16"/>
        <v>6840</v>
      </c>
      <c r="L1379" s="17"/>
      <c r="M1379" s="29"/>
    </row>
    <row r="1380" spans="1:19" x14ac:dyDescent="0.25">
      <c r="A1380" s="10">
        <v>46106</v>
      </c>
      <c r="B1380" s="2" t="s">
        <v>2478</v>
      </c>
      <c r="C1380" s="2" t="s">
        <v>2445</v>
      </c>
      <c r="D1380" s="2" t="s">
        <v>2446</v>
      </c>
      <c r="E1380" s="3" t="s">
        <v>2447</v>
      </c>
      <c r="G1380" s="4" t="s">
        <v>48</v>
      </c>
      <c r="H1380" s="22" t="s">
        <v>2451</v>
      </c>
      <c r="I1380" s="22"/>
      <c r="J1380" s="22">
        <v>2850</v>
      </c>
      <c r="K1380" s="22">
        <f t="shared" si="16"/>
        <v>2850</v>
      </c>
      <c r="L1380" s="17"/>
      <c r="M1380" s="29"/>
    </row>
    <row r="1381" spans="1:19" x14ac:dyDescent="0.25">
      <c r="A1381" s="10">
        <v>46106</v>
      </c>
      <c r="B1381" s="2" t="s">
        <v>2478</v>
      </c>
      <c r="C1381" s="2" t="s">
        <v>2445</v>
      </c>
      <c r="D1381" s="2" t="s">
        <v>2446</v>
      </c>
      <c r="E1381" s="3" t="s">
        <v>2447</v>
      </c>
      <c r="G1381" s="4" t="s">
        <v>48</v>
      </c>
      <c r="H1381" s="22" t="s">
        <v>49</v>
      </c>
      <c r="I1381" s="22"/>
      <c r="J1381" s="22">
        <f>I1378+I1379-J1380</f>
        <v>60990</v>
      </c>
      <c r="K1381" s="22">
        <f t="shared" si="16"/>
        <v>60990</v>
      </c>
      <c r="L1381" s="17"/>
      <c r="M1381" s="29"/>
    </row>
    <row r="1382" spans="1:19" x14ac:dyDescent="0.25">
      <c r="A1382" s="10">
        <v>46106</v>
      </c>
      <c r="B1382" s="2" t="s">
        <v>2481</v>
      </c>
      <c r="C1382" s="2" t="s">
        <v>2445</v>
      </c>
      <c r="D1382" s="2" t="s">
        <v>2446</v>
      </c>
      <c r="E1382" s="3" t="s">
        <v>2447</v>
      </c>
      <c r="F1382" s="4">
        <f t="shared" si="17"/>
        <v>60990</v>
      </c>
      <c r="G1382" s="4" t="s">
        <v>48</v>
      </c>
      <c r="H1382" s="22" t="s">
        <v>2448</v>
      </c>
      <c r="I1382" s="22">
        <v>57000</v>
      </c>
      <c r="J1382" s="22"/>
      <c r="K1382" s="22">
        <f t="shared" si="16"/>
        <v>57000</v>
      </c>
      <c r="L1382" s="32"/>
      <c r="M1382" s="29" t="s">
        <v>1766</v>
      </c>
      <c r="N1382" s="1" t="s">
        <v>2482</v>
      </c>
      <c r="P1382" s="7" t="s">
        <v>32</v>
      </c>
      <c r="Q1382" s="7">
        <v>2000000037</v>
      </c>
      <c r="R1382" s="7" t="s">
        <v>2483</v>
      </c>
      <c r="S1382" s="3" t="s">
        <v>2450</v>
      </c>
    </row>
    <row r="1383" spans="1:19" x14ac:dyDescent="0.25">
      <c r="A1383" s="10">
        <v>46106</v>
      </c>
      <c r="B1383" s="2" t="s">
        <v>2481</v>
      </c>
      <c r="C1383" s="2" t="s">
        <v>2445</v>
      </c>
      <c r="D1383" s="2" t="s">
        <v>2446</v>
      </c>
      <c r="E1383" s="3" t="s">
        <v>2447</v>
      </c>
      <c r="G1383" s="4" t="s">
        <v>48</v>
      </c>
      <c r="H1383" s="22" t="s">
        <v>239</v>
      </c>
      <c r="I1383" s="22">
        <v>6840</v>
      </c>
      <c r="J1383" s="22"/>
      <c r="K1383" s="22">
        <f t="shared" si="16"/>
        <v>6840</v>
      </c>
      <c r="L1383" s="32"/>
      <c r="M1383" s="29"/>
    </row>
    <row r="1384" spans="1:19" x14ac:dyDescent="0.25">
      <c r="A1384" s="10">
        <v>46106</v>
      </c>
      <c r="B1384" s="2" t="s">
        <v>2481</v>
      </c>
      <c r="C1384" s="2" t="s">
        <v>2445</v>
      </c>
      <c r="D1384" s="2" t="s">
        <v>2446</v>
      </c>
      <c r="E1384" s="3" t="s">
        <v>2447</v>
      </c>
      <c r="G1384" s="4" t="s">
        <v>48</v>
      </c>
      <c r="H1384" s="22" t="s">
        <v>2451</v>
      </c>
      <c r="I1384" s="22"/>
      <c r="J1384" s="22">
        <v>2850</v>
      </c>
      <c r="K1384" s="22">
        <f t="shared" si="16"/>
        <v>2850</v>
      </c>
      <c r="L1384" s="32"/>
      <c r="M1384" s="29"/>
    </row>
    <row r="1385" spans="1:19" x14ac:dyDescent="0.25">
      <c r="A1385" s="10">
        <v>46106</v>
      </c>
      <c r="B1385" s="2" t="s">
        <v>2481</v>
      </c>
      <c r="C1385" s="2" t="s">
        <v>2445</v>
      </c>
      <c r="D1385" s="2" t="s">
        <v>2446</v>
      </c>
      <c r="E1385" s="3" t="s">
        <v>2447</v>
      </c>
      <c r="G1385" s="4" t="s">
        <v>48</v>
      </c>
      <c r="H1385" s="22" t="s">
        <v>49</v>
      </c>
      <c r="I1385" s="22"/>
      <c r="J1385" s="22">
        <f>I1382+I1383-J1384</f>
        <v>60990</v>
      </c>
      <c r="K1385" s="22">
        <f t="shared" si="16"/>
        <v>60990</v>
      </c>
      <c r="L1385" s="32"/>
      <c r="M1385" s="29"/>
    </row>
    <row r="1386" spans="1:19" x14ac:dyDescent="0.25">
      <c r="A1386" s="10">
        <v>46106</v>
      </c>
      <c r="B1386" s="2" t="s">
        <v>2484</v>
      </c>
      <c r="C1386" s="2" t="s">
        <v>2445</v>
      </c>
      <c r="D1386" s="2" t="s">
        <v>2446</v>
      </c>
      <c r="E1386" s="3" t="s">
        <v>2447</v>
      </c>
      <c r="F1386" s="4">
        <f t="shared" si="17"/>
        <v>60990</v>
      </c>
      <c r="G1386" s="4" t="s">
        <v>48</v>
      </c>
      <c r="H1386" s="22" t="s">
        <v>2448</v>
      </c>
      <c r="I1386" s="22">
        <v>57000</v>
      </c>
      <c r="J1386" s="22"/>
      <c r="K1386" s="22">
        <f t="shared" si="16"/>
        <v>57000</v>
      </c>
      <c r="L1386" s="17"/>
      <c r="M1386" s="29" t="s">
        <v>1766</v>
      </c>
      <c r="N1386" s="1" t="s">
        <v>2485</v>
      </c>
      <c r="P1386" s="7" t="s">
        <v>32</v>
      </c>
      <c r="Q1386" s="7">
        <v>2000000038</v>
      </c>
      <c r="R1386" s="7" t="s">
        <v>2486</v>
      </c>
      <c r="S1386" s="3" t="s">
        <v>2450</v>
      </c>
    </row>
    <row r="1387" spans="1:19" x14ac:dyDescent="0.25">
      <c r="A1387" s="10">
        <v>46106</v>
      </c>
      <c r="B1387" s="2" t="s">
        <v>2484</v>
      </c>
      <c r="C1387" s="2" t="s">
        <v>2445</v>
      </c>
      <c r="D1387" s="2" t="s">
        <v>2446</v>
      </c>
      <c r="E1387" s="3" t="s">
        <v>2447</v>
      </c>
      <c r="G1387" s="4" t="s">
        <v>48</v>
      </c>
      <c r="H1387" s="22" t="s">
        <v>239</v>
      </c>
      <c r="I1387" s="22">
        <v>6840</v>
      </c>
      <c r="J1387" s="22"/>
      <c r="K1387" s="22">
        <f t="shared" si="16"/>
        <v>6840</v>
      </c>
      <c r="L1387" s="17"/>
      <c r="M1387" s="29"/>
    </row>
    <row r="1388" spans="1:19" x14ac:dyDescent="0.25">
      <c r="A1388" s="10">
        <v>46106</v>
      </c>
      <c r="B1388" s="2" t="s">
        <v>2484</v>
      </c>
      <c r="C1388" s="2" t="s">
        <v>2445</v>
      </c>
      <c r="D1388" s="2" t="s">
        <v>2446</v>
      </c>
      <c r="E1388" s="3" t="s">
        <v>2447</v>
      </c>
      <c r="G1388" s="4" t="s">
        <v>48</v>
      </c>
      <c r="H1388" s="22" t="s">
        <v>2451</v>
      </c>
      <c r="I1388" s="22"/>
      <c r="J1388" s="22">
        <v>2850</v>
      </c>
      <c r="K1388" s="22">
        <f t="shared" si="16"/>
        <v>2850</v>
      </c>
      <c r="L1388" s="17"/>
      <c r="M1388" s="29"/>
    </row>
    <row r="1389" spans="1:19" x14ac:dyDescent="0.25">
      <c r="A1389" s="10">
        <v>46106</v>
      </c>
      <c r="B1389" s="2" t="s">
        <v>2484</v>
      </c>
      <c r="C1389" s="2" t="s">
        <v>2445</v>
      </c>
      <c r="D1389" s="2" t="s">
        <v>2446</v>
      </c>
      <c r="E1389" s="3" t="s">
        <v>2447</v>
      </c>
      <c r="G1389" s="4" t="s">
        <v>48</v>
      </c>
      <c r="H1389" s="22" t="s">
        <v>49</v>
      </c>
      <c r="I1389" s="22"/>
      <c r="J1389" s="22">
        <f>I1386+I1387-J1388</f>
        <v>60990</v>
      </c>
      <c r="K1389" s="22">
        <f t="shared" si="16"/>
        <v>60990</v>
      </c>
      <c r="L1389" s="17"/>
      <c r="M1389" s="29"/>
    </row>
    <row r="1390" spans="1:19" ht="36" x14ac:dyDescent="0.25">
      <c r="A1390" s="10">
        <v>46107</v>
      </c>
      <c r="B1390" s="2" t="s">
        <v>2487</v>
      </c>
      <c r="E1390" s="3" t="s">
        <v>921</v>
      </c>
      <c r="F1390" s="4">
        <v>3728000</v>
      </c>
      <c r="G1390" s="4" t="s">
        <v>48</v>
      </c>
      <c r="H1390" s="22" t="s">
        <v>922</v>
      </c>
      <c r="I1390" s="22">
        <v>3000000</v>
      </c>
      <c r="J1390" s="22"/>
      <c r="K1390" s="22">
        <f t="shared" si="16"/>
        <v>3000000</v>
      </c>
      <c r="L1390" s="17">
        <v>3728000</v>
      </c>
      <c r="M1390" s="23" t="s">
        <v>41</v>
      </c>
      <c r="N1390" s="1" t="s">
        <v>2488</v>
      </c>
      <c r="O1390" s="24" t="s">
        <v>2489</v>
      </c>
      <c r="P1390" s="7" t="s">
        <v>81</v>
      </c>
      <c r="R1390" s="7" t="s">
        <v>1757</v>
      </c>
    </row>
    <row r="1391" spans="1:19" x14ac:dyDescent="0.25">
      <c r="A1391" s="10">
        <v>46107</v>
      </c>
      <c r="B1391" s="2" t="s">
        <v>2487</v>
      </c>
      <c r="E1391" s="3" t="s">
        <v>921</v>
      </c>
      <c r="G1391" s="4" t="s">
        <v>48</v>
      </c>
      <c r="H1391" s="22" t="s">
        <v>632</v>
      </c>
      <c r="I1391" s="22">
        <v>728000</v>
      </c>
      <c r="J1391" s="22"/>
      <c r="K1391" s="22">
        <f t="shared" si="16"/>
        <v>728000</v>
      </c>
      <c r="L1391" s="17"/>
    </row>
    <row r="1392" spans="1:19" x14ac:dyDescent="0.25">
      <c r="A1392" s="10">
        <v>46107</v>
      </c>
      <c r="B1392" s="2" t="s">
        <v>2487</v>
      </c>
      <c r="E1392" s="3" t="s">
        <v>921</v>
      </c>
      <c r="G1392" s="4" t="s">
        <v>48</v>
      </c>
      <c r="H1392" s="22" t="s">
        <v>49</v>
      </c>
      <c r="I1392" s="22"/>
      <c r="J1392" s="22">
        <f>I1390+I1391</f>
        <v>3728000</v>
      </c>
      <c r="K1392" s="22">
        <f t="shared" si="16"/>
        <v>3728000</v>
      </c>
      <c r="L1392" s="17"/>
    </row>
    <row r="1393" spans="1:19" x14ac:dyDescent="0.25">
      <c r="A1393" s="10">
        <v>46107</v>
      </c>
      <c r="B1393" s="2" t="s">
        <v>2490</v>
      </c>
      <c r="E1393" s="3" t="s">
        <v>1751</v>
      </c>
      <c r="F1393" s="4">
        <v>357690.89</v>
      </c>
      <c r="G1393" s="4" t="s">
        <v>48</v>
      </c>
      <c r="H1393" s="34" t="s">
        <v>632</v>
      </c>
      <c r="I1393" s="22">
        <v>357690.89</v>
      </c>
      <c r="J1393" s="34"/>
      <c r="K1393" s="22">
        <f t="shared" si="16"/>
        <v>357690.89</v>
      </c>
      <c r="L1393" s="17">
        <v>357690.89</v>
      </c>
      <c r="M1393" s="23" t="s">
        <v>41</v>
      </c>
      <c r="N1393" s="1" t="s">
        <v>2491</v>
      </c>
      <c r="O1393" s="7" t="s">
        <v>1756</v>
      </c>
      <c r="P1393" s="7" t="s">
        <v>43</v>
      </c>
      <c r="R1393" s="7" t="s">
        <v>1757</v>
      </c>
      <c r="S1393" s="3" t="s">
        <v>1758</v>
      </c>
    </row>
    <row r="1394" spans="1:19" x14ac:dyDescent="0.25">
      <c r="A1394" s="10">
        <v>46107</v>
      </c>
      <c r="B1394" s="2" t="s">
        <v>2490</v>
      </c>
      <c r="E1394" s="3" t="s">
        <v>1751</v>
      </c>
      <c r="G1394" s="4" t="s">
        <v>48</v>
      </c>
      <c r="H1394" s="22" t="s">
        <v>49</v>
      </c>
      <c r="I1394" s="22"/>
      <c r="J1394" s="35">
        <f>I1393</f>
        <v>357690.89</v>
      </c>
      <c r="K1394" s="22">
        <f t="shared" si="16"/>
        <v>357690.89</v>
      </c>
      <c r="L1394" s="32"/>
    </row>
    <row r="1395" spans="1:19" x14ac:dyDescent="0.25">
      <c r="A1395" s="10">
        <v>46107</v>
      </c>
      <c r="B1395" s="2" t="s">
        <v>2492</v>
      </c>
      <c r="E1395" s="3" t="s">
        <v>1131</v>
      </c>
      <c r="F1395" s="4">
        <v>2161660</v>
      </c>
      <c r="G1395" s="4" t="s">
        <v>48</v>
      </c>
      <c r="H1395" s="22" t="s">
        <v>2493</v>
      </c>
      <c r="I1395" s="22">
        <v>1000000</v>
      </c>
      <c r="J1395" s="22"/>
      <c r="K1395" s="22">
        <f t="shared" si="16"/>
        <v>1000000</v>
      </c>
      <c r="L1395" s="17"/>
      <c r="M1395" s="6" t="s">
        <v>581</v>
      </c>
      <c r="N1395" s="1" t="s">
        <v>2494</v>
      </c>
    </row>
    <row r="1396" spans="1:19" x14ac:dyDescent="0.25">
      <c r="A1396" s="10">
        <v>46107</v>
      </c>
      <c r="B1396" s="2" t="s">
        <v>2492</v>
      </c>
      <c r="E1396" s="3" t="s">
        <v>1131</v>
      </c>
      <c r="G1396" s="4" t="s">
        <v>48</v>
      </c>
      <c r="H1396" s="22" t="s">
        <v>49</v>
      </c>
      <c r="I1396" s="22"/>
      <c r="J1396" s="22">
        <f>I1395</f>
        <v>1000000</v>
      </c>
      <c r="K1396" s="22">
        <f t="shared" si="16"/>
        <v>1000000</v>
      </c>
      <c r="L1396" s="17"/>
    </row>
    <row r="1397" spans="1:19" ht="24" x14ac:dyDescent="0.25">
      <c r="A1397" s="10">
        <v>46107</v>
      </c>
      <c r="B1397" s="2" t="s">
        <v>2495</v>
      </c>
      <c r="E1397" s="3" t="s">
        <v>1131</v>
      </c>
      <c r="F1397" s="4">
        <f>202000+202000</f>
        <v>404000</v>
      </c>
      <c r="G1397" s="4" t="s">
        <v>48</v>
      </c>
      <c r="H1397" s="22" t="s">
        <v>2493</v>
      </c>
      <c r="I1397" s="22">
        <v>404000</v>
      </c>
      <c r="J1397" s="22"/>
      <c r="K1397" s="22">
        <f t="shared" si="16"/>
        <v>404000</v>
      </c>
      <c r="L1397" s="17"/>
      <c r="M1397" s="6" t="s">
        <v>581</v>
      </c>
      <c r="N1397" s="1" t="s">
        <v>2496</v>
      </c>
    </row>
    <row r="1398" spans="1:19" x14ac:dyDescent="0.25">
      <c r="A1398" s="10">
        <v>46107</v>
      </c>
      <c r="B1398" s="2" t="s">
        <v>2495</v>
      </c>
      <c r="E1398" s="3" t="s">
        <v>1131</v>
      </c>
      <c r="G1398" s="4" t="s">
        <v>48</v>
      </c>
      <c r="H1398" s="22" t="s">
        <v>49</v>
      </c>
      <c r="I1398" s="22"/>
      <c r="J1398" s="22">
        <f>I1397</f>
        <v>404000</v>
      </c>
      <c r="K1398" s="22">
        <f t="shared" si="16"/>
        <v>404000</v>
      </c>
      <c r="L1398" s="17"/>
    </row>
    <row r="1399" spans="1:19" x14ac:dyDescent="0.25">
      <c r="A1399" s="10">
        <v>46107</v>
      </c>
      <c r="B1399" s="2" t="s">
        <v>2497</v>
      </c>
      <c r="E1399" s="3" t="s">
        <v>1131</v>
      </c>
      <c r="F1399" s="4">
        <v>100000</v>
      </c>
      <c r="G1399" s="4" t="s">
        <v>48</v>
      </c>
      <c r="H1399" s="22" t="s">
        <v>2493</v>
      </c>
      <c r="I1399" s="22">
        <v>100000</v>
      </c>
      <c r="J1399" s="22"/>
      <c r="K1399" s="22">
        <f t="shared" si="16"/>
        <v>100000</v>
      </c>
      <c r="L1399" s="32"/>
      <c r="M1399" s="6" t="s">
        <v>581</v>
      </c>
      <c r="N1399" s="1" t="s">
        <v>2498</v>
      </c>
    </row>
    <row r="1400" spans="1:19" x14ac:dyDescent="0.25">
      <c r="A1400" s="10">
        <v>46107</v>
      </c>
      <c r="B1400" s="2" t="s">
        <v>2497</v>
      </c>
      <c r="E1400" s="3" t="s">
        <v>1131</v>
      </c>
      <c r="G1400" s="4" t="s">
        <v>48</v>
      </c>
      <c r="H1400" s="22" t="s">
        <v>49</v>
      </c>
      <c r="I1400" s="22"/>
      <c r="J1400" s="22">
        <f>I1399</f>
        <v>100000</v>
      </c>
      <c r="K1400" s="22">
        <f t="shared" si="16"/>
        <v>100000</v>
      </c>
      <c r="L1400" s="32"/>
    </row>
    <row r="1401" spans="1:19" ht="24" x14ac:dyDescent="0.25">
      <c r="A1401" s="10">
        <v>46107</v>
      </c>
      <c r="B1401" s="2" t="s">
        <v>2499</v>
      </c>
      <c r="C1401" s="2" t="s">
        <v>95</v>
      </c>
      <c r="D1401" s="2" t="s">
        <v>2500</v>
      </c>
      <c r="E1401" s="3" t="s">
        <v>222</v>
      </c>
      <c r="F1401" s="4">
        <v>3150</v>
      </c>
      <c r="G1401" s="4" t="s">
        <v>2304</v>
      </c>
      <c r="H1401" s="22" t="s">
        <v>78</v>
      </c>
      <c r="I1401" s="22">
        <v>3150</v>
      </c>
      <c r="J1401" s="22"/>
      <c r="K1401" s="22">
        <f t="shared" si="16"/>
        <v>3150</v>
      </c>
      <c r="L1401" s="17"/>
      <c r="M1401" s="6" t="s">
        <v>581</v>
      </c>
      <c r="N1401" s="1" t="s">
        <v>2501</v>
      </c>
    </row>
    <row r="1402" spans="1:19" x14ac:dyDescent="0.25">
      <c r="A1402" s="10">
        <v>46107</v>
      </c>
      <c r="B1402" s="2" t="s">
        <v>2499</v>
      </c>
      <c r="C1402" s="2" t="s">
        <v>95</v>
      </c>
      <c r="D1402" s="2" t="s">
        <v>2500</v>
      </c>
      <c r="E1402" s="3" t="s">
        <v>222</v>
      </c>
      <c r="G1402" s="4" t="s">
        <v>48</v>
      </c>
      <c r="H1402" s="22" t="s">
        <v>49</v>
      </c>
      <c r="I1402" s="22"/>
      <c r="J1402" s="22">
        <f>I1401</f>
        <v>3150</v>
      </c>
      <c r="K1402" s="22">
        <f t="shared" si="16"/>
        <v>3150</v>
      </c>
      <c r="L1402" s="17"/>
    </row>
    <row r="1403" spans="1:19" ht="24" x14ac:dyDescent="0.25">
      <c r="A1403" s="10">
        <v>46107</v>
      </c>
      <c r="B1403" s="2" t="s">
        <v>2502</v>
      </c>
      <c r="C1403" s="2" t="s">
        <v>2503</v>
      </c>
      <c r="D1403" s="2" t="s">
        <v>2504</v>
      </c>
      <c r="E1403" s="3" t="s">
        <v>1072</v>
      </c>
      <c r="F1403" s="4">
        <f>(2702/1.12)+(2702/1.12*0.12)-(2702/1.12*0.01)</f>
        <v>2677.8749999999995</v>
      </c>
      <c r="G1403" s="4" t="s">
        <v>2304</v>
      </c>
      <c r="H1403" s="22" t="s">
        <v>40</v>
      </c>
      <c r="I1403" s="22">
        <f>2702/1.12</f>
        <v>2412.4999999999995</v>
      </c>
      <c r="J1403" s="22"/>
      <c r="K1403" s="22">
        <f t="shared" si="16"/>
        <v>2412.4999999999995</v>
      </c>
      <c r="L1403" s="17"/>
      <c r="M1403" s="6" t="s">
        <v>581</v>
      </c>
      <c r="N1403" s="1" t="s">
        <v>2505</v>
      </c>
    </row>
    <row r="1404" spans="1:19" x14ac:dyDescent="0.25">
      <c r="A1404" s="10">
        <v>46107</v>
      </c>
      <c r="B1404" s="2" t="s">
        <v>2502</v>
      </c>
      <c r="C1404" s="2" t="s">
        <v>2503</v>
      </c>
      <c r="D1404" s="2" t="s">
        <v>2504</v>
      </c>
      <c r="E1404" s="3" t="s">
        <v>1072</v>
      </c>
      <c r="G1404" s="4" t="s">
        <v>2304</v>
      </c>
      <c r="H1404" s="22" t="s">
        <v>104</v>
      </c>
      <c r="I1404" s="22">
        <f>I1403*0.12</f>
        <v>289.49999999999994</v>
      </c>
      <c r="J1404" s="22"/>
      <c r="K1404" s="22">
        <f t="shared" si="16"/>
        <v>289.49999999999994</v>
      </c>
      <c r="L1404" s="17"/>
    </row>
    <row r="1405" spans="1:19" x14ac:dyDescent="0.25">
      <c r="A1405" s="10">
        <v>46107</v>
      </c>
      <c r="B1405" s="2" t="s">
        <v>2502</v>
      </c>
      <c r="C1405" s="2" t="s">
        <v>2503</v>
      </c>
      <c r="D1405" s="2" t="s">
        <v>2504</v>
      </c>
      <c r="E1405" s="3" t="s">
        <v>1072</v>
      </c>
      <c r="G1405" s="4" t="s">
        <v>2304</v>
      </c>
      <c r="H1405" s="22" t="s">
        <v>105</v>
      </c>
      <c r="I1405" s="22"/>
      <c r="J1405" s="22">
        <f>I1403*0.01</f>
        <v>24.124999999999996</v>
      </c>
      <c r="K1405" s="22">
        <f t="shared" si="16"/>
        <v>24.124999999999996</v>
      </c>
      <c r="L1405" s="17"/>
    </row>
    <row r="1406" spans="1:19" x14ac:dyDescent="0.25">
      <c r="A1406" s="10">
        <v>46107</v>
      </c>
      <c r="B1406" s="2" t="s">
        <v>2502</v>
      </c>
      <c r="C1406" s="2" t="s">
        <v>2503</v>
      </c>
      <c r="D1406" s="2" t="s">
        <v>2504</v>
      </c>
      <c r="E1406" s="3" t="s">
        <v>1072</v>
      </c>
      <c r="G1406" s="4" t="s">
        <v>48</v>
      </c>
      <c r="H1406" s="22" t="s">
        <v>49</v>
      </c>
      <c r="I1406" s="22"/>
      <c r="J1406" s="22">
        <f>I1403+I1404-J1405</f>
        <v>2677.8749999999995</v>
      </c>
      <c r="K1406" s="22">
        <f t="shared" ref="K1406:K1516" si="18">ABS(I1406-J1406)</f>
        <v>2677.8749999999995</v>
      </c>
      <c r="L1406" s="17"/>
    </row>
    <row r="1407" spans="1:19" ht="24" x14ac:dyDescent="0.25">
      <c r="A1407" s="10">
        <v>46107</v>
      </c>
      <c r="B1407" s="2" t="s">
        <v>2506</v>
      </c>
      <c r="C1407" s="2" t="s">
        <v>2507</v>
      </c>
      <c r="D1407" s="2" t="s">
        <v>2508</v>
      </c>
      <c r="E1407" s="3" t="s">
        <v>553</v>
      </c>
      <c r="F1407" s="4">
        <f>(1080/1.12)+(1080/1.12*0.12)-(1080/1.12*0.01)</f>
        <v>1070.3571428571429</v>
      </c>
      <c r="G1407" s="4" t="s">
        <v>2304</v>
      </c>
      <c r="H1407" s="22" t="s">
        <v>40</v>
      </c>
      <c r="I1407" s="22">
        <f>1080/1.12</f>
        <v>964.28571428571422</v>
      </c>
      <c r="J1407" s="22"/>
      <c r="K1407" s="22">
        <f t="shared" si="18"/>
        <v>964.28571428571422</v>
      </c>
      <c r="L1407" s="32"/>
      <c r="M1407" s="6" t="s">
        <v>581</v>
      </c>
      <c r="N1407" s="1" t="s">
        <v>2509</v>
      </c>
    </row>
    <row r="1408" spans="1:19" x14ac:dyDescent="0.25">
      <c r="A1408" s="10">
        <v>46107</v>
      </c>
      <c r="B1408" s="2" t="s">
        <v>2506</v>
      </c>
      <c r="C1408" s="2" t="s">
        <v>2507</v>
      </c>
      <c r="D1408" s="2" t="s">
        <v>2508</v>
      </c>
      <c r="E1408" s="3" t="s">
        <v>553</v>
      </c>
      <c r="G1408" s="4" t="s">
        <v>2304</v>
      </c>
      <c r="H1408" s="22" t="s">
        <v>104</v>
      </c>
      <c r="I1408" s="22">
        <f>I1407*0.12</f>
        <v>115.71428571428571</v>
      </c>
      <c r="J1408" s="22"/>
      <c r="K1408" s="22">
        <f t="shared" si="18"/>
        <v>115.71428571428571</v>
      </c>
      <c r="L1408" s="32"/>
    </row>
    <row r="1409" spans="1:20" x14ac:dyDescent="0.25">
      <c r="A1409" s="10">
        <v>46107</v>
      </c>
      <c r="B1409" s="2" t="s">
        <v>2506</v>
      </c>
      <c r="C1409" s="2" t="s">
        <v>2507</v>
      </c>
      <c r="D1409" s="2" t="s">
        <v>2508</v>
      </c>
      <c r="E1409" s="3" t="s">
        <v>553</v>
      </c>
      <c r="G1409" s="4" t="s">
        <v>2304</v>
      </c>
      <c r="H1409" s="22" t="s">
        <v>105</v>
      </c>
      <c r="I1409" s="22"/>
      <c r="J1409" s="22">
        <f>I1407*0.01</f>
        <v>9.6428571428571423</v>
      </c>
      <c r="K1409" s="22">
        <f t="shared" si="18"/>
        <v>9.6428571428571423</v>
      </c>
      <c r="L1409" s="32"/>
    </row>
    <row r="1410" spans="1:20" x14ac:dyDescent="0.25">
      <c r="A1410" s="10">
        <v>46107</v>
      </c>
      <c r="B1410" s="2" t="s">
        <v>2506</v>
      </c>
      <c r="C1410" s="2" t="s">
        <v>2507</v>
      </c>
      <c r="D1410" s="2" t="s">
        <v>2508</v>
      </c>
      <c r="E1410" s="3" t="s">
        <v>553</v>
      </c>
      <c r="G1410" s="4" t="s">
        <v>48</v>
      </c>
      <c r="H1410" s="22" t="s">
        <v>49</v>
      </c>
      <c r="I1410" s="22"/>
      <c r="J1410" s="22">
        <f>I1407+I1408-J1409</f>
        <v>1070.3571428571429</v>
      </c>
      <c r="K1410" s="22">
        <f t="shared" si="18"/>
        <v>1070.3571428571429</v>
      </c>
      <c r="L1410" s="32"/>
    </row>
    <row r="1411" spans="1:20" ht="24" x14ac:dyDescent="0.25">
      <c r="A1411" s="10">
        <v>46107</v>
      </c>
      <c r="B1411" s="2" t="s">
        <v>2510</v>
      </c>
      <c r="C1411" s="2" t="s">
        <v>2511</v>
      </c>
      <c r="D1411" s="2" t="s">
        <v>2508</v>
      </c>
      <c r="E1411" s="3" t="s">
        <v>2512</v>
      </c>
      <c r="F1411" s="4">
        <f>(1020/1.12)+(1020/1.12*0.12)-(1020/1.12*0.01)</f>
        <v>1010.8928571428571</v>
      </c>
      <c r="G1411" s="4" t="s">
        <v>2304</v>
      </c>
      <c r="H1411" s="22"/>
      <c r="I1411" s="22"/>
      <c r="J1411" s="22"/>
      <c r="K1411" s="22">
        <f t="shared" si="18"/>
        <v>0</v>
      </c>
      <c r="L1411" s="17"/>
      <c r="M1411" s="6" t="s">
        <v>581</v>
      </c>
      <c r="N1411" s="1" t="s">
        <v>2513</v>
      </c>
    </row>
    <row r="1412" spans="1:20" ht="24" x14ac:dyDescent="0.25">
      <c r="A1412" s="10">
        <v>46111</v>
      </c>
      <c r="B1412" s="2" t="s">
        <v>2514</v>
      </c>
      <c r="C1412" s="2" t="s">
        <v>2515</v>
      </c>
      <c r="D1412" s="2" t="s">
        <v>2516</v>
      </c>
      <c r="E1412" s="3" t="s">
        <v>252</v>
      </c>
      <c r="F1412" s="4">
        <f>91284.48+20+20</f>
        <v>91324.479999999996</v>
      </c>
      <c r="G1412" s="4" t="s">
        <v>128</v>
      </c>
      <c r="H1412" s="22" t="s">
        <v>1916</v>
      </c>
      <c r="I1412" s="22">
        <v>91284.479999999996</v>
      </c>
      <c r="J1412" s="22"/>
      <c r="K1412" s="22">
        <f t="shared" si="18"/>
        <v>91284.479999999996</v>
      </c>
      <c r="L1412" s="17">
        <v>91324.479999999996</v>
      </c>
      <c r="M1412" s="23" t="s">
        <v>41</v>
      </c>
      <c r="N1412" s="1" t="s">
        <v>2517</v>
      </c>
      <c r="O1412" s="7" t="s">
        <v>2239</v>
      </c>
      <c r="P1412" s="7" t="s">
        <v>784</v>
      </c>
      <c r="R1412" s="7" t="s">
        <v>2518</v>
      </c>
      <c r="S1412" s="3" t="s">
        <v>1087</v>
      </c>
      <c r="T1412" s="3" t="s">
        <v>1088</v>
      </c>
    </row>
    <row r="1413" spans="1:20" x14ac:dyDescent="0.25">
      <c r="A1413" s="10">
        <v>46111</v>
      </c>
      <c r="B1413" s="2" t="s">
        <v>2514</v>
      </c>
      <c r="C1413" s="2" t="s">
        <v>2515</v>
      </c>
      <c r="D1413" s="2" t="s">
        <v>2516</v>
      </c>
      <c r="E1413" s="3" t="s">
        <v>252</v>
      </c>
      <c r="G1413" s="4" t="s">
        <v>128</v>
      </c>
      <c r="H1413" s="22" t="s">
        <v>47</v>
      </c>
      <c r="I1413" s="22">
        <f>20+20</f>
        <v>40</v>
      </c>
      <c r="J1413" s="22"/>
      <c r="K1413" s="22">
        <f t="shared" si="18"/>
        <v>40</v>
      </c>
      <c r="L1413" s="17"/>
      <c r="M1413" s="23"/>
    </row>
    <row r="1414" spans="1:20" x14ac:dyDescent="0.25">
      <c r="A1414" s="10">
        <v>46111</v>
      </c>
      <c r="B1414" s="2" t="s">
        <v>2514</v>
      </c>
      <c r="C1414" s="2" t="s">
        <v>2515</v>
      </c>
      <c r="D1414" s="2" t="s">
        <v>2516</v>
      </c>
      <c r="E1414" s="3" t="s">
        <v>252</v>
      </c>
      <c r="G1414" s="4" t="s">
        <v>48</v>
      </c>
      <c r="H1414" s="22" t="s">
        <v>49</v>
      </c>
      <c r="I1414" s="22"/>
      <c r="J1414" s="22">
        <f>I1412+I1413</f>
        <v>91324.479999999996</v>
      </c>
      <c r="K1414" s="22">
        <f t="shared" si="18"/>
        <v>91324.479999999996</v>
      </c>
      <c r="L1414" s="17"/>
    </row>
    <row r="1415" spans="1:20" ht="24" x14ac:dyDescent="0.25">
      <c r="A1415" s="10">
        <v>46111</v>
      </c>
      <c r="B1415" s="2" t="s">
        <v>2519</v>
      </c>
      <c r="C1415" s="2" t="s">
        <v>2520</v>
      </c>
      <c r="D1415" s="2" t="s">
        <v>2516</v>
      </c>
      <c r="E1415" s="3" t="s">
        <v>553</v>
      </c>
      <c r="F1415" s="4">
        <f>5010+10</f>
        <v>5020</v>
      </c>
      <c r="G1415" s="4" t="s">
        <v>128</v>
      </c>
      <c r="H1415" s="22" t="s">
        <v>1916</v>
      </c>
      <c r="I1415" s="22">
        <v>5010</v>
      </c>
      <c r="J1415" s="22"/>
      <c r="K1415" s="22">
        <f t="shared" si="18"/>
        <v>5010</v>
      </c>
      <c r="L1415" s="17">
        <v>5020</v>
      </c>
      <c r="M1415" s="23" t="s">
        <v>41</v>
      </c>
      <c r="N1415" s="1" t="s">
        <v>2521</v>
      </c>
      <c r="O1415" s="7" t="s">
        <v>2239</v>
      </c>
      <c r="P1415" s="7" t="s">
        <v>784</v>
      </c>
      <c r="R1415" s="7" t="s">
        <v>2518</v>
      </c>
      <c r="S1415" s="3" t="s">
        <v>1087</v>
      </c>
      <c r="T1415" s="3" t="s">
        <v>1088</v>
      </c>
    </row>
    <row r="1416" spans="1:20" x14ac:dyDescent="0.25">
      <c r="A1416" s="10">
        <v>46111</v>
      </c>
      <c r="B1416" s="2" t="s">
        <v>2519</v>
      </c>
      <c r="C1416" s="2" t="s">
        <v>2520</v>
      </c>
      <c r="D1416" s="2" t="s">
        <v>2516</v>
      </c>
      <c r="E1416" s="3" t="s">
        <v>553</v>
      </c>
      <c r="G1416" s="4" t="s">
        <v>128</v>
      </c>
      <c r="H1416" s="22" t="s">
        <v>47</v>
      </c>
      <c r="I1416" s="22">
        <v>10</v>
      </c>
      <c r="J1416" s="22"/>
      <c r="K1416" s="22">
        <f t="shared" si="18"/>
        <v>10</v>
      </c>
      <c r="L1416" s="32"/>
      <c r="M1416" s="23"/>
    </row>
    <row r="1417" spans="1:20" x14ac:dyDescent="0.25">
      <c r="A1417" s="10">
        <v>46111</v>
      </c>
      <c r="B1417" s="2" t="s">
        <v>2519</v>
      </c>
      <c r="C1417" s="2" t="s">
        <v>2520</v>
      </c>
      <c r="D1417" s="2" t="s">
        <v>2516</v>
      </c>
      <c r="E1417" s="3" t="s">
        <v>553</v>
      </c>
      <c r="G1417" s="4" t="s">
        <v>48</v>
      </c>
      <c r="H1417" s="22" t="s">
        <v>49</v>
      </c>
      <c r="I1417" s="22"/>
      <c r="J1417" s="22">
        <f>I1415+I1416</f>
        <v>5020</v>
      </c>
      <c r="K1417" s="22">
        <f t="shared" si="18"/>
        <v>5020</v>
      </c>
      <c r="L1417" s="32"/>
      <c r="M1417" s="23"/>
    </row>
    <row r="1418" spans="1:20" ht="24" x14ac:dyDescent="0.25">
      <c r="A1418" s="10">
        <v>46111</v>
      </c>
      <c r="B1418" s="2" t="s">
        <v>2522</v>
      </c>
      <c r="C1418" s="2" t="s">
        <v>2523</v>
      </c>
      <c r="D1418" s="2" t="s">
        <v>2524</v>
      </c>
      <c r="E1418" s="3" t="s">
        <v>553</v>
      </c>
      <c r="F1418" s="4">
        <f>2860+10</f>
        <v>2870</v>
      </c>
      <c r="G1418" s="4" t="s">
        <v>128</v>
      </c>
      <c r="H1418" s="22" t="s">
        <v>1916</v>
      </c>
      <c r="I1418" s="22">
        <f>2860</f>
        <v>2860</v>
      </c>
      <c r="J1418" s="22"/>
      <c r="K1418" s="22">
        <f t="shared" si="18"/>
        <v>2860</v>
      </c>
      <c r="L1418" s="17">
        <v>2870</v>
      </c>
      <c r="M1418" s="23" t="s">
        <v>41</v>
      </c>
      <c r="N1418" s="1" t="s">
        <v>2525</v>
      </c>
      <c r="O1418" s="7" t="s">
        <v>2239</v>
      </c>
      <c r="P1418" s="7" t="s">
        <v>784</v>
      </c>
      <c r="R1418" s="7" t="s">
        <v>2518</v>
      </c>
      <c r="S1418" s="3" t="s">
        <v>1087</v>
      </c>
      <c r="T1418" s="3" t="s">
        <v>1088</v>
      </c>
    </row>
    <row r="1419" spans="1:20" x14ac:dyDescent="0.25">
      <c r="A1419" s="10">
        <v>46111</v>
      </c>
      <c r="B1419" s="2" t="s">
        <v>2522</v>
      </c>
      <c r="C1419" s="2" t="s">
        <v>2523</v>
      </c>
      <c r="D1419" s="2" t="s">
        <v>2524</v>
      </c>
      <c r="E1419" s="3" t="s">
        <v>553</v>
      </c>
      <c r="G1419" s="4" t="s">
        <v>128</v>
      </c>
      <c r="H1419" s="22" t="s">
        <v>47</v>
      </c>
      <c r="I1419" s="22">
        <v>10</v>
      </c>
      <c r="J1419" s="22"/>
      <c r="K1419" s="22">
        <f t="shared" si="18"/>
        <v>10</v>
      </c>
      <c r="L1419" s="17"/>
      <c r="M1419" s="23"/>
    </row>
    <row r="1420" spans="1:20" x14ac:dyDescent="0.25">
      <c r="A1420" s="10">
        <v>46111</v>
      </c>
      <c r="B1420" s="2" t="s">
        <v>2522</v>
      </c>
      <c r="C1420" s="2" t="s">
        <v>2523</v>
      </c>
      <c r="D1420" s="2" t="s">
        <v>2524</v>
      </c>
      <c r="E1420" s="3" t="s">
        <v>553</v>
      </c>
      <c r="G1420" s="4" t="s">
        <v>48</v>
      </c>
      <c r="H1420" s="22" t="s">
        <v>49</v>
      </c>
      <c r="I1420" s="22"/>
      <c r="J1420" s="22">
        <f>I1418+I1419</f>
        <v>2870</v>
      </c>
      <c r="K1420" s="22">
        <f t="shared" si="18"/>
        <v>2870</v>
      </c>
      <c r="L1420" s="17"/>
      <c r="M1420" s="23"/>
    </row>
    <row r="1421" spans="1:20" ht="24" x14ac:dyDescent="0.25">
      <c r="A1421" s="10">
        <v>46111</v>
      </c>
      <c r="B1421" s="2" t="s">
        <v>2526</v>
      </c>
      <c r="C1421" s="2" t="s">
        <v>95</v>
      </c>
      <c r="D1421" s="2" t="s">
        <v>2527</v>
      </c>
      <c r="E1421" s="3" t="s">
        <v>76</v>
      </c>
      <c r="F1421" s="4">
        <v>9800</v>
      </c>
      <c r="G1421" s="4" t="s">
        <v>77</v>
      </c>
      <c r="H1421" s="22" t="s">
        <v>78</v>
      </c>
      <c r="I1421" s="22">
        <v>9800</v>
      </c>
      <c r="J1421" s="22"/>
      <c r="K1421" s="22">
        <f t="shared" si="18"/>
        <v>9800</v>
      </c>
      <c r="L1421" s="17"/>
      <c r="M1421" s="6" t="s">
        <v>581</v>
      </c>
      <c r="N1421" s="1" t="s">
        <v>2528</v>
      </c>
    </row>
    <row r="1422" spans="1:20" x14ac:dyDescent="0.25">
      <c r="A1422" s="10">
        <v>46111</v>
      </c>
      <c r="B1422" s="2" t="s">
        <v>2526</v>
      </c>
      <c r="C1422" s="2" t="s">
        <v>95</v>
      </c>
      <c r="D1422" s="2" t="s">
        <v>2527</v>
      </c>
      <c r="E1422" s="3" t="s">
        <v>76</v>
      </c>
      <c r="G1422" s="4" t="s">
        <v>48</v>
      </c>
      <c r="H1422" s="22" t="s">
        <v>49</v>
      </c>
      <c r="I1422" s="22"/>
      <c r="J1422" s="22">
        <f>I1421</f>
        <v>9800</v>
      </c>
      <c r="K1422" s="22">
        <f t="shared" si="18"/>
        <v>9800</v>
      </c>
      <c r="L1422" s="17"/>
    </row>
    <row r="1423" spans="1:20" ht="24" x14ac:dyDescent="0.25">
      <c r="A1423" s="10">
        <v>46111</v>
      </c>
      <c r="B1423" s="2" t="s">
        <v>2529</v>
      </c>
      <c r="C1423" s="2" t="s">
        <v>95</v>
      </c>
      <c r="D1423" s="2" t="s">
        <v>2530</v>
      </c>
      <c r="E1423" s="3" t="s">
        <v>27</v>
      </c>
      <c r="F1423" s="4">
        <v>50000</v>
      </c>
      <c r="G1423" s="4" t="s">
        <v>48</v>
      </c>
      <c r="H1423" s="22" t="s">
        <v>2531</v>
      </c>
      <c r="I1423" s="22">
        <v>50000</v>
      </c>
      <c r="J1423" s="22"/>
      <c r="K1423" s="22">
        <f t="shared" si="18"/>
        <v>50000</v>
      </c>
      <c r="L1423" s="17"/>
      <c r="M1423" s="6" t="s">
        <v>581</v>
      </c>
      <c r="N1423" s="1" t="s">
        <v>2532</v>
      </c>
    </row>
    <row r="1424" spans="1:20" x14ac:dyDescent="0.25">
      <c r="A1424" s="10">
        <v>46111</v>
      </c>
      <c r="B1424" s="2" t="s">
        <v>2529</v>
      </c>
      <c r="C1424" s="2" t="s">
        <v>95</v>
      </c>
      <c r="D1424" s="2" t="s">
        <v>2530</v>
      </c>
      <c r="E1424" s="3" t="s">
        <v>27</v>
      </c>
      <c r="G1424" s="4" t="s">
        <v>48</v>
      </c>
      <c r="H1424" s="22" t="s">
        <v>49</v>
      </c>
      <c r="I1424" s="22"/>
      <c r="J1424" s="22">
        <f>I1423</f>
        <v>50000</v>
      </c>
      <c r="K1424" s="22">
        <f t="shared" si="18"/>
        <v>50000</v>
      </c>
      <c r="L1424" s="17"/>
    </row>
    <row r="1425" spans="1:20" ht="48" x14ac:dyDescent="0.25">
      <c r="A1425" s="10">
        <v>46111</v>
      </c>
      <c r="B1425" s="2" t="s">
        <v>2533</v>
      </c>
      <c r="C1425" s="2" t="s">
        <v>95</v>
      </c>
      <c r="D1425" s="2" t="s">
        <v>2534</v>
      </c>
      <c r="E1425" s="3" t="s">
        <v>816</v>
      </c>
      <c r="F1425" s="4">
        <v>3029.67</v>
      </c>
      <c r="G1425" s="4" t="s">
        <v>739</v>
      </c>
      <c r="H1425" s="22" t="s">
        <v>817</v>
      </c>
      <c r="I1425" s="22">
        <v>3029.67</v>
      </c>
      <c r="J1425" s="22"/>
      <c r="K1425" s="22">
        <f t="shared" si="18"/>
        <v>3029.67</v>
      </c>
      <c r="L1425" s="17"/>
      <c r="M1425" s="6" t="s">
        <v>581</v>
      </c>
      <c r="N1425" s="1" t="s">
        <v>2535</v>
      </c>
    </row>
    <row r="1426" spans="1:20" x14ac:dyDescent="0.25">
      <c r="A1426" s="10">
        <v>46111</v>
      </c>
      <c r="B1426" s="2" t="s">
        <v>2533</v>
      </c>
      <c r="C1426" s="2" t="s">
        <v>95</v>
      </c>
      <c r="D1426" s="2" t="s">
        <v>2534</v>
      </c>
      <c r="E1426" s="3" t="s">
        <v>816</v>
      </c>
      <c r="G1426" s="4" t="s">
        <v>48</v>
      </c>
      <c r="H1426" s="22" t="s">
        <v>49</v>
      </c>
      <c r="I1426" s="22"/>
      <c r="J1426" s="22">
        <f>I1425</f>
        <v>3029.67</v>
      </c>
      <c r="K1426" s="22">
        <f t="shared" si="18"/>
        <v>3029.67</v>
      </c>
      <c r="L1426" s="17"/>
    </row>
    <row r="1427" spans="1:20" x14ac:dyDescent="0.25">
      <c r="A1427" s="10">
        <v>46111</v>
      </c>
      <c r="B1427" s="2" t="s">
        <v>2536</v>
      </c>
      <c r="C1427" s="2" t="s">
        <v>134</v>
      </c>
      <c r="D1427" s="2" t="s">
        <v>2537</v>
      </c>
      <c r="E1427" s="3" t="s">
        <v>903</v>
      </c>
      <c r="F1427" s="4">
        <v>20000</v>
      </c>
      <c r="G1427" s="4" t="s">
        <v>48</v>
      </c>
      <c r="H1427" s="22" t="s">
        <v>137</v>
      </c>
      <c r="I1427" s="22">
        <v>20000</v>
      </c>
      <c r="J1427" s="22"/>
      <c r="K1427" s="22">
        <f t="shared" si="18"/>
        <v>20000</v>
      </c>
      <c r="L1427" s="17"/>
      <c r="M1427" s="6" t="s">
        <v>581</v>
      </c>
      <c r="N1427" s="1" t="s">
        <v>1435</v>
      </c>
    </row>
    <row r="1428" spans="1:20" x14ac:dyDescent="0.25">
      <c r="A1428" s="10">
        <v>46111</v>
      </c>
      <c r="B1428" s="2" t="s">
        <v>2536</v>
      </c>
      <c r="C1428" s="2" t="s">
        <v>134</v>
      </c>
      <c r="D1428" s="2" t="s">
        <v>2537</v>
      </c>
      <c r="E1428" s="3" t="s">
        <v>903</v>
      </c>
      <c r="G1428" s="4" t="s">
        <v>48</v>
      </c>
      <c r="H1428" s="22" t="s">
        <v>49</v>
      </c>
      <c r="I1428" s="22"/>
      <c r="J1428" s="22">
        <f>I1427</f>
        <v>20000</v>
      </c>
      <c r="K1428" s="22">
        <f t="shared" si="18"/>
        <v>20000</v>
      </c>
      <c r="L1428" s="17"/>
    </row>
    <row r="1429" spans="1:20" ht="24" x14ac:dyDescent="0.25">
      <c r="A1429" s="10">
        <v>46111</v>
      </c>
      <c r="B1429" s="2" t="s">
        <v>2538</v>
      </c>
      <c r="C1429" s="2" t="s">
        <v>95</v>
      </c>
      <c r="D1429" s="2" t="s">
        <v>2539</v>
      </c>
      <c r="E1429" s="3" t="s">
        <v>955</v>
      </c>
      <c r="F1429" s="4">
        <v>3500</v>
      </c>
      <c r="G1429" s="4" t="s">
        <v>128</v>
      </c>
      <c r="H1429" s="22" t="s">
        <v>78</v>
      </c>
      <c r="I1429" s="22">
        <v>3500</v>
      </c>
      <c r="J1429" s="22"/>
      <c r="K1429" s="22">
        <f t="shared" si="18"/>
        <v>3500</v>
      </c>
      <c r="L1429" s="17">
        <v>3500</v>
      </c>
      <c r="M1429" s="23" t="s">
        <v>41</v>
      </c>
      <c r="N1429" s="1" t="s">
        <v>2540</v>
      </c>
      <c r="O1429" s="24" t="s">
        <v>2230</v>
      </c>
    </row>
    <row r="1430" spans="1:20" x14ac:dyDescent="0.25">
      <c r="A1430" s="10">
        <v>46111</v>
      </c>
      <c r="B1430" s="2" t="s">
        <v>2538</v>
      </c>
      <c r="C1430" s="2" t="s">
        <v>95</v>
      </c>
      <c r="D1430" s="2" t="s">
        <v>2539</v>
      </c>
      <c r="E1430" s="3" t="s">
        <v>955</v>
      </c>
      <c r="G1430" s="4" t="s">
        <v>48</v>
      </c>
      <c r="H1430" s="22" t="s">
        <v>49</v>
      </c>
      <c r="I1430" s="22"/>
      <c r="J1430" s="22">
        <f>I1429</f>
        <v>3500</v>
      </c>
      <c r="K1430" s="22">
        <f t="shared" si="18"/>
        <v>3500</v>
      </c>
      <c r="L1430" s="17"/>
    </row>
    <row r="1431" spans="1:20" ht="24" x14ac:dyDescent="0.25">
      <c r="A1431" s="10">
        <v>46111</v>
      </c>
      <c r="B1431" s="2" t="s">
        <v>2541</v>
      </c>
      <c r="C1431" s="2" t="s">
        <v>95</v>
      </c>
      <c r="D1431" s="2" t="s">
        <v>2542</v>
      </c>
      <c r="E1431" s="3" t="s">
        <v>955</v>
      </c>
      <c r="F1431" s="4">
        <v>58765</v>
      </c>
      <c r="G1431" s="4" t="s">
        <v>48</v>
      </c>
      <c r="H1431" s="22" t="s">
        <v>2543</v>
      </c>
      <c r="I1431" s="22">
        <v>58765</v>
      </c>
      <c r="J1431" s="22"/>
      <c r="K1431" s="22">
        <f t="shared" si="18"/>
        <v>58765</v>
      </c>
      <c r="L1431" s="17"/>
      <c r="M1431" s="6" t="s">
        <v>581</v>
      </c>
      <c r="N1431" s="1" t="s">
        <v>2544</v>
      </c>
    </row>
    <row r="1432" spans="1:20" x14ac:dyDescent="0.25">
      <c r="A1432" s="10">
        <v>46111</v>
      </c>
      <c r="B1432" s="2" t="s">
        <v>2541</v>
      </c>
      <c r="C1432" s="2" t="s">
        <v>95</v>
      </c>
      <c r="D1432" s="2" t="s">
        <v>2542</v>
      </c>
      <c r="E1432" s="3" t="s">
        <v>955</v>
      </c>
      <c r="G1432" s="4" t="s">
        <v>48</v>
      </c>
      <c r="H1432" s="22" t="s">
        <v>49</v>
      </c>
      <c r="I1432" s="22"/>
      <c r="J1432" s="22">
        <f>I1431</f>
        <v>58765</v>
      </c>
      <c r="K1432" s="22">
        <f t="shared" si="18"/>
        <v>58765</v>
      </c>
      <c r="L1432" s="17"/>
    </row>
    <row r="1433" spans="1:20" ht="24" x14ac:dyDescent="0.25">
      <c r="A1433" s="10">
        <v>46111</v>
      </c>
      <c r="B1433" s="2" t="s">
        <v>2545</v>
      </c>
      <c r="C1433" s="2" t="s">
        <v>2546</v>
      </c>
      <c r="D1433" s="2" t="s">
        <v>2547</v>
      </c>
      <c r="E1433" s="3" t="s">
        <v>307</v>
      </c>
      <c r="F1433" s="4">
        <f>(7365/1.12)+(7365/1.12*0.12)-(7365/1.12*0.01)</f>
        <v>7299.2410714285716</v>
      </c>
      <c r="G1433" s="4" t="s">
        <v>801</v>
      </c>
      <c r="H1433" s="22" t="s">
        <v>40</v>
      </c>
      <c r="I1433" s="22">
        <f>7365/1.12</f>
        <v>6575.8928571428569</v>
      </c>
      <c r="J1433" s="22"/>
      <c r="K1433" s="22">
        <f t="shared" si="18"/>
        <v>6575.8928571428569</v>
      </c>
      <c r="L1433" s="17">
        <v>7299.24</v>
      </c>
      <c r="M1433" s="23" t="s">
        <v>41</v>
      </c>
      <c r="N1433" s="1" t="s">
        <v>2548</v>
      </c>
      <c r="O1433" s="7" t="s">
        <v>116</v>
      </c>
      <c r="P1433" s="7" t="s">
        <v>81</v>
      </c>
      <c r="R1433" s="7" t="s">
        <v>2212</v>
      </c>
      <c r="S1433" s="3" t="s">
        <v>83</v>
      </c>
      <c r="T1433" s="3" t="s">
        <v>2213</v>
      </c>
    </row>
    <row r="1434" spans="1:20" x14ac:dyDescent="0.25">
      <c r="A1434" s="10">
        <v>46111</v>
      </c>
      <c r="B1434" s="2" t="s">
        <v>2545</v>
      </c>
      <c r="C1434" s="2" t="s">
        <v>2546</v>
      </c>
      <c r="D1434" s="2" t="s">
        <v>2547</v>
      </c>
      <c r="E1434" s="3" t="s">
        <v>307</v>
      </c>
      <c r="G1434" s="4" t="s">
        <v>801</v>
      </c>
      <c r="H1434" s="22" t="s">
        <v>104</v>
      </c>
      <c r="I1434" s="22">
        <f>I1433*0.12</f>
        <v>789.10714285714278</v>
      </c>
      <c r="J1434" s="22"/>
      <c r="K1434" s="22">
        <f t="shared" si="18"/>
        <v>789.10714285714278</v>
      </c>
      <c r="L1434" s="17"/>
    </row>
    <row r="1435" spans="1:20" x14ac:dyDescent="0.25">
      <c r="A1435" s="10">
        <v>46111</v>
      </c>
      <c r="B1435" s="2" t="s">
        <v>2545</v>
      </c>
      <c r="C1435" s="2" t="s">
        <v>2546</v>
      </c>
      <c r="D1435" s="2" t="s">
        <v>2547</v>
      </c>
      <c r="E1435" s="3" t="s">
        <v>307</v>
      </c>
      <c r="G1435" s="4" t="s">
        <v>801</v>
      </c>
      <c r="H1435" s="22" t="s">
        <v>105</v>
      </c>
      <c r="I1435" s="22"/>
      <c r="J1435" s="22">
        <f>I1433*0.01</f>
        <v>65.758928571428569</v>
      </c>
      <c r="K1435" s="22">
        <f t="shared" si="18"/>
        <v>65.758928571428569</v>
      </c>
      <c r="L1435" s="17"/>
    </row>
    <row r="1436" spans="1:20" x14ac:dyDescent="0.25">
      <c r="A1436" s="10">
        <v>46111</v>
      </c>
      <c r="B1436" s="2" t="s">
        <v>2545</v>
      </c>
      <c r="C1436" s="2" t="s">
        <v>2546</v>
      </c>
      <c r="D1436" s="2" t="s">
        <v>2547</v>
      </c>
      <c r="E1436" s="3" t="s">
        <v>307</v>
      </c>
      <c r="G1436" s="4" t="s">
        <v>48</v>
      </c>
      <c r="H1436" s="22" t="s">
        <v>49</v>
      </c>
      <c r="I1436" s="22"/>
      <c r="J1436" s="22">
        <f>I1433+I1434-J1435</f>
        <v>7299.2410714285716</v>
      </c>
      <c r="K1436" s="22">
        <f t="shared" si="18"/>
        <v>7299.2410714285716</v>
      </c>
      <c r="L1436" s="17"/>
    </row>
    <row r="1437" spans="1:20" ht="24" x14ac:dyDescent="0.25">
      <c r="A1437" s="10">
        <v>46111</v>
      </c>
      <c r="B1437" s="2" t="s">
        <v>2549</v>
      </c>
      <c r="C1437" s="2" t="s">
        <v>2550</v>
      </c>
      <c r="D1437" s="2" t="s">
        <v>2551</v>
      </c>
      <c r="E1437" s="3" t="s">
        <v>553</v>
      </c>
      <c r="F1437" s="4">
        <f>(1400/1.12)+(1400/1.12*0.12)-(1400/1.12*0.01)</f>
        <v>1387.4999999999998</v>
      </c>
      <c r="G1437" s="4" t="s">
        <v>801</v>
      </c>
      <c r="H1437" s="22"/>
      <c r="I1437" s="22"/>
      <c r="J1437" s="22"/>
      <c r="K1437" s="22">
        <f t="shared" si="18"/>
        <v>0</v>
      </c>
      <c r="L1437" s="17"/>
      <c r="M1437" s="6" t="s">
        <v>581</v>
      </c>
      <c r="N1437" s="1" t="s">
        <v>2552</v>
      </c>
    </row>
    <row r="1438" spans="1:20" ht="24" x14ac:dyDescent="0.25">
      <c r="A1438" s="10">
        <v>46111</v>
      </c>
      <c r="B1438" s="2" t="s">
        <v>2553</v>
      </c>
      <c r="C1438" s="2" t="s">
        <v>2554</v>
      </c>
      <c r="D1438" s="2" t="s">
        <v>2555</v>
      </c>
      <c r="E1438" s="3" t="s">
        <v>455</v>
      </c>
      <c r="F1438" s="4">
        <f>(600/1.12)+(600/1.12*0.12)-(600/1.12*0.01)</f>
        <v>594.64285714285711</v>
      </c>
      <c r="G1438" s="4" t="s">
        <v>801</v>
      </c>
      <c r="H1438" s="22"/>
      <c r="I1438" s="22"/>
      <c r="J1438" s="22"/>
      <c r="K1438" s="22">
        <f t="shared" si="18"/>
        <v>0</v>
      </c>
      <c r="L1438" s="17"/>
      <c r="M1438" s="6" t="s">
        <v>581</v>
      </c>
      <c r="N1438" s="1" t="s">
        <v>2556</v>
      </c>
    </row>
    <row r="1439" spans="1:20" ht="24" x14ac:dyDescent="0.25">
      <c r="A1439" s="10">
        <v>46111</v>
      </c>
      <c r="B1439" s="2" t="s">
        <v>2557</v>
      </c>
      <c r="C1439" s="2" t="s">
        <v>259</v>
      </c>
      <c r="D1439" s="2" t="s">
        <v>2558</v>
      </c>
      <c r="E1439" s="3" t="s">
        <v>498</v>
      </c>
      <c r="F1439" s="4">
        <v>164994.69</v>
      </c>
      <c r="G1439" s="4" t="s">
        <v>48</v>
      </c>
      <c r="H1439" s="22"/>
      <c r="I1439" s="22"/>
      <c r="J1439" s="22"/>
      <c r="K1439" s="22">
        <f t="shared" si="18"/>
        <v>0</v>
      </c>
      <c r="L1439" s="17"/>
      <c r="M1439" s="23" t="s">
        <v>41</v>
      </c>
      <c r="N1439" s="1" t="s">
        <v>2559</v>
      </c>
    </row>
    <row r="1440" spans="1:20" ht="24" x14ac:dyDescent="0.25">
      <c r="A1440" s="10">
        <v>46111</v>
      </c>
      <c r="B1440" s="2" t="s">
        <v>2560</v>
      </c>
      <c r="C1440" s="2" t="s">
        <v>259</v>
      </c>
      <c r="D1440" s="2" t="s">
        <v>2558</v>
      </c>
      <c r="E1440" s="3" t="s">
        <v>498</v>
      </c>
      <c r="F1440" s="4">
        <v>211911.39</v>
      </c>
      <c r="G1440" s="4" t="s">
        <v>326</v>
      </c>
      <c r="H1440" s="22"/>
      <c r="I1440" s="22"/>
      <c r="J1440" s="22"/>
      <c r="K1440" s="22">
        <f t="shared" si="18"/>
        <v>0</v>
      </c>
      <c r="L1440" s="17"/>
      <c r="M1440" s="23" t="s">
        <v>41</v>
      </c>
      <c r="N1440" s="1" t="s">
        <v>2561</v>
      </c>
    </row>
    <row r="1441" spans="1:20" x14ac:dyDescent="0.25">
      <c r="A1441" s="10">
        <v>46111</v>
      </c>
      <c r="B1441" s="2" t="s">
        <v>2562</v>
      </c>
      <c r="C1441" s="2" t="s">
        <v>259</v>
      </c>
      <c r="D1441" s="2" t="s">
        <v>2558</v>
      </c>
      <c r="E1441" s="3" t="s">
        <v>2563</v>
      </c>
      <c r="F1441" s="4">
        <v>168085.94</v>
      </c>
      <c r="G1441" s="4" t="s">
        <v>488</v>
      </c>
      <c r="H1441" s="22"/>
      <c r="I1441" s="22"/>
      <c r="J1441" s="22"/>
      <c r="K1441" s="22">
        <f t="shared" si="18"/>
        <v>0</v>
      </c>
      <c r="L1441" s="17">
        <v>168085.94</v>
      </c>
      <c r="M1441" s="23" t="s">
        <v>41</v>
      </c>
      <c r="N1441" s="1" t="s">
        <v>2564</v>
      </c>
    </row>
    <row r="1442" spans="1:20" x14ac:dyDescent="0.25">
      <c r="A1442" s="10">
        <v>46111</v>
      </c>
      <c r="B1442" s="2" t="s">
        <v>2565</v>
      </c>
      <c r="C1442" s="2" t="s">
        <v>259</v>
      </c>
      <c r="D1442" s="2" t="s">
        <v>2558</v>
      </c>
      <c r="E1442" s="3" t="s">
        <v>2563</v>
      </c>
      <c r="F1442" s="4">
        <v>82500.94</v>
      </c>
      <c r="G1442" s="4" t="s">
        <v>128</v>
      </c>
      <c r="H1442" s="22"/>
      <c r="I1442" s="22"/>
      <c r="J1442" s="22"/>
      <c r="K1442" s="22">
        <f t="shared" si="18"/>
        <v>0</v>
      </c>
      <c r="L1442" s="17">
        <v>82500</v>
      </c>
      <c r="M1442" s="23" t="s">
        <v>41</v>
      </c>
      <c r="N1442" s="1" t="s">
        <v>2566</v>
      </c>
      <c r="O1442" s="7" t="s">
        <v>2031</v>
      </c>
      <c r="R1442" s="7" t="s">
        <v>1757</v>
      </c>
      <c r="S1442" s="3" t="s">
        <v>1087</v>
      </c>
      <c r="T1442" s="3" t="s">
        <v>1088</v>
      </c>
    </row>
    <row r="1443" spans="1:20" x14ac:dyDescent="0.25">
      <c r="A1443" s="10">
        <v>46111</v>
      </c>
      <c r="B1443" s="2" t="s">
        <v>2567</v>
      </c>
      <c r="C1443" s="2" t="s">
        <v>259</v>
      </c>
      <c r="D1443" s="2" t="s">
        <v>2558</v>
      </c>
      <c r="E1443" s="3" t="s">
        <v>2563</v>
      </c>
      <c r="F1443" s="4">
        <v>215731</v>
      </c>
      <c r="G1443" s="4" t="s">
        <v>326</v>
      </c>
      <c r="H1443" s="22"/>
      <c r="I1443" s="22"/>
      <c r="J1443" s="22"/>
      <c r="K1443" s="22">
        <f t="shared" si="18"/>
        <v>0</v>
      </c>
      <c r="L1443" s="17">
        <v>215731</v>
      </c>
      <c r="M1443" s="23" t="s">
        <v>41</v>
      </c>
      <c r="N1443" s="1" t="s">
        <v>2568</v>
      </c>
    </row>
    <row r="1444" spans="1:20" x14ac:dyDescent="0.25">
      <c r="A1444" s="10">
        <v>46111</v>
      </c>
      <c r="B1444" s="2" t="s">
        <v>2569</v>
      </c>
      <c r="C1444" s="2" t="s">
        <v>506</v>
      </c>
      <c r="D1444" s="2" t="s">
        <v>2570</v>
      </c>
      <c r="E1444" s="3" t="s">
        <v>398</v>
      </c>
      <c r="F1444" s="4">
        <v>50000</v>
      </c>
      <c r="G1444" s="3" t="s">
        <v>262</v>
      </c>
      <c r="H1444" s="34" t="s">
        <v>168</v>
      </c>
      <c r="I1444" s="22">
        <v>50000</v>
      </c>
      <c r="J1444" s="34"/>
      <c r="K1444" s="22">
        <f t="shared" si="18"/>
        <v>50000</v>
      </c>
      <c r="L1444" s="32"/>
      <c r="M1444" s="23" t="s">
        <v>41</v>
      </c>
      <c r="N1444" s="1" t="s">
        <v>2571</v>
      </c>
    </row>
    <row r="1445" spans="1:20" x14ac:dyDescent="0.25">
      <c r="A1445" s="10">
        <v>46111</v>
      </c>
      <c r="B1445" s="2" t="s">
        <v>2569</v>
      </c>
      <c r="C1445" s="2" t="s">
        <v>506</v>
      </c>
      <c r="D1445" s="2" t="s">
        <v>2570</v>
      </c>
      <c r="E1445" s="3" t="s">
        <v>398</v>
      </c>
      <c r="G1445" s="4" t="s">
        <v>48</v>
      </c>
      <c r="H1445" s="22" t="s">
        <v>49</v>
      </c>
      <c r="I1445" s="34"/>
      <c r="J1445" s="35">
        <f>I1444</f>
        <v>50000</v>
      </c>
      <c r="K1445" s="22">
        <f t="shared" si="18"/>
        <v>50000</v>
      </c>
      <c r="L1445" s="32"/>
      <c r="M1445" s="23"/>
    </row>
    <row r="1446" spans="1:20" ht="24" x14ac:dyDescent="0.25">
      <c r="A1446" s="10">
        <v>46111</v>
      </c>
      <c r="B1446" s="2" t="s">
        <v>2572</v>
      </c>
      <c r="C1446" s="2" t="s">
        <v>376</v>
      </c>
      <c r="D1446" s="31" t="s">
        <v>2166</v>
      </c>
      <c r="E1446" s="3" t="s">
        <v>1103</v>
      </c>
      <c r="F1446" s="4">
        <v>43555</v>
      </c>
      <c r="G1446" s="4" t="s">
        <v>48</v>
      </c>
      <c r="H1446" s="22" t="s">
        <v>379</v>
      </c>
      <c r="I1446" s="22">
        <v>43555</v>
      </c>
      <c r="J1446" s="22"/>
      <c r="K1446" s="22">
        <f t="shared" si="18"/>
        <v>43555</v>
      </c>
      <c r="L1446" s="17"/>
      <c r="M1446" s="23" t="s">
        <v>41</v>
      </c>
      <c r="N1446" s="1" t="s">
        <v>2573</v>
      </c>
    </row>
    <row r="1447" spans="1:20" x14ac:dyDescent="0.25">
      <c r="A1447" s="10">
        <v>46111</v>
      </c>
      <c r="B1447" s="2" t="s">
        <v>2572</v>
      </c>
      <c r="C1447" s="2" t="s">
        <v>376</v>
      </c>
      <c r="D1447" s="31" t="s">
        <v>2166</v>
      </c>
      <c r="E1447" s="3" t="s">
        <v>1103</v>
      </c>
      <c r="G1447" s="4" t="s">
        <v>48</v>
      </c>
      <c r="H1447" s="22" t="s">
        <v>49</v>
      </c>
      <c r="I1447" s="22"/>
      <c r="J1447" s="22">
        <f>I1446</f>
        <v>43555</v>
      </c>
      <c r="K1447" s="22">
        <f t="shared" si="18"/>
        <v>43555</v>
      </c>
      <c r="L1447" s="17"/>
    </row>
    <row r="1448" spans="1:20" ht="24" x14ac:dyDescent="0.25">
      <c r="A1448" s="10">
        <v>46111</v>
      </c>
      <c r="B1448" s="2" t="s">
        <v>2574</v>
      </c>
      <c r="C1448" s="2" t="s">
        <v>376</v>
      </c>
      <c r="D1448" s="31" t="s">
        <v>2166</v>
      </c>
      <c r="E1448" s="3" t="s">
        <v>1881</v>
      </c>
      <c r="F1448" s="4">
        <v>30000</v>
      </c>
      <c r="G1448" s="4" t="s">
        <v>1882</v>
      </c>
      <c r="H1448" s="22" t="s">
        <v>379</v>
      </c>
      <c r="I1448" s="22">
        <v>30000</v>
      </c>
      <c r="J1448" s="22"/>
      <c r="K1448" s="22">
        <f t="shared" si="18"/>
        <v>30000</v>
      </c>
      <c r="L1448" s="17"/>
      <c r="M1448" s="23" t="s">
        <v>41</v>
      </c>
      <c r="N1448" s="1" t="s">
        <v>2575</v>
      </c>
    </row>
    <row r="1449" spans="1:20" x14ac:dyDescent="0.25">
      <c r="A1449" s="10">
        <v>46111</v>
      </c>
      <c r="B1449" s="2" t="s">
        <v>2574</v>
      </c>
      <c r="C1449" s="2" t="s">
        <v>376</v>
      </c>
      <c r="D1449" s="31" t="s">
        <v>2166</v>
      </c>
      <c r="E1449" s="3" t="s">
        <v>1881</v>
      </c>
      <c r="G1449" s="4" t="s">
        <v>48</v>
      </c>
      <c r="H1449" s="22" t="s">
        <v>49</v>
      </c>
      <c r="I1449" s="22"/>
      <c r="J1449" s="22">
        <f>I1448</f>
        <v>30000</v>
      </c>
      <c r="K1449" s="22">
        <f t="shared" si="18"/>
        <v>30000</v>
      </c>
      <c r="L1449" s="17"/>
    </row>
    <row r="1450" spans="1:20" ht="24" x14ac:dyDescent="0.25">
      <c r="A1450" s="10">
        <v>46111</v>
      </c>
      <c r="B1450" s="2" t="s">
        <v>2576</v>
      </c>
      <c r="C1450" s="2" t="s">
        <v>376</v>
      </c>
      <c r="D1450" s="31" t="s">
        <v>2166</v>
      </c>
      <c r="E1450" s="3" t="s">
        <v>2577</v>
      </c>
      <c r="F1450" s="4">
        <v>30000</v>
      </c>
      <c r="G1450" s="4" t="s">
        <v>1882</v>
      </c>
      <c r="H1450" s="22" t="s">
        <v>379</v>
      </c>
      <c r="I1450" s="22">
        <v>30000</v>
      </c>
      <c r="J1450" s="22"/>
      <c r="K1450" s="22">
        <f t="shared" si="18"/>
        <v>30000</v>
      </c>
      <c r="L1450" s="32"/>
      <c r="M1450" s="23" t="s">
        <v>41</v>
      </c>
      <c r="N1450" s="1" t="s">
        <v>2578</v>
      </c>
    </row>
    <row r="1451" spans="1:20" x14ac:dyDescent="0.25">
      <c r="A1451" s="10">
        <v>46111</v>
      </c>
      <c r="B1451" s="2" t="s">
        <v>2576</v>
      </c>
      <c r="C1451" s="2" t="s">
        <v>376</v>
      </c>
      <c r="D1451" s="31" t="s">
        <v>2166</v>
      </c>
      <c r="E1451" s="3" t="s">
        <v>2577</v>
      </c>
      <c r="G1451" s="4" t="s">
        <v>48</v>
      </c>
      <c r="H1451" s="22" t="s">
        <v>49</v>
      </c>
      <c r="I1451" s="22"/>
      <c r="J1451" s="22">
        <f>I1450</f>
        <v>30000</v>
      </c>
      <c r="K1451" s="22">
        <f t="shared" si="18"/>
        <v>30000</v>
      </c>
      <c r="L1451" s="32"/>
    </row>
    <row r="1452" spans="1:20" ht="24" x14ac:dyDescent="0.25">
      <c r="A1452" s="10">
        <v>46111</v>
      </c>
      <c r="B1452" s="2" t="s">
        <v>2579</v>
      </c>
      <c r="C1452" s="2" t="s">
        <v>376</v>
      </c>
      <c r="D1452" s="2" t="s">
        <v>2580</v>
      </c>
      <c r="E1452" s="3" t="s">
        <v>2581</v>
      </c>
      <c r="F1452" s="4">
        <v>25000</v>
      </c>
      <c r="G1452" s="4" t="s">
        <v>48</v>
      </c>
      <c r="H1452" s="22" t="s">
        <v>379</v>
      </c>
      <c r="I1452" s="22">
        <v>25000</v>
      </c>
      <c r="J1452" s="22"/>
      <c r="K1452" s="22">
        <f t="shared" si="18"/>
        <v>25000</v>
      </c>
      <c r="L1452" s="17"/>
      <c r="M1452" s="6" t="s">
        <v>581</v>
      </c>
      <c r="N1452" s="1" t="s">
        <v>2582</v>
      </c>
    </row>
    <row r="1453" spans="1:20" x14ac:dyDescent="0.25">
      <c r="A1453" s="10">
        <v>46111</v>
      </c>
      <c r="B1453" s="2" t="s">
        <v>2579</v>
      </c>
      <c r="C1453" s="2" t="s">
        <v>376</v>
      </c>
      <c r="D1453" s="2" t="s">
        <v>2580</v>
      </c>
      <c r="E1453" s="3" t="s">
        <v>2581</v>
      </c>
      <c r="G1453" s="4" t="s">
        <v>48</v>
      </c>
      <c r="H1453" s="22" t="s">
        <v>49</v>
      </c>
      <c r="I1453" s="22"/>
      <c r="J1453" s="22">
        <f>I1452</f>
        <v>25000</v>
      </c>
      <c r="K1453" s="22">
        <f t="shared" si="18"/>
        <v>25000</v>
      </c>
      <c r="L1453" s="17"/>
    </row>
    <row r="1454" spans="1:20" ht="24" x14ac:dyDescent="0.25">
      <c r="A1454" s="10">
        <v>46111</v>
      </c>
      <c r="B1454" s="2" t="s">
        <v>2583</v>
      </c>
      <c r="C1454" s="2" t="s">
        <v>827</v>
      </c>
      <c r="D1454" s="31" t="s">
        <v>2166</v>
      </c>
      <c r="E1454" s="3" t="s">
        <v>692</v>
      </c>
      <c r="F1454" s="4">
        <v>4058.73</v>
      </c>
      <c r="G1454" s="4" t="s">
        <v>128</v>
      </c>
      <c r="H1454" s="22" t="s">
        <v>828</v>
      </c>
      <c r="I1454" s="22">
        <v>4058.73</v>
      </c>
      <c r="J1454" s="22"/>
      <c r="K1454" s="22">
        <f t="shared" si="18"/>
        <v>4058.73</v>
      </c>
      <c r="L1454" s="17"/>
      <c r="M1454" s="23" t="s">
        <v>41</v>
      </c>
      <c r="N1454" s="1" t="s">
        <v>2584</v>
      </c>
    </row>
    <row r="1455" spans="1:20" x14ac:dyDescent="0.25">
      <c r="A1455" s="10">
        <v>46111</v>
      </c>
      <c r="B1455" s="2" t="s">
        <v>2583</v>
      </c>
      <c r="C1455" s="2" t="s">
        <v>827</v>
      </c>
      <c r="D1455" s="31" t="s">
        <v>2166</v>
      </c>
      <c r="E1455" s="3" t="s">
        <v>692</v>
      </c>
      <c r="G1455" s="4" t="s">
        <v>48</v>
      </c>
      <c r="H1455" s="22" t="s">
        <v>49</v>
      </c>
      <c r="I1455" s="22"/>
      <c r="J1455" s="22">
        <f>I1454</f>
        <v>4058.73</v>
      </c>
      <c r="K1455" s="22">
        <f t="shared" si="18"/>
        <v>4058.73</v>
      </c>
      <c r="L1455" s="17"/>
    </row>
    <row r="1456" spans="1:20" ht="25.8" customHeight="1" x14ac:dyDescent="0.25">
      <c r="A1456" s="10">
        <v>46111</v>
      </c>
      <c r="B1456" s="2" t="s">
        <v>2585</v>
      </c>
      <c r="C1456" s="2" t="s">
        <v>1290</v>
      </c>
      <c r="D1456" s="2" t="s">
        <v>2586</v>
      </c>
      <c r="E1456" s="3" t="s">
        <v>692</v>
      </c>
      <c r="F1456" s="4">
        <v>3802.79</v>
      </c>
      <c r="G1456" s="4" t="s">
        <v>265</v>
      </c>
      <c r="H1456" s="22" t="s">
        <v>828</v>
      </c>
      <c r="I1456" s="22">
        <v>3802.79</v>
      </c>
      <c r="J1456" s="22"/>
      <c r="K1456" s="22">
        <f t="shared" si="18"/>
        <v>3802.79</v>
      </c>
      <c r="L1456" s="32"/>
      <c r="M1456" s="6" t="s">
        <v>581</v>
      </c>
      <c r="N1456" s="1" t="s">
        <v>2587</v>
      </c>
    </row>
    <row r="1457" spans="1:20" x14ac:dyDescent="0.25">
      <c r="A1457" s="10">
        <v>46111</v>
      </c>
      <c r="B1457" s="2" t="s">
        <v>2585</v>
      </c>
      <c r="C1457" s="2" t="s">
        <v>1290</v>
      </c>
      <c r="D1457" s="2" t="s">
        <v>2586</v>
      </c>
      <c r="E1457" s="3" t="s">
        <v>692</v>
      </c>
      <c r="G1457" s="4" t="s">
        <v>48</v>
      </c>
      <c r="H1457" s="22" t="s">
        <v>49</v>
      </c>
      <c r="I1457" s="22"/>
      <c r="J1457" s="22">
        <f>I1456</f>
        <v>3802.79</v>
      </c>
      <c r="K1457" s="22">
        <f t="shared" si="18"/>
        <v>3802.79</v>
      </c>
      <c r="L1457" s="17"/>
    </row>
    <row r="1458" spans="1:20" ht="24" x14ac:dyDescent="0.25">
      <c r="A1458" s="10">
        <v>46111</v>
      </c>
      <c r="B1458" s="2" t="s">
        <v>2588</v>
      </c>
      <c r="E1458" s="3" t="s">
        <v>27</v>
      </c>
      <c r="F1458" s="4">
        <v>164000</v>
      </c>
      <c r="G1458" s="4" t="s">
        <v>48</v>
      </c>
      <c r="H1458" s="22" t="s">
        <v>363</v>
      </c>
      <c r="I1458" s="22">
        <v>164000</v>
      </c>
      <c r="J1458" s="22"/>
      <c r="K1458" s="22">
        <f t="shared" si="18"/>
        <v>164000</v>
      </c>
      <c r="L1458" s="17">
        <v>164000</v>
      </c>
      <c r="M1458" s="23" t="s">
        <v>41</v>
      </c>
      <c r="N1458" s="1" t="s">
        <v>2589</v>
      </c>
    </row>
    <row r="1459" spans="1:20" x14ac:dyDescent="0.25">
      <c r="A1459" s="10">
        <v>46111</v>
      </c>
      <c r="B1459" s="2" t="s">
        <v>2588</v>
      </c>
      <c r="E1459" s="3" t="s">
        <v>27</v>
      </c>
      <c r="G1459" s="4" t="s">
        <v>48</v>
      </c>
      <c r="H1459" s="22" t="s">
        <v>81</v>
      </c>
      <c r="I1459" s="22"/>
      <c r="J1459" s="22">
        <f>I1458</f>
        <v>164000</v>
      </c>
      <c r="K1459" s="22">
        <f t="shared" si="18"/>
        <v>164000</v>
      </c>
      <c r="L1459" s="17"/>
      <c r="M1459" s="23"/>
    </row>
    <row r="1460" spans="1:20" ht="24" x14ac:dyDescent="0.25">
      <c r="A1460" s="10">
        <v>46111</v>
      </c>
      <c r="B1460" s="2" t="s">
        <v>2590</v>
      </c>
      <c r="E1460" s="3" t="s">
        <v>27</v>
      </c>
      <c r="F1460" s="36">
        <v>908000</v>
      </c>
      <c r="G1460" s="4" t="s">
        <v>48</v>
      </c>
      <c r="H1460" s="22" t="s">
        <v>2591</v>
      </c>
      <c r="I1460" s="22">
        <v>164000</v>
      </c>
      <c r="J1460" s="22"/>
      <c r="K1460" s="22">
        <f t="shared" si="18"/>
        <v>164000</v>
      </c>
      <c r="L1460" s="38">
        <v>908000</v>
      </c>
      <c r="M1460" s="23" t="s">
        <v>41</v>
      </c>
      <c r="N1460" s="1" t="s">
        <v>2592</v>
      </c>
    </row>
    <row r="1461" spans="1:20" x14ac:dyDescent="0.25">
      <c r="A1461" s="10">
        <v>46111</v>
      </c>
      <c r="B1461" s="2" t="s">
        <v>2590</v>
      </c>
      <c r="E1461" s="3" t="s">
        <v>27</v>
      </c>
      <c r="F1461" s="36"/>
      <c r="G1461" s="4" t="s">
        <v>48</v>
      </c>
      <c r="H1461" s="22" t="s">
        <v>81</v>
      </c>
      <c r="I1461" s="22"/>
      <c r="J1461" s="22">
        <f>I1460</f>
        <v>164000</v>
      </c>
      <c r="K1461" s="22">
        <f t="shared" si="18"/>
        <v>164000</v>
      </c>
      <c r="L1461" s="38"/>
      <c r="M1461" s="23"/>
    </row>
    <row r="1462" spans="1:20" ht="24" x14ac:dyDescent="0.25">
      <c r="A1462" s="10">
        <v>46111</v>
      </c>
      <c r="B1462" s="2" t="s">
        <v>2593</v>
      </c>
      <c r="C1462" s="2" t="s">
        <v>141</v>
      </c>
      <c r="E1462" s="3" t="s">
        <v>27</v>
      </c>
      <c r="F1462" s="4">
        <v>2300000</v>
      </c>
      <c r="G1462" s="4" t="s">
        <v>48</v>
      </c>
      <c r="H1462" s="22" t="s">
        <v>81</v>
      </c>
      <c r="I1462" s="22">
        <v>2300000</v>
      </c>
      <c r="J1462" s="22"/>
      <c r="K1462" s="22">
        <f t="shared" si="18"/>
        <v>2300000</v>
      </c>
      <c r="L1462" s="17">
        <v>2300000</v>
      </c>
      <c r="M1462" s="23" t="s">
        <v>41</v>
      </c>
      <c r="N1462" s="1" t="s">
        <v>2594</v>
      </c>
      <c r="O1462" s="7" t="s">
        <v>635</v>
      </c>
      <c r="P1462" s="7" t="s">
        <v>32</v>
      </c>
      <c r="Q1462" s="25" t="s">
        <v>2595</v>
      </c>
      <c r="R1462" s="7" t="s">
        <v>1757</v>
      </c>
      <c r="S1462" s="3" t="s">
        <v>145</v>
      </c>
      <c r="T1462" s="3" t="s">
        <v>324</v>
      </c>
    </row>
    <row r="1463" spans="1:20" x14ac:dyDescent="0.25">
      <c r="A1463" s="10">
        <v>46111</v>
      </c>
      <c r="B1463" s="2" t="s">
        <v>2593</v>
      </c>
      <c r="C1463" s="2" t="s">
        <v>141</v>
      </c>
      <c r="E1463" s="3" t="s">
        <v>27</v>
      </c>
      <c r="G1463" s="4" t="s">
        <v>48</v>
      </c>
      <c r="H1463" s="22" t="s">
        <v>334</v>
      </c>
      <c r="I1463" s="22"/>
      <c r="J1463" s="22">
        <f>I1462</f>
        <v>2300000</v>
      </c>
      <c r="K1463" s="22">
        <f t="shared" si="18"/>
        <v>2300000</v>
      </c>
      <c r="L1463" s="17"/>
      <c r="M1463" s="23"/>
      <c r="Q1463" s="25"/>
    </row>
    <row r="1464" spans="1:20" ht="24" x14ac:dyDescent="0.25">
      <c r="A1464" s="10">
        <v>46111</v>
      </c>
      <c r="B1464" s="2" t="s">
        <v>2596</v>
      </c>
      <c r="C1464" s="2" t="s">
        <v>141</v>
      </c>
      <c r="E1464" s="3" t="s">
        <v>27</v>
      </c>
      <c r="F1464" s="4">
        <v>82500</v>
      </c>
      <c r="G1464" s="4" t="s">
        <v>48</v>
      </c>
      <c r="H1464" s="22" t="s">
        <v>81</v>
      </c>
      <c r="I1464" s="22">
        <v>82500</v>
      </c>
      <c r="J1464" s="22"/>
      <c r="K1464" s="22">
        <f t="shared" si="18"/>
        <v>82500</v>
      </c>
      <c r="L1464" s="17">
        <v>82500</v>
      </c>
      <c r="M1464" s="23" t="s">
        <v>41</v>
      </c>
      <c r="N1464" s="1" t="s">
        <v>2597</v>
      </c>
      <c r="O1464" s="7" t="s">
        <v>635</v>
      </c>
      <c r="P1464" s="7" t="s">
        <v>32</v>
      </c>
      <c r="Q1464" s="25" t="s">
        <v>2598</v>
      </c>
      <c r="R1464" s="7" t="s">
        <v>1757</v>
      </c>
      <c r="S1464" s="3" t="s">
        <v>145</v>
      </c>
      <c r="T1464" s="3" t="s">
        <v>324</v>
      </c>
    </row>
    <row r="1465" spans="1:20" x14ac:dyDescent="0.25">
      <c r="A1465" s="10">
        <v>46111</v>
      </c>
      <c r="B1465" s="2" t="s">
        <v>2596</v>
      </c>
      <c r="C1465" s="2" t="s">
        <v>141</v>
      </c>
      <c r="E1465" s="3" t="s">
        <v>27</v>
      </c>
      <c r="G1465" s="4" t="s">
        <v>48</v>
      </c>
      <c r="H1465" s="22" t="s">
        <v>334</v>
      </c>
      <c r="I1465" s="22"/>
      <c r="J1465" s="22">
        <f>I1464</f>
        <v>82500</v>
      </c>
      <c r="K1465" s="22">
        <f t="shared" si="18"/>
        <v>82500</v>
      </c>
      <c r="L1465" s="17"/>
      <c r="M1465" s="23"/>
      <c r="Q1465" s="25"/>
    </row>
    <row r="1466" spans="1:20" ht="24" x14ac:dyDescent="0.25">
      <c r="A1466" s="10">
        <v>46111</v>
      </c>
      <c r="B1466" s="2" t="s">
        <v>2599</v>
      </c>
      <c r="C1466" s="2" t="s">
        <v>141</v>
      </c>
      <c r="E1466" s="3" t="s">
        <v>27</v>
      </c>
      <c r="F1466" s="4">
        <v>2500000</v>
      </c>
      <c r="G1466" s="4" t="s">
        <v>48</v>
      </c>
      <c r="H1466" s="22" t="s">
        <v>81</v>
      </c>
      <c r="I1466" s="22">
        <v>2500000</v>
      </c>
      <c r="J1466" s="22"/>
      <c r="K1466" s="22">
        <f t="shared" si="18"/>
        <v>2500000</v>
      </c>
      <c r="L1466" s="17">
        <v>2500000</v>
      </c>
      <c r="M1466" s="23" t="s">
        <v>41</v>
      </c>
      <c r="N1466" s="1" t="s">
        <v>2600</v>
      </c>
      <c r="O1466" s="7" t="s">
        <v>143</v>
      </c>
      <c r="P1466" s="7" t="s">
        <v>32</v>
      </c>
      <c r="R1466" s="7" t="s">
        <v>1757</v>
      </c>
      <c r="S1466" s="3" t="s">
        <v>1300</v>
      </c>
      <c r="T1466" s="3" t="s">
        <v>2601</v>
      </c>
    </row>
    <row r="1467" spans="1:20" x14ac:dyDescent="0.25">
      <c r="A1467" s="10">
        <v>46111</v>
      </c>
      <c r="B1467" s="2" t="s">
        <v>2599</v>
      </c>
      <c r="C1467" s="2" t="s">
        <v>141</v>
      </c>
      <c r="E1467" s="3" t="s">
        <v>27</v>
      </c>
      <c r="G1467" s="4" t="s">
        <v>48</v>
      </c>
      <c r="H1467" s="22" t="s">
        <v>334</v>
      </c>
      <c r="I1467" s="22"/>
      <c r="J1467" s="22">
        <f>I1466</f>
        <v>2500000</v>
      </c>
      <c r="K1467" s="22">
        <f t="shared" si="18"/>
        <v>2500000</v>
      </c>
      <c r="L1467" s="32"/>
      <c r="M1467" s="23"/>
    </row>
    <row r="1468" spans="1:20" ht="24" x14ac:dyDescent="0.25">
      <c r="A1468" s="10">
        <v>46112</v>
      </c>
      <c r="B1468" s="2" t="s">
        <v>2602</v>
      </c>
      <c r="E1468" s="3" t="s">
        <v>2603</v>
      </c>
      <c r="F1468" s="4">
        <v>315000</v>
      </c>
      <c r="G1468" s="4" t="s">
        <v>28</v>
      </c>
      <c r="H1468" s="22" t="s">
        <v>2604</v>
      </c>
      <c r="I1468" s="22">
        <v>315000</v>
      </c>
      <c r="J1468" s="22"/>
      <c r="K1468" s="22">
        <f t="shared" si="18"/>
        <v>315000</v>
      </c>
      <c r="L1468" s="17"/>
      <c r="M1468" s="6" t="s">
        <v>581</v>
      </c>
      <c r="N1468" s="1" t="s">
        <v>2605</v>
      </c>
    </row>
    <row r="1469" spans="1:20" x14ac:dyDescent="0.25">
      <c r="A1469" s="10">
        <v>46112</v>
      </c>
      <c r="B1469" s="2" t="s">
        <v>2602</v>
      </c>
      <c r="E1469" s="3" t="s">
        <v>2603</v>
      </c>
      <c r="G1469" s="4" t="s">
        <v>48</v>
      </c>
      <c r="H1469" s="22" t="s">
        <v>49</v>
      </c>
      <c r="I1469" s="22"/>
      <c r="J1469" s="22">
        <f>I1468</f>
        <v>315000</v>
      </c>
      <c r="K1469" s="22">
        <f t="shared" si="18"/>
        <v>315000</v>
      </c>
      <c r="L1469" s="17"/>
    </row>
    <row r="1470" spans="1:20" ht="24" x14ac:dyDescent="0.25">
      <c r="A1470" s="10">
        <v>46112</v>
      </c>
      <c r="B1470" s="2" t="s">
        <v>2606</v>
      </c>
      <c r="E1470" s="3" t="s">
        <v>2603</v>
      </c>
      <c r="F1470" s="36">
        <v>395000</v>
      </c>
      <c r="G1470" s="4" t="s">
        <v>28</v>
      </c>
      <c r="H1470" s="22" t="s">
        <v>2604</v>
      </c>
      <c r="I1470" s="22">
        <v>395000</v>
      </c>
      <c r="J1470" s="22"/>
      <c r="K1470" s="22">
        <f t="shared" si="18"/>
        <v>395000</v>
      </c>
      <c r="L1470" s="38"/>
      <c r="M1470" s="6" t="s">
        <v>581</v>
      </c>
      <c r="N1470" s="1" t="s">
        <v>2607</v>
      </c>
    </row>
    <row r="1471" spans="1:20" x14ac:dyDescent="0.25">
      <c r="A1471" s="10">
        <v>46112</v>
      </c>
      <c r="B1471" s="2" t="s">
        <v>2606</v>
      </c>
      <c r="E1471" s="3" t="s">
        <v>2603</v>
      </c>
      <c r="F1471" s="36"/>
      <c r="G1471" s="4" t="s">
        <v>48</v>
      </c>
      <c r="H1471" s="22" t="s">
        <v>49</v>
      </c>
      <c r="I1471" s="22"/>
      <c r="J1471" s="22">
        <f>I1470</f>
        <v>395000</v>
      </c>
      <c r="K1471" s="22">
        <f t="shared" si="18"/>
        <v>395000</v>
      </c>
      <c r="L1471" s="38"/>
    </row>
    <row r="1472" spans="1:20" ht="24" x14ac:dyDescent="0.25">
      <c r="A1472" s="10">
        <v>46112</v>
      </c>
      <c r="B1472" s="2" t="s">
        <v>2608</v>
      </c>
      <c r="C1472" s="2" t="s">
        <v>1286</v>
      </c>
      <c r="E1472" s="3" t="s">
        <v>692</v>
      </c>
      <c r="F1472" s="4">
        <v>600.01</v>
      </c>
      <c r="G1472" s="4" t="s">
        <v>28</v>
      </c>
      <c r="H1472" s="22" t="s">
        <v>828</v>
      </c>
      <c r="I1472" s="22">
        <v>600.01</v>
      </c>
      <c r="J1472" s="22"/>
      <c r="K1472" s="22">
        <f t="shared" si="18"/>
        <v>600.01</v>
      </c>
      <c r="L1472" s="17"/>
      <c r="M1472" s="6" t="s">
        <v>581</v>
      </c>
      <c r="N1472" s="1" t="s">
        <v>2609</v>
      </c>
    </row>
    <row r="1473" spans="1:20" x14ac:dyDescent="0.25">
      <c r="A1473" s="10">
        <v>46112</v>
      </c>
      <c r="B1473" s="2" t="s">
        <v>2608</v>
      </c>
      <c r="C1473" s="2" t="s">
        <v>1286</v>
      </c>
      <c r="D1473" s="2" t="s">
        <v>2610</v>
      </c>
      <c r="E1473" s="3" t="s">
        <v>692</v>
      </c>
      <c r="G1473" s="4" t="s">
        <v>48</v>
      </c>
      <c r="H1473" s="22" t="s">
        <v>49</v>
      </c>
      <c r="I1473" s="22"/>
      <c r="J1473" s="22">
        <f>I1472</f>
        <v>600.01</v>
      </c>
      <c r="K1473" s="22">
        <f t="shared" si="18"/>
        <v>600.01</v>
      </c>
      <c r="L1473" s="17"/>
      <c r="N1473" s="8"/>
    </row>
    <row r="1474" spans="1:20" ht="24" x14ac:dyDescent="0.25">
      <c r="A1474" s="10">
        <v>46112</v>
      </c>
      <c r="B1474" s="2" t="s">
        <v>2611</v>
      </c>
      <c r="C1474" s="2" t="s">
        <v>1138</v>
      </c>
      <c r="D1474" s="2" t="s">
        <v>2612</v>
      </c>
      <c r="E1474" s="3" t="s">
        <v>833</v>
      </c>
      <c r="F1474" s="4">
        <v>1157.3399999999999</v>
      </c>
      <c r="G1474" s="4" t="s">
        <v>1140</v>
      </c>
      <c r="H1474" s="22" t="s">
        <v>834</v>
      </c>
      <c r="I1474" s="22">
        <v>1157.3399999999999</v>
      </c>
      <c r="J1474" s="22"/>
      <c r="K1474" s="22">
        <f t="shared" si="18"/>
        <v>1157.3399999999999</v>
      </c>
      <c r="L1474" s="17"/>
      <c r="M1474" s="23" t="s">
        <v>41</v>
      </c>
      <c r="N1474" s="1" t="s">
        <v>2613</v>
      </c>
    </row>
    <row r="1475" spans="1:20" x14ac:dyDescent="0.25">
      <c r="A1475" s="10">
        <v>46112</v>
      </c>
      <c r="B1475" s="2" t="s">
        <v>2611</v>
      </c>
      <c r="C1475" s="2" t="s">
        <v>1138</v>
      </c>
      <c r="D1475" s="2" t="s">
        <v>2612</v>
      </c>
      <c r="E1475" s="3" t="s">
        <v>833</v>
      </c>
      <c r="G1475" s="4" t="s">
        <v>48</v>
      </c>
      <c r="H1475" s="22" t="s">
        <v>49</v>
      </c>
      <c r="I1475" s="22"/>
      <c r="J1475" s="22">
        <f>I1474</f>
        <v>1157.3399999999999</v>
      </c>
      <c r="K1475" s="22">
        <f t="shared" si="18"/>
        <v>1157.3399999999999</v>
      </c>
      <c r="L1475" s="17"/>
    </row>
    <row r="1476" spans="1:20" ht="36" x14ac:dyDescent="0.25">
      <c r="A1476" s="10">
        <v>46112</v>
      </c>
      <c r="B1476" s="2" t="s">
        <v>2614</v>
      </c>
      <c r="E1476" s="3" t="s">
        <v>2615</v>
      </c>
      <c r="F1476" s="4">
        <f>106080+53040+106080+106080+119340+106080+79560</f>
        <v>676260</v>
      </c>
      <c r="G1476" s="4" t="s">
        <v>48</v>
      </c>
      <c r="H1476" s="34" t="s">
        <v>2616</v>
      </c>
      <c r="I1476" s="22">
        <v>676260</v>
      </c>
      <c r="J1476" s="34"/>
      <c r="K1476" s="22">
        <f t="shared" si="18"/>
        <v>676260</v>
      </c>
      <c r="L1476" s="32"/>
      <c r="M1476" s="6" t="s">
        <v>581</v>
      </c>
      <c r="N1476" s="1" t="s">
        <v>2617</v>
      </c>
    </row>
    <row r="1477" spans="1:20" x14ac:dyDescent="0.25">
      <c r="A1477" s="10">
        <v>46112</v>
      </c>
      <c r="B1477" s="2" t="s">
        <v>2614</v>
      </c>
      <c r="E1477" s="3" t="s">
        <v>2615</v>
      </c>
      <c r="G1477" s="4" t="s">
        <v>48</v>
      </c>
      <c r="H1477" s="22" t="s">
        <v>49</v>
      </c>
      <c r="I1477" s="34"/>
      <c r="J1477" s="35">
        <f>I1476</f>
        <v>676260</v>
      </c>
      <c r="K1477" s="22">
        <f t="shared" si="18"/>
        <v>676260</v>
      </c>
      <c r="L1477" s="32"/>
    </row>
    <row r="1478" spans="1:20" x14ac:dyDescent="0.25">
      <c r="A1478" s="10">
        <v>46112</v>
      </c>
      <c r="B1478" s="2" t="s">
        <v>2618</v>
      </c>
      <c r="C1478" s="2" t="s">
        <v>95</v>
      </c>
      <c r="D1478" s="2" t="s">
        <v>2619</v>
      </c>
      <c r="E1478" s="44" t="s">
        <v>955</v>
      </c>
      <c r="F1478" s="4">
        <v>15000</v>
      </c>
      <c r="G1478" s="4" t="s">
        <v>28</v>
      </c>
      <c r="H1478" s="22" t="s">
        <v>2620</v>
      </c>
      <c r="I1478" s="22">
        <v>15000</v>
      </c>
      <c r="J1478" s="22"/>
      <c r="K1478" s="22">
        <f t="shared" si="18"/>
        <v>15000</v>
      </c>
      <c r="L1478" s="17"/>
      <c r="M1478" s="23" t="s">
        <v>41</v>
      </c>
      <c r="N1478" s="1" t="s">
        <v>2621</v>
      </c>
    </row>
    <row r="1479" spans="1:20" x14ac:dyDescent="0.25">
      <c r="A1479" s="10">
        <v>46112</v>
      </c>
      <c r="B1479" s="2" t="s">
        <v>2618</v>
      </c>
      <c r="C1479" s="2" t="s">
        <v>95</v>
      </c>
      <c r="D1479" s="2" t="s">
        <v>2619</v>
      </c>
      <c r="E1479" s="44" t="s">
        <v>955</v>
      </c>
      <c r="G1479" s="4" t="s">
        <v>48</v>
      </c>
      <c r="H1479" s="22" t="s">
        <v>49</v>
      </c>
      <c r="I1479" s="22"/>
      <c r="J1479" s="22">
        <f>I1478</f>
        <v>15000</v>
      </c>
      <c r="K1479" s="22">
        <f t="shared" si="18"/>
        <v>15000</v>
      </c>
      <c r="L1479" s="17"/>
    </row>
    <row r="1480" spans="1:20" ht="24" x14ac:dyDescent="0.25">
      <c r="A1480" s="10">
        <v>46112</v>
      </c>
      <c r="B1480" s="2" t="s">
        <v>2622</v>
      </c>
      <c r="C1480" s="2" t="s">
        <v>95</v>
      </c>
      <c r="D1480" s="2" t="s">
        <v>2623</v>
      </c>
      <c r="E1480" s="44" t="s">
        <v>377</v>
      </c>
      <c r="F1480" s="4">
        <f>3500+3000+350</f>
        <v>6850</v>
      </c>
      <c r="G1480" s="4" t="s">
        <v>1882</v>
      </c>
      <c r="H1480" s="22" t="s">
        <v>862</v>
      </c>
      <c r="I1480" s="22">
        <v>6850</v>
      </c>
      <c r="J1480" s="22"/>
      <c r="K1480" s="22">
        <f t="shared" si="18"/>
        <v>6850</v>
      </c>
      <c r="L1480" s="17"/>
      <c r="M1480" s="6" t="s">
        <v>581</v>
      </c>
      <c r="N1480" s="1" t="s">
        <v>2624</v>
      </c>
    </row>
    <row r="1481" spans="1:20" x14ac:dyDescent="0.25">
      <c r="A1481" s="10">
        <v>46112</v>
      </c>
      <c r="B1481" s="2" t="s">
        <v>2622</v>
      </c>
      <c r="C1481" s="2" t="s">
        <v>95</v>
      </c>
      <c r="D1481" s="2" t="s">
        <v>2623</v>
      </c>
      <c r="E1481" s="44" t="s">
        <v>377</v>
      </c>
      <c r="G1481" s="4" t="s">
        <v>48</v>
      </c>
      <c r="H1481" s="22" t="s">
        <v>49</v>
      </c>
      <c r="I1481" s="22"/>
      <c r="J1481" s="22">
        <f>I1480</f>
        <v>6850</v>
      </c>
      <c r="K1481" s="22">
        <f t="shared" si="18"/>
        <v>6850</v>
      </c>
      <c r="L1481" s="17"/>
    </row>
    <row r="1482" spans="1:20" ht="24" x14ac:dyDescent="0.25">
      <c r="A1482" s="10">
        <v>46112</v>
      </c>
      <c r="B1482" s="2" t="s">
        <v>2625</v>
      </c>
      <c r="C1482" s="2" t="s">
        <v>2626</v>
      </c>
      <c r="D1482" s="2" t="s">
        <v>2627</v>
      </c>
      <c r="E1482" s="44" t="s">
        <v>562</v>
      </c>
      <c r="F1482" s="4">
        <v>3760</v>
      </c>
      <c r="G1482" s="3" t="s">
        <v>110</v>
      </c>
      <c r="H1482" s="34" t="s">
        <v>1901</v>
      </c>
      <c r="I1482" s="22">
        <v>3760</v>
      </c>
      <c r="J1482" s="34"/>
      <c r="K1482" s="22">
        <f t="shared" si="18"/>
        <v>3760</v>
      </c>
      <c r="L1482" s="32"/>
      <c r="M1482" s="6" t="s">
        <v>581</v>
      </c>
      <c r="N1482" s="1" t="s">
        <v>2628</v>
      </c>
    </row>
    <row r="1483" spans="1:20" x14ac:dyDescent="0.25">
      <c r="A1483" s="10">
        <v>46112</v>
      </c>
      <c r="B1483" s="2" t="s">
        <v>2625</v>
      </c>
      <c r="C1483" s="2" t="s">
        <v>2626</v>
      </c>
      <c r="D1483" s="2" t="s">
        <v>2627</v>
      </c>
      <c r="E1483" s="44" t="s">
        <v>562</v>
      </c>
      <c r="G1483" s="4" t="s">
        <v>48</v>
      </c>
      <c r="H1483" s="22" t="s">
        <v>49</v>
      </c>
      <c r="I1483" s="34"/>
      <c r="J1483" s="35">
        <f>I1482</f>
        <v>3760</v>
      </c>
      <c r="K1483" s="22">
        <f t="shared" si="18"/>
        <v>3760</v>
      </c>
      <c r="L1483" s="32"/>
    </row>
    <row r="1484" spans="1:20" x14ac:dyDescent="0.25">
      <c r="A1484" s="10">
        <v>46112</v>
      </c>
      <c r="B1484" s="2" t="s">
        <v>2629</v>
      </c>
      <c r="C1484" s="2" t="s">
        <v>396</v>
      </c>
      <c r="D1484" s="2" t="s">
        <v>2630</v>
      </c>
      <c r="E1484" s="3" t="s">
        <v>467</v>
      </c>
      <c r="F1484" s="4">
        <f>1000+1500+1500+1000</f>
        <v>5000</v>
      </c>
      <c r="G1484" s="4" t="s">
        <v>167</v>
      </c>
      <c r="H1484" s="22" t="s">
        <v>899</v>
      </c>
      <c r="I1484" s="22">
        <v>4464.3</v>
      </c>
      <c r="J1484" s="22"/>
      <c r="K1484" s="22">
        <f t="shared" si="18"/>
        <v>4464.3</v>
      </c>
      <c r="L1484" s="17">
        <v>5000</v>
      </c>
      <c r="M1484" s="23" t="s">
        <v>41</v>
      </c>
      <c r="N1484" s="1" t="s">
        <v>2631</v>
      </c>
      <c r="O1484" s="7" t="s">
        <v>278</v>
      </c>
      <c r="P1484" s="7" t="s">
        <v>81</v>
      </c>
      <c r="R1484" s="7" t="s">
        <v>1962</v>
      </c>
      <c r="S1484" s="3" t="s">
        <v>83</v>
      </c>
      <c r="T1484" s="3" t="s">
        <v>1963</v>
      </c>
    </row>
    <row r="1485" spans="1:20" x14ac:dyDescent="0.25">
      <c r="A1485" s="10">
        <v>46112</v>
      </c>
      <c r="B1485" s="2" t="s">
        <v>2629</v>
      </c>
      <c r="C1485" s="2" t="s">
        <v>396</v>
      </c>
      <c r="D1485" s="2" t="s">
        <v>2630</v>
      </c>
      <c r="E1485" s="3" t="s">
        <v>467</v>
      </c>
      <c r="G1485" s="4" t="s">
        <v>167</v>
      </c>
      <c r="H1485" s="22" t="s">
        <v>239</v>
      </c>
      <c r="I1485" s="22">
        <v>535.70000000000005</v>
      </c>
      <c r="J1485" s="22"/>
      <c r="K1485" s="22">
        <f t="shared" si="18"/>
        <v>535.70000000000005</v>
      </c>
      <c r="L1485" s="17"/>
    </row>
    <row r="1486" spans="1:20" x14ac:dyDescent="0.25">
      <c r="A1486" s="10">
        <v>46112</v>
      </c>
      <c r="B1486" s="2" t="s">
        <v>2629</v>
      </c>
      <c r="C1486" s="2" t="s">
        <v>396</v>
      </c>
      <c r="D1486" s="2" t="s">
        <v>2630</v>
      </c>
      <c r="E1486" s="3" t="s">
        <v>467</v>
      </c>
      <c r="G1486" s="4" t="s">
        <v>48</v>
      </c>
      <c r="H1486" s="22" t="s">
        <v>49</v>
      </c>
      <c r="I1486" s="22"/>
      <c r="J1486" s="22">
        <f>I1484+I1485</f>
        <v>5000</v>
      </c>
      <c r="K1486" s="22">
        <f t="shared" si="18"/>
        <v>5000</v>
      </c>
      <c r="L1486" s="17"/>
    </row>
    <row r="1487" spans="1:20" ht="24" x14ac:dyDescent="0.25">
      <c r="A1487" s="10">
        <v>46112</v>
      </c>
      <c r="B1487" s="2" t="s">
        <v>2632</v>
      </c>
      <c r="C1487" s="2" t="s">
        <v>95</v>
      </c>
      <c r="D1487" s="2" t="s">
        <v>2633</v>
      </c>
      <c r="E1487" s="3" t="s">
        <v>261</v>
      </c>
      <c r="F1487" s="4">
        <v>167338.54</v>
      </c>
      <c r="G1487" s="4" t="s">
        <v>631</v>
      </c>
      <c r="H1487" s="22"/>
      <c r="I1487" s="22"/>
      <c r="J1487" s="22"/>
      <c r="K1487" s="22">
        <f t="shared" si="18"/>
        <v>0</v>
      </c>
      <c r="L1487" s="17"/>
      <c r="M1487" s="6" t="s">
        <v>581</v>
      </c>
      <c r="N1487" s="1" t="s">
        <v>2634</v>
      </c>
    </row>
    <row r="1488" spans="1:20" ht="36" x14ac:dyDescent="0.25">
      <c r="A1488" s="10">
        <v>46112</v>
      </c>
      <c r="B1488" s="2" t="s">
        <v>2635</v>
      </c>
      <c r="C1488" s="2" t="s">
        <v>95</v>
      </c>
      <c r="D1488" s="2" t="s">
        <v>2636</v>
      </c>
      <c r="E1488" s="3" t="s">
        <v>261</v>
      </c>
      <c r="F1488" s="4">
        <v>208739.98</v>
      </c>
      <c r="G1488" s="4" t="s">
        <v>1541</v>
      </c>
      <c r="H1488" s="22"/>
      <c r="I1488" s="22"/>
      <c r="J1488" s="22"/>
      <c r="K1488" s="22">
        <f t="shared" si="18"/>
        <v>0</v>
      </c>
      <c r="L1488" s="17"/>
      <c r="M1488" s="6" t="s">
        <v>581</v>
      </c>
      <c r="N1488" s="1" t="s">
        <v>2637</v>
      </c>
    </row>
    <row r="1489" spans="1:20" ht="24" x14ac:dyDescent="0.25">
      <c r="A1489" s="10">
        <v>46112</v>
      </c>
      <c r="B1489" s="2" t="s">
        <v>2638</v>
      </c>
      <c r="C1489" s="2" t="s">
        <v>95</v>
      </c>
      <c r="D1489" s="2" t="s">
        <v>2639</v>
      </c>
      <c r="E1489" s="3" t="s">
        <v>261</v>
      </c>
      <c r="F1489" s="4">
        <v>379134.99</v>
      </c>
      <c r="G1489" s="4" t="s">
        <v>801</v>
      </c>
      <c r="H1489" s="22"/>
      <c r="I1489" s="22"/>
      <c r="J1489" s="22"/>
      <c r="K1489" s="22">
        <f t="shared" si="18"/>
        <v>0</v>
      </c>
      <c r="L1489" s="17"/>
      <c r="M1489" s="6" t="s">
        <v>581</v>
      </c>
      <c r="N1489" s="1" t="s">
        <v>2640</v>
      </c>
    </row>
    <row r="1490" spans="1:20" x14ac:dyDescent="0.25">
      <c r="A1490" s="10">
        <v>46112</v>
      </c>
      <c r="B1490" s="2" t="s">
        <v>2641</v>
      </c>
      <c r="D1490" s="31" t="s">
        <v>2166</v>
      </c>
      <c r="E1490" s="3" t="s">
        <v>1109</v>
      </c>
      <c r="F1490" s="4">
        <v>8125</v>
      </c>
      <c r="G1490" s="4" t="s">
        <v>1110</v>
      </c>
      <c r="H1490" s="22" t="s">
        <v>973</v>
      </c>
      <c r="I1490" s="22">
        <v>8000</v>
      </c>
      <c r="J1490" s="22"/>
      <c r="K1490" s="22">
        <f t="shared" si="18"/>
        <v>8000</v>
      </c>
      <c r="L1490" s="17"/>
      <c r="M1490" s="23" t="s">
        <v>41</v>
      </c>
      <c r="N1490" s="1" t="s">
        <v>2642</v>
      </c>
      <c r="O1490" s="7" t="s">
        <v>1888</v>
      </c>
      <c r="P1490" s="7" t="s">
        <v>81</v>
      </c>
      <c r="R1490" s="7" t="s">
        <v>2643</v>
      </c>
      <c r="S1490" s="3" t="s">
        <v>83</v>
      </c>
      <c r="T1490" s="3" t="s">
        <v>1618</v>
      </c>
    </row>
    <row r="1491" spans="1:20" x14ac:dyDescent="0.25">
      <c r="A1491" s="10">
        <v>46112</v>
      </c>
      <c r="B1491" s="2" t="s">
        <v>2641</v>
      </c>
      <c r="D1491" s="31" t="s">
        <v>2166</v>
      </c>
      <c r="E1491" s="3" t="s">
        <v>1109</v>
      </c>
      <c r="G1491" s="4" t="s">
        <v>1110</v>
      </c>
      <c r="H1491" s="22" t="s">
        <v>47</v>
      </c>
      <c r="I1491" s="22">
        <v>125</v>
      </c>
      <c r="J1491" s="22"/>
      <c r="K1491" s="22">
        <f t="shared" si="18"/>
        <v>125</v>
      </c>
      <c r="L1491" s="17"/>
      <c r="M1491" s="23"/>
    </row>
    <row r="1492" spans="1:20" x14ac:dyDescent="0.25">
      <c r="A1492" s="10">
        <v>46112</v>
      </c>
      <c r="B1492" s="2" t="s">
        <v>2641</v>
      </c>
      <c r="D1492" s="31" t="s">
        <v>2166</v>
      </c>
      <c r="E1492" s="3" t="s">
        <v>1109</v>
      </c>
      <c r="G1492" s="4" t="s">
        <v>48</v>
      </c>
      <c r="H1492" s="22" t="s">
        <v>49</v>
      </c>
      <c r="I1492" s="22"/>
      <c r="J1492" s="22">
        <f>I1490+I1491</f>
        <v>8125</v>
      </c>
      <c r="K1492" s="22">
        <f t="shared" si="18"/>
        <v>8125</v>
      </c>
      <c r="L1492" s="17"/>
    </row>
    <row r="1493" spans="1:20" ht="24" x14ac:dyDescent="0.25">
      <c r="A1493" s="10">
        <v>46112</v>
      </c>
      <c r="B1493" s="2" t="s">
        <v>2644</v>
      </c>
      <c r="E1493" s="3" t="s">
        <v>2645</v>
      </c>
      <c r="F1493" s="4">
        <v>53000</v>
      </c>
      <c r="G1493" s="4" t="s">
        <v>48</v>
      </c>
      <c r="H1493" s="22" t="s">
        <v>1945</v>
      </c>
      <c r="I1493" s="22">
        <v>51500</v>
      </c>
      <c r="J1493" s="22"/>
      <c r="K1493" s="22">
        <f t="shared" si="18"/>
        <v>51500</v>
      </c>
      <c r="L1493" s="17"/>
      <c r="M1493" s="6" t="s">
        <v>581</v>
      </c>
      <c r="N1493" s="1" t="s">
        <v>2646</v>
      </c>
    </row>
    <row r="1494" spans="1:20" x14ac:dyDescent="0.25">
      <c r="A1494" s="10">
        <v>46112</v>
      </c>
      <c r="B1494" s="2" t="s">
        <v>2644</v>
      </c>
      <c r="E1494" s="3" t="s">
        <v>2645</v>
      </c>
      <c r="G1494" s="4" t="s">
        <v>48</v>
      </c>
      <c r="H1494" s="22" t="s">
        <v>49</v>
      </c>
      <c r="I1494" s="22"/>
      <c r="J1494" s="22">
        <f>I1493</f>
        <v>51500</v>
      </c>
      <c r="K1494" s="22">
        <f t="shared" si="18"/>
        <v>51500</v>
      </c>
      <c r="L1494" s="17"/>
    </row>
    <row r="1495" spans="1:20" ht="24" x14ac:dyDescent="0.25">
      <c r="A1495" s="10">
        <v>46113</v>
      </c>
      <c r="B1495" s="2" t="s">
        <v>2647</v>
      </c>
      <c r="C1495" s="31" t="s">
        <v>997</v>
      </c>
      <c r="D1495" s="2" t="s">
        <v>2648</v>
      </c>
      <c r="E1495" s="3" t="s">
        <v>833</v>
      </c>
      <c r="F1495" s="4">
        <v>1888.25</v>
      </c>
      <c r="G1495" s="4" t="s">
        <v>265</v>
      </c>
      <c r="H1495" s="22" t="s">
        <v>834</v>
      </c>
      <c r="I1495" s="22">
        <v>1888.25</v>
      </c>
      <c r="J1495" s="22"/>
      <c r="K1495" s="22">
        <f t="shared" si="18"/>
        <v>1888.25</v>
      </c>
      <c r="L1495" s="17"/>
      <c r="M1495" s="23" t="s">
        <v>41</v>
      </c>
      <c r="N1495" s="1" t="s">
        <v>2649</v>
      </c>
    </row>
    <row r="1496" spans="1:20" x14ac:dyDescent="0.25">
      <c r="A1496" s="10">
        <v>46113</v>
      </c>
      <c r="B1496" s="2" t="s">
        <v>2647</v>
      </c>
      <c r="C1496" s="31" t="s">
        <v>997</v>
      </c>
      <c r="D1496" s="2" t="s">
        <v>2648</v>
      </c>
      <c r="E1496" s="3" t="s">
        <v>833</v>
      </c>
      <c r="G1496" s="4" t="s">
        <v>48</v>
      </c>
      <c r="H1496" s="22" t="s">
        <v>49</v>
      </c>
      <c r="I1496" s="22"/>
      <c r="J1496" s="22">
        <f>I1495</f>
        <v>1888.25</v>
      </c>
      <c r="K1496" s="22">
        <f t="shared" si="18"/>
        <v>1888.25</v>
      </c>
      <c r="L1496" s="17"/>
    </row>
    <row r="1497" spans="1:20" ht="48" x14ac:dyDescent="0.25">
      <c r="A1497" s="10">
        <v>46113</v>
      </c>
      <c r="B1497" s="2" t="s">
        <v>2650</v>
      </c>
      <c r="E1497" s="3" t="s">
        <v>2651</v>
      </c>
      <c r="F1497" s="4">
        <f>46410.02+10000</f>
        <v>56410.02</v>
      </c>
      <c r="G1497" s="4" t="s">
        <v>110</v>
      </c>
      <c r="H1497" s="22" t="s">
        <v>2604</v>
      </c>
      <c r="I1497" s="22">
        <v>46410.02</v>
      </c>
      <c r="J1497" s="22"/>
      <c r="K1497" s="22">
        <f t="shared" si="18"/>
        <v>46410.02</v>
      </c>
      <c r="L1497" s="17"/>
      <c r="M1497" s="6" t="s">
        <v>581</v>
      </c>
      <c r="N1497" s="1" t="s">
        <v>2652</v>
      </c>
    </row>
    <row r="1498" spans="1:20" x14ac:dyDescent="0.25">
      <c r="A1498" s="10">
        <v>46113</v>
      </c>
      <c r="B1498" s="2" t="s">
        <v>2650</v>
      </c>
      <c r="E1498" s="3" t="s">
        <v>2651</v>
      </c>
      <c r="G1498" s="4" t="s">
        <v>110</v>
      </c>
      <c r="H1498" s="22" t="s">
        <v>2620</v>
      </c>
      <c r="I1498" s="22">
        <v>10000</v>
      </c>
      <c r="J1498" s="22"/>
      <c r="K1498" s="22">
        <f t="shared" si="18"/>
        <v>10000</v>
      </c>
      <c r="L1498" s="17"/>
    </row>
    <row r="1499" spans="1:20" x14ac:dyDescent="0.25">
      <c r="A1499" s="10">
        <v>46113</v>
      </c>
      <c r="B1499" s="2" t="s">
        <v>2650</v>
      </c>
      <c r="E1499" s="3" t="s">
        <v>2651</v>
      </c>
      <c r="G1499" s="4" t="s">
        <v>48</v>
      </c>
      <c r="H1499" s="22" t="s">
        <v>49</v>
      </c>
      <c r="I1499" s="22"/>
      <c r="J1499" s="22">
        <f>I1497+I1498</f>
        <v>56410.02</v>
      </c>
      <c r="K1499" s="22">
        <f t="shared" si="18"/>
        <v>56410.02</v>
      </c>
      <c r="L1499" s="17"/>
    </row>
    <row r="1500" spans="1:20" x14ac:dyDescent="0.25">
      <c r="A1500" s="10">
        <v>46113</v>
      </c>
      <c r="B1500" s="2" t="s">
        <v>2653</v>
      </c>
      <c r="C1500" s="2" t="s">
        <v>141</v>
      </c>
      <c r="E1500" s="3" t="s">
        <v>27</v>
      </c>
      <c r="F1500" s="4">
        <v>500000</v>
      </c>
      <c r="G1500" s="3" t="s">
        <v>326</v>
      </c>
      <c r="H1500" s="34"/>
      <c r="I1500" s="34"/>
      <c r="J1500" s="34"/>
      <c r="K1500" s="22">
        <f t="shared" si="18"/>
        <v>0</v>
      </c>
      <c r="L1500" s="17">
        <v>500000</v>
      </c>
      <c r="M1500" s="23" t="s">
        <v>41</v>
      </c>
      <c r="N1500" s="1" t="s">
        <v>2654</v>
      </c>
      <c r="O1500" s="7" t="s">
        <v>143</v>
      </c>
      <c r="R1500" s="7" t="s">
        <v>2212</v>
      </c>
      <c r="S1500" s="3" t="s">
        <v>1630</v>
      </c>
    </row>
    <row r="1501" spans="1:20" x14ac:dyDescent="0.25">
      <c r="A1501" s="10">
        <v>46113</v>
      </c>
      <c r="B1501" s="2" t="s">
        <v>2655</v>
      </c>
      <c r="C1501" s="2" t="s">
        <v>141</v>
      </c>
      <c r="E1501" s="3" t="s">
        <v>27</v>
      </c>
      <c r="F1501" s="4">
        <v>35000</v>
      </c>
      <c r="G1501" s="3" t="s">
        <v>326</v>
      </c>
      <c r="H1501" s="22"/>
      <c r="I1501" s="22"/>
      <c r="J1501" s="22"/>
      <c r="K1501" s="22">
        <f t="shared" si="18"/>
        <v>0</v>
      </c>
      <c r="L1501" s="17">
        <v>35000</v>
      </c>
      <c r="M1501" s="23" t="s">
        <v>41</v>
      </c>
      <c r="N1501" s="1" t="s">
        <v>2654</v>
      </c>
      <c r="O1501" s="7" t="s">
        <v>143</v>
      </c>
      <c r="R1501" s="7" t="s">
        <v>2212</v>
      </c>
      <c r="S1501" s="3" t="s">
        <v>1630</v>
      </c>
    </row>
    <row r="1502" spans="1:20" x14ac:dyDescent="0.25">
      <c r="A1502" s="10">
        <v>46113</v>
      </c>
      <c r="B1502" s="2" t="s">
        <v>2656</v>
      </c>
      <c r="E1502" s="3" t="s">
        <v>27</v>
      </c>
      <c r="F1502" s="4">
        <v>80000</v>
      </c>
      <c r="G1502" s="3" t="s">
        <v>326</v>
      </c>
      <c r="H1502" s="22"/>
      <c r="I1502" s="22"/>
      <c r="J1502" s="22"/>
      <c r="K1502" s="22">
        <f t="shared" si="18"/>
        <v>0</v>
      </c>
      <c r="L1502" s="17">
        <v>80000</v>
      </c>
      <c r="M1502" s="23" t="s">
        <v>41</v>
      </c>
      <c r="N1502" s="1" t="s">
        <v>2657</v>
      </c>
    </row>
    <row r="1503" spans="1:20" x14ac:dyDescent="0.25">
      <c r="A1503" s="10">
        <v>46113</v>
      </c>
      <c r="B1503" s="2" t="s">
        <v>2658</v>
      </c>
      <c r="E1503" s="3" t="s">
        <v>27</v>
      </c>
      <c r="F1503" s="4">
        <f>20244.28-400-150</f>
        <v>19694.28</v>
      </c>
      <c r="G1503" s="3"/>
      <c r="H1503" s="34"/>
      <c r="I1503" s="34"/>
      <c r="J1503" s="34"/>
      <c r="K1503" s="22">
        <f t="shared" si="18"/>
        <v>0</v>
      </c>
      <c r="L1503" s="32"/>
    </row>
    <row r="1504" spans="1:20" x14ac:dyDescent="0.25">
      <c r="A1504" s="10">
        <v>46113</v>
      </c>
      <c r="B1504" s="2" t="s">
        <v>2659</v>
      </c>
      <c r="E1504" s="3" t="s">
        <v>27</v>
      </c>
      <c r="F1504" s="4">
        <v>230000</v>
      </c>
      <c r="H1504" s="22"/>
      <c r="I1504" s="22"/>
      <c r="J1504" s="22"/>
      <c r="K1504" s="22">
        <f t="shared" si="18"/>
        <v>0</v>
      </c>
      <c r="L1504" s="17"/>
    </row>
    <row r="1505" spans="1:23" x14ac:dyDescent="0.25">
      <c r="A1505" s="10">
        <v>46113</v>
      </c>
      <c r="B1505" s="2" t="s">
        <v>2660</v>
      </c>
      <c r="E1505" s="3" t="s">
        <v>27</v>
      </c>
      <c r="F1505" s="4">
        <v>1400000</v>
      </c>
      <c r="H1505" s="22"/>
      <c r="I1505" s="22"/>
      <c r="J1505" s="22"/>
      <c r="K1505" s="22">
        <f t="shared" si="18"/>
        <v>0</v>
      </c>
      <c r="L1505" s="17"/>
    </row>
    <row r="1506" spans="1:23" x14ac:dyDescent="0.25">
      <c r="A1506" s="10">
        <v>46113</v>
      </c>
      <c r="B1506" s="2" t="s">
        <v>2661</v>
      </c>
      <c r="E1506" s="3" t="s">
        <v>27</v>
      </c>
      <c r="F1506" s="4">
        <v>650000</v>
      </c>
      <c r="G1506" s="3"/>
      <c r="H1506" s="34"/>
      <c r="I1506" s="34"/>
      <c r="J1506" s="34"/>
      <c r="K1506" s="22">
        <f t="shared" si="18"/>
        <v>0</v>
      </c>
      <c r="L1506" s="32"/>
    </row>
    <row r="1507" spans="1:23" x14ac:dyDescent="0.25">
      <c r="A1507" s="10">
        <v>46113</v>
      </c>
      <c r="B1507" s="2" t="s">
        <v>2662</v>
      </c>
      <c r="E1507" s="3" t="s">
        <v>398</v>
      </c>
      <c r="F1507" s="4">
        <v>51940.51</v>
      </c>
      <c r="G1507" s="4" t="s">
        <v>167</v>
      </c>
      <c r="H1507" s="22"/>
      <c r="I1507" s="22"/>
      <c r="J1507" s="22"/>
      <c r="K1507" s="22">
        <f t="shared" si="18"/>
        <v>0</v>
      </c>
      <c r="L1507" s="17"/>
    </row>
    <row r="1508" spans="1:23" ht="24" x14ac:dyDescent="0.25">
      <c r="A1508" s="10">
        <v>46118</v>
      </c>
      <c r="B1508" s="2" t="s">
        <v>2663</v>
      </c>
      <c r="C1508" s="2" t="s">
        <v>147</v>
      </c>
      <c r="D1508" s="2" t="s">
        <v>2664</v>
      </c>
      <c r="E1508" s="3" t="s">
        <v>149</v>
      </c>
      <c r="F1508" s="4">
        <f>9000+2000+1800</f>
        <v>12800</v>
      </c>
      <c r="G1508" s="4" t="s">
        <v>1030</v>
      </c>
      <c r="H1508" s="22"/>
      <c r="I1508" s="22"/>
      <c r="J1508" s="22"/>
      <c r="K1508" s="22">
        <f t="shared" si="18"/>
        <v>0</v>
      </c>
      <c r="L1508" s="17"/>
      <c r="M1508" s="6" t="s">
        <v>581</v>
      </c>
      <c r="N1508" s="1" t="s">
        <v>2665</v>
      </c>
    </row>
    <row r="1509" spans="1:23" ht="24" x14ac:dyDescent="0.25">
      <c r="A1509" s="10">
        <v>46118</v>
      </c>
      <c r="B1509" s="2" t="s">
        <v>2666</v>
      </c>
      <c r="C1509" s="2" t="s">
        <v>1159</v>
      </c>
      <c r="D1509" s="2" t="s">
        <v>2667</v>
      </c>
      <c r="E1509" s="3" t="s">
        <v>692</v>
      </c>
      <c r="F1509" s="4">
        <v>7602.4</v>
      </c>
      <c r="G1509" s="3" t="s">
        <v>110</v>
      </c>
      <c r="H1509" s="34"/>
      <c r="I1509" s="34"/>
      <c r="J1509" s="34"/>
      <c r="K1509" s="22">
        <f t="shared" si="18"/>
        <v>0</v>
      </c>
      <c r="L1509" s="32"/>
      <c r="M1509" s="23" t="s">
        <v>41</v>
      </c>
      <c r="N1509" s="1" t="s">
        <v>2668</v>
      </c>
    </row>
    <row r="1510" spans="1:23" ht="24" x14ac:dyDescent="0.25">
      <c r="A1510" s="10">
        <v>46118</v>
      </c>
      <c r="B1510" s="2" t="s">
        <v>2669</v>
      </c>
      <c r="C1510" s="2" t="s">
        <v>95</v>
      </c>
      <c r="D1510" s="2" t="s">
        <v>2670</v>
      </c>
      <c r="E1510" s="3" t="s">
        <v>76</v>
      </c>
      <c r="F1510" s="4">
        <f>2600+3920+3920</f>
        <v>10440</v>
      </c>
      <c r="G1510" s="4" t="s">
        <v>77</v>
      </c>
      <c r="H1510" s="22"/>
      <c r="I1510" s="22"/>
      <c r="J1510" s="22"/>
      <c r="K1510" s="22">
        <f t="shared" si="18"/>
        <v>0</v>
      </c>
      <c r="L1510" s="17"/>
      <c r="M1510" s="6" t="s">
        <v>581</v>
      </c>
      <c r="N1510" s="1" t="s">
        <v>2671</v>
      </c>
    </row>
    <row r="1511" spans="1:23" ht="24" x14ac:dyDescent="0.25">
      <c r="A1511" s="10">
        <v>46118</v>
      </c>
      <c r="B1511" s="2" t="s">
        <v>2672</v>
      </c>
      <c r="C1511" s="2" t="s">
        <v>95</v>
      </c>
      <c r="D1511" s="2" t="s">
        <v>2673</v>
      </c>
      <c r="E1511" s="3" t="s">
        <v>76</v>
      </c>
      <c r="F1511" s="4">
        <f>4800</f>
        <v>4800</v>
      </c>
      <c r="G1511" s="4" t="s">
        <v>77</v>
      </c>
      <c r="H1511" s="22"/>
      <c r="I1511" s="22"/>
      <c r="J1511" s="22"/>
      <c r="K1511" s="22">
        <f t="shared" si="18"/>
        <v>0</v>
      </c>
      <c r="L1511" s="17"/>
      <c r="M1511" s="6" t="s">
        <v>581</v>
      </c>
      <c r="N1511" s="1" t="s">
        <v>2674</v>
      </c>
    </row>
    <row r="1512" spans="1:23" ht="24" x14ac:dyDescent="0.25">
      <c r="A1512" s="10">
        <v>46118</v>
      </c>
      <c r="B1512" s="2" t="s">
        <v>2675</v>
      </c>
      <c r="C1512" s="2" t="s">
        <v>147</v>
      </c>
      <c r="D1512" s="2" t="s">
        <v>2676</v>
      </c>
      <c r="E1512" s="3" t="s">
        <v>1671</v>
      </c>
      <c r="F1512" s="4">
        <f>7000+3600+4000+1500</f>
        <v>16100</v>
      </c>
      <c r="G1512" s="4" t="s">
        <v>28</v>
      </c>
      <c r="H1512" s="22"/>
      <c r="I1512" s="22"/>
      <c r="J1512" s="22"/>
      <c r="K1512" s="22">
        <f t="shared" si="18"/>
        <v>0</v>
      </c>
      <c r="L1512" s="17"/>
      <c r="M1512" s="23" t="s">
        <v>41</v>
      </c>
      <c r="N1512" s="1" t="s">
        <v>2677</v>
      </c>
    </row>
    <row r="1513" spans="1:23" ht="24" x14ac:dyDescent="0.25">
      <c r="A1513" s="10">
        <v>46118</v>
      </c>
      <c r="B1513" s="2" t="s">
        <v>2678</v>
      </c>
      <c r="C1513" s="2" t="s">
        <v>95</v>
      </c>
      <c r="D1513" s="2" t="s">
        <v>2679</v>
      </c>
      <c r="E1513" s="3" t="s">
        <v>76</v>
      </c>
      <c r="F1513" s="4">
        <v>235000</v>
      </c>
      <c r="G1513" s="4" t="s">
        <v>77</v>
      </c>
      <c r="H1513" s="22" t="s">
        <v>78</v>
      </c>
      <c r="I1513" s="22">
        <v>235000</v>
      </c>
      <c r="J1513" s="22"/>
      <c r="K1513" s="22">
        <f t="shared" si="18"/>
        <v>235000</v>
      </c>
      <c r="L1513" s="17">
        <v>235000</v>
      </c>
      <c r="M1513" s="23" t="s">
        <v>41</v>
      </c>
      <c r="N1513" s="1" t="s">
        <v>2680</v>
      </c>
      <c r="O1513" s="28" t="s">
        <v>80</v>
      </c>
      <c r="P1513" s="7" t="s">
        <v>2681</v>
      </c>
      <c r="R1513" s="24" t="s">
        <v>2682</v>
      </c>
      <c r="S1513" s="3" t="s">
        <v>83</v>
      </c>
      <c r="W1513" s="9" t="s">
        <v>2683</v>
      </c>
    </row>
    <row r="1514" spans="1:23" x14ac:dyDescent="0.25">
      <c r="A1514" s="10">
        <v>46118</v>
      </c>
      <c r="B1514" s="2" t="s">
        <v>2678</v>
      </c>
      <c r="C1514" s="2" t="s">
        <v>95</v>
      </c>
      <c r="D1514" s="2" t="s">
        <v>2679</v>
      </c>
      <c r="E1514" s="3" t="s">
        <v>76</v>
      </c>
      <c r="G1514" s="4" t="s">
        <v>48</v>
      </c>
      <c r="H1514" s="22" t="s">
        <v>49</v>
      </c>
      <c r="I1514" s="22"/>
      <c r="J1514" s="22">
        <f>I1513</f>
        <v>235000</v>
      </c>
      <c r="K1514" s="22">
        <f t="shared" si="18"/>
        <v>235000</v>
      </c>
      <c r="L1514" s="17"/>
    </row>
    <row r="1515" spans="1:23" ht="24" x14ac:dyDescent="0.25">
      <c r="A1515" s="10">
        <v>46118</v>
      </c>
      <c r="B1515" s="2" t="s">
        <v>2684</v>
      </c>
      <c r="C1515" s="2" t="s">
        <v>95</v>
      </c>
      <c r="D1515" s="2" t="s">
        <v>2685</v>
      </c>
      <c r="E1515" s="3" t="s">
        <v>76</v>
      </c>
      <c r="F1515" s="4">
        <v>50000</v>
      </c>
      <c r="G1515" s="4" t="s">
        <v>77</v>
      </c>
      <c r="H1515" s="22"/>
      <c r="I1515" s="22"/>
      <c r="J1515" s="22"/>
      <c r="K1515" s="22">
        <f t="shared" si="18"/>
        <v>0</v>
      </c>
      <c r="L1515" s="17">
        <v>50000</v>
      </c>
      <c r="M1515" s="23" t="s">
        <v>41</v>
      </c>
      <c r="N1515" s="1" t="s">
        <v>2686</v>
      </c>
    </row>
    <row r="1516" spans="1:23" x14ac:dyDescent="0.25">
      <c r="A1516" s="10">
        <v>46118</v>
      </c>
      <c r="B1516" s="2" t="s">
        <v>2687</v>
      </c>
      <c r="C1516" s="2" t="s">
        <v>141</v>
      </c>
      <c r="E1516" s="3" t="s">
        <v>27</v>
      </c>
      <c r="F1516" s="4">
        <v>330000</v>
      </c>
      <c r="G1516" s="4" t="s">
        <v>48</v>
      </c>
      <c r="H1516" s="22"/>
      <c r="I1516" s="22"/>
      <c r="J1516" s="22"/>
      <c r="K1516" s="22">
        <f t="shared" si="18"/>
        <v>0</v>
      </c>
      <c r="L1516" s="17"/>
    </row>
    <row r="1517" spans="1:23" x14ac:dyDescent="0.25">
      <c r="A1517" s="10">
        <v>46118</v>
      </c>
      <c r="B1517" s="2" t="s">
        <v>2688</v>
      </c>
      <c r="C1517" s="2" t="s">
        <v>310</v>
      </c>
      <c r="E1517" s="3" t="s">
        <v>2438</v>
      </c>
      <c r="F1517" s="4">
        <v>1000000</v>
      </c>
      <c r="G1517" s="4" t="s">
        <v>167</v>
      </c>
      <c r="H1517" s="22"/>
      <c r="I1517" s="22"/>
      <c r="J1517" s="22"/>
      <c r="K1517" s="22">
        <f t="shared" ref="K1517:K1631" si="19">ABS(I1517-J1517)</f>
        <v>0</v>
      </c>
      <c r="L1517" s="17"/>
    </row>
    <row r="1518" spans="1:23" x14ac:dyDescent="0.25">
      <c r="A1518" s="10">
        <v>46118</v>
      </c>
      <c r="B1518" s="2" t="s">
        <v>2689</v>
      </c>
      <c r="C1518" s="2" t="s">
        <v>141</v>
      </c>
      <c r="E1518" s="3" t="s">
        <v>27</v>
      </c>
      <c r="F1518" s="4">
        <v>135000</v>
      </c>
      <c r="G1518" s="4" t="s">
        <v>98</v>
      </c>
      <c r="H1518" s="22"/>
      <c r="I1518" s="22"/>
      <c r="J1518" s="22"/>
      <c r="K1518" s="22">
        <f t="shared" si="19"/>
        <v>0</v>
      </c>
      <c r="L1518" s="17"/>
    </row>
    <row r="1519" spans="1:23" x14ac:dyDescent="0.25">
      <c r="A1519" s="10">
        <v>46118</v>
      </c>
      <c r="B1519" s="2" t="s">
        <v>2690</v>
      </c>
      <c r="C1519" s="2" t="s">
        <v>310</v>
      </c>
      <c r="E1519" s="3" t="s">
        <v>27</v>
      </c>
      <c r="F1519" s="4">
        <v>2000000</v>
      </c>
      <c r="G1519" s="4" t="s">
        <v>48</v>
      </c>
      <c r="H1519" s="22"/>
      <c r="I1519" s="22"/>
      <c r="J1519" s="22"/>
      <c r="K1519" s="22">
        <f t="shared" si="19"/>
        <v>0</v>
      </c>
      <c r="L1519" s="17"/>
    </row>
    <row r="1520" spans="1:23" x14ac:dyDescent="0.25">
      <c r="A1520" s="10">
        <v>46118</v>
      </c>
      <c r="B1520" s="2" t="s">
        <v>2691</v>
      </c>
      <c r="E1520" s="3" t="s">
        <v>398</v>
      </c>
      <c r="F1520" s="4">
        <v>320000</v>
      </c>
      <c r="G1520" s="4" t="s">
        <v>167</v>
      </c>
      <c r="H1520" s="22"/>
      <c r="I1520" s="22"/>
      <c r="J1520" s="22"/>
      <c r="K1520" s="22">
        <f t="shared" si="19"/>
        <v>0</v>
      </c>
      <c r="L1520" s="17"/>
    </row>
    <row r="1521" spans="1:23" x14ac:dyDescent="0.25">
      <c r="A1521" s="10">
        <v>46118</v>
      </c>
      <c r="B1521" s="2" t="s">
        <v>2692</v>
      </c>
      <c r="E1521" s="3" t="s">
        <v>398</v>
      </c>
      <c r="F1521" s="4">
        <v>250000</v>
      </c>
      <c r="G1521" s="4" t="s">
        <v>167</v>
      </c>
      <c r="H1521" s="22"/>
      <c r="I1521" s="22"/>
      <c r="J1521" s="22"/>
      <c r="K1521" s="22">
        <f t="shared" si="19"/>
        <v>0</v>
      </c>
      <c r="L1521" s="17"/>
    </row>
    <row r="1522" spans="1:23" ht="24" x14ac:dyDescent="0.25">
      <c r="A1522" s="10">
        <v>46118</v>
      </c>
      <c r="B1522" s="2" t="s">
        <v>2693</v>
      </c>
      <c r="E1522" s="3" t="s">
        <v>27</v>
      </c>
      <c r="F1522" s="4">
        <v>122000</v>
      </c>
      <c r="G1522" s="4" t="s">
        <v>48</v>
      </c>
      <c r="H1522" s="22"/>
      <c r="I1522" s="22"/>
      <c r="J1522" s="22"/>
      <c r="K1522" s="22">
        <f t="shared" si="19"/>
        <v>0</v>
      </c>
      <c r="L1522" s="17"/>
      <c r="M1522" s="23" t="s">
        <v>41</v>
      </c>
      <c r="N1522" s="1" t="s">
        <v>2694</v>
      </c>
    </row>
    <row r="1523" spans="1:23" x14ac:dyDescent="0.25">
      <c r="A1523" s="10">
        <v>46118</v>
      </c>
      <c r="B1523" s="2" t="s">
        <v>2695</v>
      </c>
      <c r="D1523" s="31" t="s">
        <v>180</v>
      </c>
      <c r="E1523" s="3" t="s">
        <v>181</v>
      </c>
      <c r="F1523" s="4">
        <v>100000</v>
      </c>
      <c r="G1523" s="4" t="s">
        <v>167</v>
      </c>
      <c r="H1523" s="22"/>
      <c r="I1523" s="22"/>
      <c r="J1523" s="22"/>
      <c r="K1523" s="22">
        <f t="shared" si="19"/>
        <v>0</v>
      </c>
      <c r="L1523" s="17"/>
    </row>
    <row r="1524" spans="1:23" x14ac:dyDescent="0.25">
      <c r="A1524" s="10">
        <v>46118</v>
      </c>
      <c r="B1524" s="2" t="s">
        <v>2696</v>
      </c>
      <c r="E1524" s="3" t="s">
        <v>398</v>
      </c>
      <c r="F1524" s="4">
        <v>35000</v>
      </c>
      <c r="G1524" s="4" t="s">
        <v>167</v>
      </c>
      <c r="H1524" s="22"/>
      <c r="I1524" s="22"/>
      <c r="J1524" s="22"/>
      <c r="K1524" s="22">
        <f t="shared" si="19"/>
        <v>0</v>
      </c>
      <c r="L1524" s="17"/>
    </row>
    <row r="1525" spans="1:23" ht="24" x14ac:dyDescent="0.25">
      <c r="A1525" s="10">
        <v>46119</v>
      </c>
      <c r="B1525" s="2" t="s">
        <v>2697</v>
      </c>
      <c r="C1525" s="2" t="s">
        <v>2698</v>
      </c>
      <c r="E1525" s="3" t="s">
        <v>2699</v>
      </c>
      <c r="F1525" s="4">
        <f>3467.55+6875</f>
        <v>10342.549999999999</v>
      </c>
      <c r="G1525" s="4" t="s">
        <v>48</v>
      </c>
      <c r="H1525" s="22" t="s">
        <v>973</v>
      </c>
      <c r="I1525" s="22">
        <v>6875</v>
      </c>
      <c r="J1525" s="22"/>
      <c r="K1525" s="22">
        <f t="shared" si="19"/>
        <v>6875</v>
      </c>
      <c r="L1525" s="17"/>
      <c r="M1525" s="6" t="s">
        <v>581</v>
      </c>
      <c r="N1525" s="1" t="s">
        <v>2700</v>
      </c>
    </row>
    <row r="1526" spans="1:23" x14ac:dyDescent="0.25">
      <c r="A1526" s="10">
        <v>46119</v>
      </c>
      <c r="B1526" s="2" t="s">
        <v>2697</v>
      </c>
      <c r="C1526" s="2" t="s">
        <v>2698</v>
      </c>
      <c r="E1526" s="3" t="s">
        <v>2699</v>
      </c>
      <c r="G1526" s="4" t="s">
        <v>48</v>
      </c>
      <c r="H1526" s="22" t="s">
        <v>2153</v>
      </c>
      <c r="I1526" s="22">
        <v>3467.55</v>
      </c>
      <c r="J1526" s="22"/>
      <c r="K1526" s="22">
        <f t="shared" si="19"/>
        <v>3467.55</v>
      </c>
      <c r="L1526" s="17"/>
    </row>
    <row r="1527" spans="1:23" x14ac:dyDescent="0.25">
      <c r="A1527" s="10">
        <v>46119</v>
      </c>
      <c r="B1527" s="2" t="s">
        <v>2697</v>
      </c>
      <c r="C1527" s="2" t="s">
        <v>2698</v>
      </c>
      <c r="E1527" s="3" t="s">
        <v>2699</v>
      </c>
      <c r="G1527" s="4" t="s">
        <v>48</v>
      </c>
      <c r="H1527" s="22" t="s">
        <v>49</v>
      </c>
      <c r="I1527" s="22"/>
      <c r="J1527" s="22">
        <f>I1525+I1526</f>
        <v>10342.549999999999</v>
      </c>
      <c r="K1527" s="22">
        <f t="shared" si="19"/>
        <v>10342.549999999999</v>
      </c>
      <c r="L1527" s="17"/>
    </row>
    <row r="1528" spans="1:23" ht="24" x14ac:dyDescent="0.25">
      <c r="A1528" s="10">
        <v>46119</v>
      </c>
      <c r="B1528" s="2" t="s">
        <v>2701</v>
      </c>
      <c r="C1528" s="2" t="s">
        <v>95</v>
      </c>
      <c r="D1528" s="2" t="s">
        <v>2702</v>
      </c>
      <c r="E1528" s="3" t="s">
        <v>136</v>
      </c>
      <c r="F1528" s="4">
        <v>5000</v>
      </c>
      <c r="G1528" s="4" t="s">
        <v>48</v>
      </c>
      <c r="H1528" s="22" t="s">
        <v>78</v>
      </c>
      <c r="I1528" s="22">
        <v>2500</v>
      </c>
      <c r="J1528" s="22"/>
      <c r="K1528" s="22">
        <f t="shared" si="19"/>
        <v>2500</v>
      </c>
      <c r="L1528" s="17">
        <v>5000</v>
      </c>
      <c r="M1528" s="23" t="s">
        <v>41</v>
      </c>
      <c r="N1528" s="1" t="s">
        <v>2703</v>
      </c>
      <c r="O1528" s="28" t="s">
        <v>80</v>
      </c>
      <c r="P1528" s="7" t="s">
        <v>81</v>
      </c>
      <c r="R1528" s="7" t="s">
        <v>2704</v>
      </c>
      <c r="S1528" s="3" t="s">
        <v>83</v>
      </c>
      <c r="T1528" s="3" t="s">
        <v>2376</v>
      </c>
    </row>
    <row r="1529" spans="1:23" x14ac:dyDescent="0.25">
      <c r="A1529" s="10">
        <v>46119</v>
      </c>
      <c r="B1529" s="2" t="s">
        <v>2701</v>
      </c>
      <c r="C1529" s="2" t="s">
        <v>95</v>
      </c>
      <c r="D1529" s="2" t="s">
        <v>2702</v>
      </c>
      <c r="E1529" s="3" t="s">
        <v>136</v>
      </c>
      <c r="G1529" s="4" t="s">
        <v>98</v>
      </c>
      <c r="H1529" s="22" t="s">
        <v>78</v>
      </c>
      <c r="I1529" s="22">
        <v>2500</v>
      </c>
      <c r="J1529" s="22"/>
      <c r="K1529" s="22">
        <f t="shared" si="19"/>
        <v>2500</v>
      </c>
      <c r="L1529" s="17"/>
    </row>
    <row r="1530" spans="1:23" x14ac:dyDescent="0.25">
      <c r="A1530" s="10">
        <v>46119</v>
      </c>
      <c r="B1530" s="2" t="s">
        <v>2701</v>
      </c>
      <c r="C1530" s="2" t="s">
        <v>95</v>
      </c>
      <c r="D1530" s="2" t="s">
        <v>2702</v>
      </c>
      <c r="E1530" s="3" t="s">
        <v>136</v>
      </c>
      <c r="G1530" s="4" t="s">
        <v>48</v>
      </c>
      <c r="H1530" s="22" t="s">
        <v>49</v>
      </c>
      <c r="I1530" s="22"/>
      <c r="J1530" s="22">
        <f>I1528+I1529</f>
        <v>5000</v>
      </c>
      <c r="K1530" s="22">
        <f t="shared" si="19"/>
        <v>5000</v>
      </c>
      <c r="L1530" s="17"/>
    </row>
    <row r="1531" spans="1:23" ht="24" x14ac:dyDescent="0.25">
      <c r="A1531" s="10">
        <v>46119</v>
      </c>
      <c r="B1531" s="2" t="s">
        <v>2705</v>
      </c>
      <c r="C1531" s="2" t="s">
        <v>2706</v>
      </c>
      <c r="D1531" s="2" t="s">
        <v>2707</v>
      </c>
      <c r="E1531" s="3" t="s">
        <v>2708</v>
      </c>
      <c r="F1531" s="4">
        <f>(14900/1.12)+(14900/1.12*0.12)-(14900/1.12*0.01)</f>
        <v>14766.964285714284</v>
      </c>
      <c r="G1531" s="4" t="s">
        <v>28</v>
      </c>
      <c r="H1531" s="22" t="s">
        <v>40</v>
      </c>
      <c r="I1531" s="22">
        <f>14900/1.12</f>
        <v>13303.571428571428</v>
      </c>
      <c r="J1531" s="22"/>
      <c r="K1531" s="22">
        <f t="shared" si="19"/>
        <v>13303.571428571428</v>
      </c>
      <c r="L1531" s="17"/>
      <c r="M1531" s="6" t="s">
        <v>581</v>
      </c>
      <c r="N1531" s="1" t="s">
        <v>2709</v>
      </c>
      <c r="W1531" s="9" t="s">
        <v>2710</v>
      </c>
    </row>
    <row r="1532" spans="1:23" x14ac:dyDescent="0.25">
      <c r="A1532" s="10">
        <v>46119</v>
      </c>
      <c r="B1532" s="2" t="s">
        <v>2705</v>
      </c>
      <c r="C1532" s="2" t="s">
        <v>2706</v>
      </c>
      <c r="D1532" s="2" t="s">
        <v>2707</v>
      </c>
      <c r="E1532" s="3" t="s">
        <v>2708</v>
      </c>
      <c r="G1532" s="4" t="s">
        <v>28</v>
      </c>
      <c r="H1532" s="22" t="s">
        <v>104</v>
      </c>
      <c r="I1532" s="22">
        <f>I1531*0.12</f>
        <v>1596.4285714285713</v>
      </c>
      <c r="J1532" s="22"/>
      <c r="K1532" s="22">
        <f t="shared" si="19"/>
        <v>1596.4285714285713</v>
      </c>
      <c r="L1532" s="17"/>
    </row>
    <row r="1533" spans="1:23" x14ac:dyDescent="0.25">
      <c r="A1533" s="10">
        <v>46119</v>
      </c>
      <c r="B1533" s="2" t="s">
        <v>2705</v>
      </c>
      <c r="C1533" s="2" t="s">
        <v>2706</v>
      </c>
      <c r="D1533" s="2" t="s">
        <v>2707</v>
      </c>
      <c r="E1533" s="3" t="s">
        <v>2708</v>
      </c>
      <c r="G1533" s="4" t="s">
        <v>28</v>
      </c>
      <c r="H1533" s="22" t="s">
        <v>105</v>
      </c>
      <c r="I1533" s="22"/>
      <c r="J1533" s="22">
        <f>I1531*0.01</f>
        <v>133.03571428571428</v>
      </c>
      <c r="K1533" s="22">
        <f t="shared" si="19"/>
        <v>133.03571428571428</v>
      </c>
      <c r="L1533" s="17"/>
    </row>
    <row r="1534" spans="1:23" x14ac:dyDescent="0.25">
      <c r="A1534" s="10">
        <v>46119</v>
      </c>
      <c r="B1534" s="2" t="s">
        <v>2705</v>
      </c>
      <c r="C1534" s="2" t="s">
        <v>2706</v>
      </c>
      <c r="D1534" s="2" t="s">
        <v>2707</v>
      </c>
      <c r="E1534" s="3" t="s">
        <v>2708</v>
      </c>
      <c r="G1534" s="4" t="s">
        <v>48</v>
      </c>
      <c r="H1534" s="22" t="s">
        <v>49</v>
      </c>
      <c r="I1534" s="22"/>
      <c r="J1534" s="22">
        <f>I1531+I1532-J1533</f>
        <v>14766.964285714284</v>
      </c>
      <c r="K1534" s="22">
        <f t="shared" si="19"/>
        <v>14766.964285714284</v>
      </c>
      <c r="L1534" s="17"/>
    </row>
    <row r="1535" spans="1:23" ht="24" x14ac:dyDescent="0.25">
      <c r="A1535" s="10">
        <v>46119</v>
      </c>
      <c r="B1535" s="2" t="s">
        <v>2711</v>
      </c>
      <c r="C1535" s="2" t="s">
        <v>2712</v>
      </c>
      <c r="D1535" s="2" t="s">
        <v>2713</v>
      </c>
      <c r="E1535" s="3" t="s">
        <v>1068</v>
      </c>
      <c r="F1535" s="4">
        <v>8587.5</v>
      </c>
      <c r="G1535" s="4" t="s">
        <v>28</v>
      </c>
      <c r="H1535" s="22" t="s">
        <v>40</v>
      </c>
      <c r="I1535" s="22">
        <v>8587.5</v>
      </c>
      <c r="J1535" s="22"/>
      <c r="K1535" s="22">
        <f t="shared" si="19"/>
        <v>8587.5</v>
      </c>
      <c r="L1535" s="17">
        <v>9000</v>
      </c>
      <c r="M1535" s="23" t="s">
        <v>41</v>
      </c>
      <c r="N1535" s="1" t="s">
        <v>2714</v>
      </c>
      <c r="O1535" s="53" t="s">
        <v>1224</v>
      </c>
      <c r="P1535" s="7" t="s">
        <v>81</v>
      </c>
      <c r="R1535" s="7" t="s">
        <v>2715</v>
      </c>
      <c r="S1535" s="3" t="s">
        <v>83</v>
      </c>
      <c r="T1535" s="3" t="s">
        <v>2716</v>
      </c>
      <c r="V1535" s="27">
        <f>L1535-F1535</f>
        <v>412.5</v>
      </c>
    </row>
    <row r="1536" spans="1:23" x14ac:dyDescent="0.25">
      <c r="A1536" s="10">
        <v>46119</v>
      </c>
      <c r="B1536" s="2" t="s">
        <v>2711</v>
      </c>
      <c r="C1536" s="2" t="s">
        <v>2712</v>
      </c>
      <c r="D1536" s="2" t="s">
        <v>2713</v>
      </c>
      <c r="E1536" s="3" t="s">
        <v>1068</v>
      </c>
      <c r="G1536" s="4" t="s">
        <v>48</v>
      </c>
      <c r="H1536" s="22" t="s">
        <v>49</v>
      </c>
      <c r="I1536" s="22"/>
      <c r="J1536" s="22">
        <f>I1535</f>
        <v>8587.5</v>
      </c>
      <c r="K1536" s="22">
        <f t="shared" si="19"/>
        <v>8587.5</v>
      </c>
      <c r="L1536" s="17"/>
      <c r="O1536" s="53"/>
    </row>
    <row r="1537" spans="1:20" x14ac:dyDescent="0.25">
      <c r="A1537" s="10">
        <v>46119</v>
      </c>
      <c r="B1537" s="2" t="s">
        <v>2717</v>
      </c>
      <c r="C1537" s="2" t="s">
        <v>2718</v>
      </c>
      <c r="D1537" s="2" t="s">
        <v>2713</v>
      </c>
      <c r="E1537" s="3" t="s">
        <v>553</v>
      </c>
      <c r="F1537" s="4">
        <f>(756/1.12)+(756/1.12*0.12)-(756/1.12*0.01)</f>
        <v>749.24999999999989</v>
      </c>
      <c r="G1537" s="4" t="s">
        <v>28</v>
      </c>
      <c r="H1537" s="22" t="s">
        <v>40</v>
      </c>
      <c r="I1537" s="22">
        <f>756/1.12</f>
        <v>674.99999999999989</v>
      </c>
      <c r="J1537" s="22"/>
      <c r="K1537" s="22">
        <f t="shared" si="19"/>
        <v>674.99999999999989</v>
      </c>
      <c r="L1537" s="17">
        <v>749.25</v>
      </c>
      <c r="M1537" s="23" t="s">
        <v>41</v>
      </c>
      <c r="N1537" s="54" t="s">
        <v>2719</v>
      </c>
      <c r="O1537" s="7" t="s">
        <v>2720</v>
      </c>
    </row>
    <row r="1538" spans="1:20" x14ac:dyDescent="0.25">
      <c r="A1538" s="10">
        <v>46119</v>
      </c>
      <c r="B1538" s="2" t="s">
        <v>2717</v>
      </c>
      <c r="C1538" s="2" t="s">
        <v>2718</v>
      </c>
      <c r="D1538" s="2" t="s">
        <v>2713</v>
      </c>
      <c r="E1538" s="3" t="s">
        <v>553</v>
      </c>
      <c r="G1538" s="4" t="s">
        <v>28</v>
      </c>
      <c r="H1538" s="22" t="s">
        <v>104</v>
      </c>
      <c r="I1538" s="22">
        <f>I1537*0.12</f>
        <v>80.999999999999986</v>
      </c>
      <c r="J1538" s="22"/>
      <c r="K1538" s="22">
        <f t="shared" si="19"/>
        <v>80.999999999999986</v>
      </c>
      <c r="L1538" s="17"/>
      <c r="N1538" s="54"/>
    </row>
    <row r="1539" spans="1:20" x14ac:dyDescent="0.25">
      <c r="A1539" s="10">
        <v>46119</v>
      </c>
      <c r="B1539" s="2" t="s">
        <v>2717</v>
      </c>
      <c r="C1539" s="2" t="s">
        <v>2718</v>
      </c>
      <c r="D1539" s="2" t="s">
        <v>2713</v>
      </c>
      <c r="E1539" s="3" t="s">
        <v>553</v>
      </c>
      <c r="G1539" s="4" t="s">
        <v>28</v>
      </c>
      <c r="H1539" s="22" t="s">
        <v>105</v>
      </c>
      <c r="I1539" s="22"/>
      <c r="J1539" s="22">
        <f>I1537*0.01</f>
        <v>6.7499999999999991</v>
      </c>
      <c r="K1539" s="22">
        <f t="shared" si="19"/>
        <v>6.7499999999999991</v>
      </c>
      <c r="L1539" s="17"/>
      <c r="N1539" s="54"/>
    </row>
    <row r="1540" spans="1:20" x14ac:dyDescent="0.25">
      <c r="A1540" s="10">
        <v>46119</v>
      </c>
      <c r="B1540" s="2" t="s">
        <v>2717</v>
      </c>
      <c r="C1540" s="2" t="s">
        <v>2718</v>
      </c>
      <c r="D1540" s="2" t="s">
        <v>2713</v>
      </c>
      <c r="E1540" s="3" t="s">
        <v>553</v>
      </c>
      <c r="G1540" s="4" t="s">
        <v>48</v>
      </c>
      <c r="H1540" s="22" t="s">
        <v>49</v>
      </c>
      <c r="I1540" s="22"/>
      <c r="J1540" s="22">
        <f>I1537+I1538-J1539</f>
        <v>749.24999999999989</v>
      </c>
      <c r="K1540" s="22">
        <f t="shared" si="19"/>
        <v>749.24999999999989</v>
      </c>
      <c r="L1540" s="17"/>
      <c r="N1540" s="54"/>
    </row>
    <row r="1541" spans="1:20" ht="24" x14ac:dyDescent="0.25">
      <c r="A1541" s="10">
        <v>46119</v>
      </c>
      <c r="B1541" s="2" t="s">
        <v>2721</v>
      </c>
      <c r="C1541" s="2" t="s">
        <v>2722</v>
      </c>
      <c r="D1541" s="2" t="s">
        <v>2723</v>
      </c>
      <c r="E1541" s="3" t="s">
        <v>553</v>
      </c>
      <c r="F1541" s="4">
        <f>(470/1.12)+(470/1.12*0.12)-(470/1.12*0.01)</f>
        <v>465.80357142857139</v>
      </c>
      <c r="G1541" s="4" t="s">
        <v>28</v>
      </c>
      <c r="H1541" s="22" t="s">
        <v>40</v>
      </c>
      <c r="I1541" s="22">
        <f>470/1.12</f>
        <v>419.64285714285711</v>
      </c>
      <c r="J1541" s="22"/>
      <c r="K1541" s="22">
        <f t="shared" si="19"/>
        <v>419.64285714285711</v>
      </c>
      <c r="L1541" s="17">
        <v>465.8</v>
      </c>
      <c r="M1541" s="23" t="s">
        <v>41</v>
      </c>
      <c r="N1541" s="1" t="s">
        <v>2724</v>
      </c>
      <c r="O1541" s="24" t="s">
        <v>2720</v>
      </c>
    </row>
    <row r="1542" spans="1:20" x14ac:dyDescent="0.25">
      <c r="A1542" s="10">
        <v>46119</v>
      </c>
      <c r="B1542" s="2" t="s">
        <v>2721</v>
      </c>
      <c r="C1542" s="2" t="s">
        <v>2722</v>
      </c>
      <c r="D1542" s="2" t="s">
        <v>2723</v>
      </c>
      <c r="E1542" s="3" t="s">
        <v>553</v>
      </c>
      <c r="G1542" s="4" t="s">
        <v>28</v>
      </c>
      <c r="H1542" s="22" t="s">
        <v>104</v>
      </c>
      <c r="I1542" s="22">
        <f>I1541*0.12</f>
        <v>50.357142857142854</v>
      </c>
      <c r="J1542" s="22"/>
      <c r="K1542" s="22">
        <f t="shared" si="19"/>
        <v>50.357142857142854</v>
      </c>
      <c r="L1542" s="17"/>
    </row>
    <row r="1543" spans="1:20" x14ac:dyDescent="0.25">
      <c r="A1543" s="10">
        <v>46119</v>
      </c>
      <c r="B1543" s="2" t="s">
        <v>2721</v>
      </c>
      <c r="C1543" s="2" t="s">
        <v>2722</v>
      </c>
      <c r="D1543" s="2" t="s">
        <v>2723</v>
      </c>
      <c r="E1543" s="3" t="s">
        <v>553</v>
      </c>
      <c r="G1543" s="4" t="s">
        <v>28</v>
      </c>
      <c r="H1543" s="22" t="s">
        <v>105</v>
      </c>
      <c r="I1543" s="22"/>
      <c r="J1543" s="22">
        <f>I1541*0.01</f>
        <v>4.1964285714285712</v>
      </c>
      <c r="K1543" s="22">
        <f t="shared" si="19"/>
        <v>4.1964285714285712</v>
      </c>
      <c r="L1543" s="17"/>
    </row>
    <row r="1544" spans="1:20" x14ac:dyDescent="0.25">
      <c r="A1544" s="10">
        <v>46119</v>
      </c>
      <c r="B1544" s="2" t="s">
        <v>2721</v>
      </c>
      <c r="C1544" s="2" t="s">
        <v>2722</v>
      </c>
      <c r="D1544" s="2" t="s">
        <v>2723</v>
      </c>
      <c r="E1544" s="3" t="s">
        <v>553</v>
      </c>
      <c r="G1544" s="4" t="s">
        <v>48</v>
      </c>
      <c r="H1544" s="22" t="s">
        <v>49</v>
      </c>
      <c r="I1544" s="22"/>
      <c r="J1544" s="22">
        <f>I1541+I1542-J1543</f>
        <v>465.80357142857139</v>
      </c>
      <c r="K1544" s="22">
        <f t="shared" si="19"/>
        <v>465.80357142857139</v>
      </c>
      <c r="L1544" s="17"/>
    </row>
    <row r="1545" spans="1:20" ht="24" x14ac:dyDescent="0.25">
      <c r="A1545" s="10">
        <v>46119</v>
      </c>
      <c r="B1545" s="2" t="s">
        <v>2725</v>
      </c>
      <c r="C1545" s="2">
        <v>927404116</v>
      </c>
      <c r="D1545" s="2" t="s">
        <v>2726</v>
      </c>
      <c r="E1545" s="3" t="s">
        <v>1319</v>
      </c>
      <c r="F1545" s="4">
        <f>9596+7</f>
        <v>9603</v>
      </c>
      <c r="G1545" s="4" t="s">
        <v>48</v>
      </c>
      <c r="H1545" s="22" t="s">
        <v>1320</v>
      </c>
      <c r="I1545" s="22">
        <v>9596</v>
      </c>
      <c r="J1545" s="22"/>
      <c r="K1545" s="22">
        <f t="shared" si="19"/>
        <v>9596</v>
      </c>
      <c r="L1545" s="17">
        <v>9603</v>
      </c>
      <c r="M1545" s="23" t="s">
        <v>41</v>
      </c>
      <c r="N1545" s="1" t="s">
        <v>2727</v>
      </c>
      <c r="O1545" s="7" t="s">
        <v>2728</v>
      </c>
      <c r="P1545" s="7" t="s">
        <v>2728</v>
      </c>
      <c r="R1545" s="7" t="s">
        <v>2704</v>
      </c>
      <c r="S1545" s="3" t="s">
        <v>83</v>
      </c>
      <c r="T1545" s="3" t="s">
        <v>2376</v>
      </c>
    </row>
    <row r="1546" spans="1:20" x14ac:dyDescent="0.25">
      <c r="A1546" s="10">
        <v>46119</v>
      </c>
      <c r="B1546" s="2" t="s">
        <v>2725</v>
      </c>
      <c r="C1546" s="2">
        <v>927404116</v>
      </c>
      <c r="D1546" s="2" t="s">
        <v>2726</v>
      </c>
      <c r="E1546" s="3" t="s">
        <v>1319</v>
      </c>
      <c r="G1546" s="4" t="s">
        <v>48</v>
      </c>
      <c r="H1546" s="22" t="s">
        <v>47</v>
      </c>
      <c r="I1546" s="22">
        <v>7</v>
      </c>
      <c r="J1546" s="22"/>
      <c r="K1546" s="22">
        <f t="shared" si="19"/>
        <v>7</v>
      </c>
      <c r="L1546" s="17"/>
    </row>
    <row r="1547" spans="1:20" x14ac:dyDescent="0.25">
      <c r="A1547" s="10">
        <v>46119</v>
      </c>
      <c r="B1547" s="2" t="s">
        <v>2725</v>
      </c>
      <c r="C1547" s="2">
        <v>927404116</v>
      </c>
      <c r="D1547" s="2" t="s">
        <v>2726</v>
      </c>
      <c r="E1547" s="3" t="s">
        <v>1319</v>
      </c>
      <c r="G1547" s="4" t="s">
        <v>48</v>
      </c>
      <c r="H1547" s="22" t="s">
        <v>49</v>
      </c>
      <c r="I1547" s="22"/>
      <c r="J1547" s="22">
        <f>I1545+I1546</f>
        <v>9603</v>
      </c>
      <c r="K1547" s="22">
        <f t="shared" si="19"/>
        <v>9603</v>
      </c>
      <c r="L1547" s="17"/>
    </row>
    <row r="1548" spans="1:20" ht="24" x14ac:dyDescent="0.25">
      <c r="A1548" s="10">
        <v>46119</v>
      </c>
      <c r="B1548" s="2" t="s">
        <v>2729</v>
      </c>
      <c r="C1548" s="2">
        <v>929950485</v>
      </c>
      <c r="D1548" s="2" t="s">
        <v>2726</v>
      </c>
      <c r="E1548" s="3" t="s">
        <v>1319</v>
      </c>
      <c r="F1548" s="4">
        <f>2549+20+7</f>
        <v>2576</v>
      </c>
      <c r="G1548" s="3" t="s">
        <v>110</v>
      </c>
      <c r="H1548" s="22" t="s">
        <v>1320</v>
      </c>
      <c r="I1548" s="22">
        <v>2549</v>
      </c>
      <c r="J1548" s="22"/>
      <c r="K1548" s="22">
        <f t="shared" si="19"/>
        <v>2549</v>
      </c>
      <c r="L1548" s="17">
        <v>2576</v>
      </c>
      <c r="M1548" s="23" t="s">
        <v>41</v>
      </c>
      <c r="N1548" s="1" t="s">
        <v>2730</v>
      </c>
      <c r="O1548" s="7" t="s">
        <v>2728</v>
      </c>
      <c r="P1548" s="7" t="s">
        <v>1323</v>
      </c>
      <c r="R1548" s="7" t="s">
        <v>2704</v>
      </c>
      <c r="S1548" s="3" t="s">
        <v>83</v>
      </c>
      <c r="T1548" s="3" t="s">
        <v>2376</v>
      </c>
    </row>
    <row r="1549" spans="1:20" x14ac:dyDescent="0.25">
      <c r="A1549" s="10">
        <v>46119</v>
      </c>
      <c r="B1549" s="2" t="s">
        <v>2729</v>
      </c>
      <c r="C1549" s="2">
        <v>929950485</v>
      </c>
      <c r="D1549" s="2" t="s">
        <v>2726</v>
      </c>
      <c r="E1549" s="3" t="s">
        <v>1319</v>
      </c>
      <c r="G1549" s="3" t="s">
        <v>110</v>
      </c>
      <c r="H1549" s="22" t="s">
        <v>47</v>
      </c>
      <c r="I1549" s="22">
        <v>27</v>
      </c>
      <c r="J1549" s="22"/>
      <c r="K1549" s="22">
        <f t="shared" si="19"/>
        <v>27</v>
      </c>
      <c r="L1549" s="17"/>
    </row>
    <row r="1550" spans="1:20" x14ac:dyDescent="0.25">
      <c r="A1550" s="10">
        <v>46119</v>
      </c>
      <c r="B1550" s="2" t="s">
        <v>2729</v>
      </c>
      <c r="C1550" s="2">
        <v>929950485</v>
      </c>
      <c r="D1550" s="2" t="s">
        <v>2726</v>
      </c>
      <c r="E1550" s="3" t="s">
        <v>1319</v>
      </c>
      <c r="G1550" s="4" t="s">
        <v>48</v>
      </c>
      <c r="H1550" s="22" t="s">
        <v>49</v>
      </c>
      <c r="I1550" s="22"/>
      <c r="J1550" s="22">
        <f>I1548+I1549</f>
        <v>2576</v>
      </c>
      <c r="K1550" s="22">
        <f t="shared" si="19"/>
        <v>2576</v>
      </c>
      <c r="L1550" s="17"/>
    </row>
    <row r="1551" spans="1:20" ht="24" x14ac:dyDescent="0.25">
      <c r="A1551" s="10">
        <v>46119</v>
      </c>
      <c r="B1551" s="2" t="s">
        <v>2731</v>
      </c>
      <c r="C1551" s="2">
        <v>251583420</v>
      </c>
      <c r="D1551" s="2" t="s">
        <v>2732</v>
      </c>
      <c r="E1551" s="3" t="s">
        <v>1333</v>
      </c>
      <c r="F1551" s="4">
        <v>5360.39</v>
      </c>
      <c r="G1551" s="4" t="s">
        <v>98</v>
      </c>
      <c r="H1551" s="22" t="s">
        <v>1320</v>
      </c>
      <c r="I1551" s="22">
        <f>5360.39/2</f>
        <v>2680.1950000000002</v>
      </c>
      <c r="J1551" s="22"/>
      <c r="K1551" s="22">
        <f t="shared" si="19"/>
        <v>2680.1950000000002</v>
      </c>
      <c r="L1551" s="17">
        <v>5360.39</v>
      </c>
      <c r="M1551" s="23" t="s">
        <v>41</v>
      </c>
      <c r="N1551" s="1" t="s">
        <v>2733</v>
      </c>
      <c r="O1551" s="7" t="s">
        <v>2734</v>
      </c>
      <c r="P1551" s="7" t="s">
        <v>2734</v>
      </c>
      <c r="R1551" s="7" t="s">
        <v>2704</v>
      </c>
      <c r="S1551" s="3" t="s">
        <v>83</v>
      </c>
      <c r="T1551" s="3" t="s">
        <v>2376</v>
      </c>
    </row>
    <row r="1552" spans="1:20" x14ac:dyDescent="0.25">
      <c r="A1552" s="10">
        <v>46119</v>
      </c>
      <c r="B1552" s="2" t="s">
        <v>2731</v>
      </c>
      <c r="C1552" s="2" t="s">
        <v>1331</v>
      </c>
      <c r="D1552" s="2" t="s">
        <v>2732</v>
      </c>
      <c r="E1552" s="3" t="s">
        <v>1333</v>
      </c>
      <c r="G1552" s="4" t="s">
        <v>262</v>
      </c>
      <c r="H1552" s="22" t="s">
        <v>1320</v>
      </c>
      <c r="I1552" s="22">
        <f>5360.39/2</f>
        <v>2680.1950000000002</v>
      </c>
      <c r="J1552" s="22"/>
      <c r="K1552" s="22">
        <f t="shared" si="19"/>
        <v>2680.1950000000002</v>
      </c>
      <c r="L1552" s="17"/>
    </row>
    <row r="1553" spans="1:23" x14ac:dyDescent="0.25">
      <c r="A1553" s="10">
        <v>46119</v>
      </c>
      <c r="B1553" s="2" t="s">
        <v>2731</v>
      </c>
      <c r="C1553" s="2" t="s">
        <v>1331</v>
      </c>
      <c r="D1553" s="2" t="s">
        <v>2732</v>
      </c>
      <c r="E1553" s="3" t="s">
        <v>1333</v>
      </c>
      <c r="G1553" s="4" t="s">
        <v>48</v>
      </c>
      <c r="H1553" s="22" t="s">
        <v>49</v>
      </c>
      <c r="I1553" s="22"/>
      <c r="J1553" s="22">
        <f>I1551+I1552</f>
        <v>5360.39</v>
      </c>
      <c r="K1553" s="22">
        <f t="shared" si="19"/>
        <v>5360.39</v>
      </c>
      <c r="L1553" s="17"/>
    </row>
    <row r="1554" spans="1:23" ht="24" x14ac:dyDescent="0.25">
      <c r="A1554" s="10">
        <v>46119</v>
      </c>
      <c r="B1554" s="2" t="s">
        <v>2735</v>
      </c>
      <c r="E1554" s="3" t="s">
        <v>2603</v>
      </c>
      <c r="F1554" s="4">
        <v>67462</v>
      </c>
      <c r="G1554" s="4" t="s">
        <v>28</v>
      </c>
      <c r="H1554" s="22" t="s">
        <v>2604</v>
      </c>
      <c r="I1554" s="22">
        <v>67462</v>
      </c>
      <c r="J1554" s="22"/>
      <c r="K1554" s="22">
        <f t="shared" si="19"/>
        <v>67462</v>
      </c>
      <c r="L1554" s="17">
        <v>67462</v>
      </c>
      <c r="M1554" s="23" t="s">
        <v>41</v>
      </c>
      <c r="N1554" s="1" t="s">
        <v>2736</v>
      </c>
      <c r="O1554" s="7" t="s">
        <v>2737</v>
      </c>
      <c r="P1554" s="7" t="s">
        <v>2681</v>
      </c>
      <c r="R1554" s="7" t="s">
        <v>1956</v>
      </c>
      <c r="S1554" s="3" t="s">
        <v>2738</v>
      </c>
      <c r="T1554" s="3" t="s">
        <v>2739</v>
      </c>
      <c r="W1554" s="9" t="s">
        <v>116</v>
      </c>
    </row>
    <row r="1555" spans="1:23" x14ac:dyDescent="0.25">
      <c r="A1555" s="10">
        <v>46119</v>
      </c>
      <c r="B1555" s="2" t="s">
        <v>2735</v>
      </c>
      <c r="E1555" s="3" t="s">
        <v>2603</v>
      </c>
      <c r="G1555" s="4" t="s">
        <v>48</v>
      </c>
      <c r="H1555" s="22" t="s">
        <v>49</v>
      </c>
      <c r="I1555" s="22"/>
      <c r="J1555" s="22">
        <f>I1554</f>
        <v>67462</v>
      </c>
      <c r="K1555" s="22">
        <f t="shared" si="19"/>
        <v>67462</v>
      </c>
      <c r="L1555" s="17"/>
    </row>
    <row r="1556" spans="1:23" ht="24" x14ac:dyDescent="0.25">
      <c r="A1556" s="10">
        <v>46119</v>
      </c>
      <c r="B1556" s="2" t="s">
        <v>2740</v>
      </c>
      <c r="C1556" s="2" t="s">
        <v>470</v>
      </c>
      <c r="D1556" s="2" t="s">
        <v>2741</v>
      </c>
      <c r="E1556" s="3" t="s">
        <v>472</v>
      </c>
      <c r="F1556" s="4">
        <v>15575.36</v>
      </c>
      <c r="G1556" s="4" t="s">
        <v>48</v>
      </c>
      <c r="H1556" s="22"/>
      <c r="I1556" s="22"/>
      <c r="J1556" s="22"/>
      <c r="K1556" s="22">
        <f t="shared" si="19"/>
        <v>0</v>
      </c>
      <c r="L1556" s="17"/>
      <c r="M1556" s="6" t="s">
        <v>581</v>
      </c>
      <c r="N1556" s="1" t="s">
        <v>2742</v>
      </c>
    </row>
    <row r="1557" spans="1:23" x14ac:dyDescent="0.25">
      <c r="A1557" s="10">
        <v>46119</v>
      </c>
      <c r="B1557" s="2" t="s">
        <v>2743</v>
      </c>
      <c r="E1557" s="3" t="s">
        <v>398</v>
      </c>
      <c r="F1557" s="4">
        <v>300000</v>
      </c>
      <c r="G1557" s="4" t="s">
        <v>167</v>
      </c>
      <c r="H1557" s="22"/>
      <c r="I1557" s="22"/>
      <c r="J1557" s="22"/>
      <c r="K1557" s="22">
        <f t="shared" si="19"/>
        <v>0</v>
      </c>
      <c r="L1557" s="17"/>
    </row>
    <row r="1558" spans="1:23" x14ac:dyDescent="0.25">
      <c r="A1558" s="10">
        <v>46119</v>
      </c>
      <c r="B1558" s="2" t="s">
        <v>2744</v>
      </c>
      <c r="E1558" s="3" t="s">
        <v>955</v>
      </c>
      <c r="F1558" s="4">
        <v>300000</v>
      </c>
      <c r="G1558" s="4" t="s">
        <v>48</v>
      </c>
      <c r="H1558" s="22"/>
      <c r="I1558" s="22"/>
      <c r="J1558" s="22"/>
      <c r="K1558" s="22">
        <f t="shared" si="19"/>
        <v>0</v>
      </c>
      <c r="L1558" s="17"/>
    </row>
    <row r="1559" spans="1:23" x14ac:dyDescent="0.25">
      <c r="A1559" s="10">
        <v>46119</v>
      </c>
      <c r="B1559" s="2" t="s">
        <v>2745</v>
      </c>
      <c r="E1559" s="3" t="s">
        <v>27</v>
      </c>
      <c r="F1559" s="4">
        <v>1000000</v>
      </c>
      <c r="G1559" s="4" t="s">
        <v>326</v>
      </c>
      <c r="H1559" s="22"/>
      <c r="I1559" s="22"/>
      <c r="J1559" s="22"/>
      <c r="K1559" s="22">
        <f t="shared" si="19"/>
        <v>0</v>
      </c>
      <c r="L1559" s="17"/>
    </row>
    <row r="1560" spans="1:23" x14ac:dyDescent="0.25">
      <c r="A1560" s="10">
        <v>46119</v>
      </c>
      <c r="B1560" s="2" t="s">
        <v>2746</v>
      </c>
      <c r="D1560" s="31" t="s">
        <v>180</v>
      </c>
      <c r="E1560" s="3" t="s">
        <v>181</v>
      </c>
      <c r="F1560" s="4">
        <v>500000</v>
      </c>
      <c r="G1560" s="4" t="s">
        <v>167</v>
      </c>
      <c r="H1560" s="22"/>
      <c r="I1560" s="22"/>
      <c r="J1560" s="22"/>
      <c r="K1560" s="22">
        <f t="shared" si="19"/>
        <v>0</v>
      </c>
      <c r="L1560" s="17"/>
      <c r="N1560" s="1" t="s">
        <v>2747</v>
      </c>
    </row>
    <row r="1561" spans="1:23" x14ac:dyDescent="0.25">
      <c r="A1561" s="10">
        <v>46119</v>
      </c>
      <c r="B1561" s="2" t="s">
        <v>2748</v>
      </c>
      <c r="E1561" s="3" t="s">
        <v>190</v>
      </c>
      <c r="F1561" s="4">
        <v>150000</v>
      </c>
      <c r="G1561" s="4" t="s">
        <v>167</v>
      </c>
      <c r="H1561" s="22"/>
      <c r="I1561" s="22"/>
      <c r="J1561" s="22"/>
      <c r="K1561" s="22">
        <f t="shared" si="19"/>
        <v>0</v>
      </c>
      <c r="L1561" s="17"/>
    </row>
    <row r="1562" spans="1:23" x14ac:dyDescent="0.25">
      <c r="A1562" s="10">
        <v>46119</v>
      </c>
      <c r="B1562" s="2" t="s">
        <v>2749</v>
      </c>
      <c r="E1562" s="3" t="s">
        <v>190</v>
      </c>
      <c r="F1562" s="4">
        <v>50000</v>
      </c>
      <c r="G1562" s="4" t="s">
        <v>167</v>
      </c>
      <c r="H1562" s="22"/>
      <c r="I1562" s="22"/>
      <c r="J1562" s="22"/>
      <c r="K1562" s="22">
        <f t="shared" si="19"/>
        <v>0</v>
      </c>
      <c r="L1562" s="17"/>
    </row>
    <row r="1563" spans="1:23" x14ac:dyDescent="0.25">
      <c r="A1563" s="10">
        <v>46119</v>
      </c>
      <c r="B1563" s="2" t="s">
        <v>2750</v>
      </c>
      <c r="E1563" s="3" t="s">
        <v>166</v>
      </c>
      <c r="F1563" s="4">
        <v>200000</v>
      </c>
      <c r="G1563" s="4" t="s">
        <v>167</v>
      </c>
      <c r="H1563" s="22"/>
      <c r="I1563" s="22"/>
      <c r="J1563" s="22"/>
      <c r="K1563" s="22">
        <f t="shared" si="19"/>
        <v>0</v>
      </c>
      <c r="L1563" s="17"/>
    </row>
    <row r="1564" spans="1:23" x14ac:dyDescent="0.25">
      <c r="A1564" s="10">
        <v>46119</v>
      </c>
      <c r="B1564" s="2" t="s">
        <v>2751</v>
      </c>
      <c r="E1564" s="3" t="s">
        <v>398</v>
      </c>
      <c r="F1564" s="4">
        <v>60000</v>
      </c>
      <c r="G1564" s="4" t="s">
        <v>167</v>
      </c>
      <c r="H1564" s="22"/>
      <c r="I1564" s="22"/>
      <c r="J1564" s="22"/>
      <c r="K1564" s="22">
        <f t="shared" si="19"/>
        <v>0</v>
      </c>
      <c r="L1564" s="17"/>
    </row>
    <row r="1565" spans="1:23" x14ac:dyDescent="0.25">
      <c r="A1565" s="10">
        <v>46119</v>
      </c>
      <c r="B1565" s="2" t="s">
        <v>2752</v>
      </c>
      <c r="E1565" s="3" t="s">
        <v>398</v>
      </c>
      <c r="F1565" s="4">
        <v>40000</v>
      </c>
      <c r="G1565" s="4" t="s">
        <v>167</v>
      </c>
      <c r="H1565" s="22"/>
      <c r="I1565" s="22"/>
      <c r="J1565" s="22"/>
      <c r="K1565" s="22">
        <f t="shared" si="19"/>
        <v>0</v>
      </c>
      <c r="L1565" s="17"/>
    </row>
    <row r="1566" spans="1:23" ht="24" x14ac:dyDescent="0.25">
      <c r="A1566" s="10">
        <v>46119</v>
      </c>
      <c r="B1566" s="2" t="s">
        <v>2753</v>
      </c>
      <c r="C1566" s="2" t="s">
        <v>2754</v>
      </c>
      <c r="D1566" s="2" t="s">
        <v>2755</v>
      </c>
      <c r="E1566" s="3" t="s">
        <v>97</v>
      </c>
      <c r="F1566" s="4">
        <f>(4319.08/1.12)+(4319.08/1.12*0.12)-(4319.08/1.12*0.01)</f>
        <v>4280.5167857142851</v>
      </c>
      <c r="G1566" s="4" t="s">
        <v>28</v>
      </c>
      <c r="H1566" s="22" t="s">
        <v>40</v>
      </c>
      <c r="I1566" s="22">
        <f>4832.14/1.12</f>
        <v>4314.4107142857138</v>
      </c>
      <c r="J1566" s="22"/>
      <c r="K1566" s="22">
        <f t="shared" si="19"/>
        <v>4314.4107142857138</v>
      </c>
      <c r="L1566" s="17"/>
      <c r="M1566" s="6" t="s">
        <v>581</v>
      </c>
      <c r="N1566" s="1" t="s">
        <v>2756</v>
      </c>
    </row>
    <row r="1567" spans="1:23" x14ac:dyDescent="0.25">
      <c r="A1567" s="10">
        <v>46119</v>
      </c>
      <c r="B1567" s="2" t="s">
        <v>2753</v>
      </c>
      <c r="C1567" s="2" t="s">
        <v>2754</v>
      </c>
      <c r="D1567" s="2" t="s">
        <v>2755</v>
      </c>
      <c r="E1567" s="3" t="s">
        <v>97</v>
      </c>
      <c r="G1567" s="4" t="s">
        <v>28</v>
      </c>
      <c r="H1567" s="22" t="s">
        <v>104</v>
      </c>
      <c r="I1567" s="22">
        <f>I1566*0.12</f>
        <v>517.72928571428565</v>
      </c>
      <c r="J1567" s="22"/>
      <c r="K1567" s="22">
        <f t="shared" si="19"/>
        <v>517.72928571428565</v>
      </c>
      <c r="L1567" s="17"/>
    </row>
    <row r="1568" spans="1:23" x14ac:dyDescent="0.25">
      <c r="A1568" s="10">
        <v>46119</v>
      </c>
      <c r="B1568" s="2" t="s">
        <v>2753</v>
      </c>
      <c r="C1568" s="2" t="s">
        <v>2754</v>
      </c>
      <c r="D1568" s="2" t="s">
        <v>2755</v>
      </c>
      <c r="E1568" s="3" t="s">
        <v>97</v>
      </c>
      <c r="G1568" s="4" t="s">
        <v>28</v>
      </c>
      <c r="H1568" s="22" t="s">
        <v>105</v>
      </c>
      <c r="I1568" s="22"/>
      <c r="J1568" s="22">
        <f>I1566*0.01</f>
        <v>43.144107142857138</v>
      </c>
      <c r="K1568" s="22">
        <f t="shared" si="19"/>
        <v>43.144107142857138</v>
      </c>
      <c r="L1568" s="17"/>
    </row>
    <row r="1569" spans="1:14" x14ac:dyDescent="0.25">
      <c r="A1569" s="10">
        <v>46119</v>
      </c>
      <c r="B1569" s="2" t="s">
        <v>2753</v>
      </c>
      <c r="C1569" s="2" t="s">
        <v>2754</v>
      </c>
      <c r="D1569" s="2" t="s">
        <v>2755</v>
      </c>
      <c r="E1569" s="3" t="s">
        <v>97</v>
      </c>
      <c r="G1569" s="4" t="s">
        <v>48</v>
      </c>
      <c r="H1569" s="22" t="s">
        <v>49</v>
      </c>
      <c r="I1569" s="22"/>
      <c r="J1569" s="22">
        <f>I1566+I1567-J1568</f>
        <v>4788.9958928571423</v>
      </c>
      <c r="K1569" s="22">
        <f t="shared" si="19"/>
        <v>4788.9958928571423</v>
      </c>
      <c r="L1569" s="17"/>
    </row>
    <row r="1570" spans="1:14" ht="24" x14ac:dyDescent="0.25">
      <c r="A1570" s="10">
        <v>46119</v>
      </c>
      <c r="B1570" s="2" t="s">
        <v>2757</v>
      </c>
      <c r="C1570" s="2" t="s">
        <v>2758</v>
      </c>
      <c r="D1570" s="2" t="s">
        <v>2759</v>
      </c>
      <c r="E1570" s="3" t="s">
        <v>2760</v>
      </c>
      <c r="F1570" s="4">
        <f>(2970/1.12)+(2970/1.12*0.12)-(2970/1.12*0.01)</f>
        <v>2943.4821428571427</v>
      </c>
      <c r="G1570" s="4" t="s">
        <v>28</v>
      </c>
      <c r="H1570" s="22" t="s">
        <v>40</v>
      </c>
      <c r="I1570" s="22">
        <f>3000/1.12</f>
        <v>2678.5714285714284</v>
      </c>
      <c r="J1570" s="22"/>
      <c r="K1570" s="22">
        <f t="shared" si="19"/>
        <v>2678.5714285714284</v>
      </c>
      <c r="L1570" s="17"/>
      <c r="M1570" s="6" t="s">
        <v>581</v>
      </c>
      <c r="N1570" s="1" t="s">
        <v>2761</v>
      </c>
    </row>
    <row r="1571" spans="1:14" x14ac:dyDescent="0.25">
      <c r="A1571" s="10">
        <v>46119</v>
      </c>
      <c r="B1571" s="2" t="s">
        <v>2757</v>
      </c>
      <c r="C1571" s="2" t="s">
        <v>2758</v>
      </c>
      <c r="D1571" s="2" t="s">
        <v>2759</v>
      </c>
      <c r="E1571" s="3" t="s">
        <v>2760</v>
      </c>
      <c r="G1571" s="4" t="s">
        <v>28</v>
      </c>
      <c r="H1571" s="22" t="s">
        <v>104</v>
      </c>
      <c r="I1571" s="22">
        <f>I1570*0.12</f>
        <v>321.42857142857139</v>
      </c>
      <c r="J1571" s="22"/>
      <c r="K1571" s="22">
        <f t="shared" si="19"/>
        <v>321.42857142857139</v>
      </c>
      <c r="L1571" s="17"/>
    </row>
    <row r="1572" spans="1:14" x14ac:dyDescent="0.25">
      <c r="A1572" s="10">
        <v>46119</v>
      </c>
      <c r="B1572" s="2" t="s">
        <v>2757</v>
      </c>
      <c r="C1572" s="2" t="s">
        <v>2758</v>
      </c>
      <c r="D1572" s="2" t="s">
        <v>2759</v>
      </c>
      <c r="E1572" s="3" t="s">
        <v>2760</v>
      </c>
      <c r="G1572" s="4" t="s">
        <v>28</v>
      </c>
      <c r="H1572" s="22" t="s">
        <v>105</v>
      </c>
      <c r="I1572" s="22"/>
      <c r="J1572" s="22">
        <f>I1570*0.01</f>
        <v>26.785714285714285</v>
      </c>
      <c r="K1572" s="22">
        <f t="shared" si="19"/>
        <v>26.785714285714285</v>
      </c>
      <c r="L1572" s="17"/>
    </row>
    <row r="1573" spans="1:14" x14ac:dyDescent="0.25">
      <c r="A1573" s="10">
        <v>46119</v>
      </c>
      <c r="B1573" s="2" t="s">
        <v>2757</v>
      </c>
      <c r="C1573" s="2" t="s">
        <v>2758</v>
      </c>
      <c r="D1573" s="2" t="s">
        <v>2759</v>
      </c>
      <c r="E1573" s="3" t="s">
        <v>2760</v>
      </c>
      <c r="G1573" s="4" t="s">
        <v>48</v>
      </c>
      <c r="H1573" s="22" t="s">
        <v>49</v>
      </c>
      <c r="I1573" s="22"/>
      <c r="J1573" s="22">
        <f>I1570+I1571-J1572</f>
        <v>2973.2142857142858</v>
      </c>
      <c r="K1573" s="22">
        <f t="shared" si="19"/>
        <v>2973.2142857142858</v>
      </c>
      <c r="L1573" s="17"/>
    </row>
    <row r="1574" spans="1:14" x14ac:dyDescent="0.25">
      <c r="A1574" s="10">
        <v>46119</v>
      </c>
      <c r="B1574" s="2" t="s">
        <v>2762</v>
      </c>
      <c r="C1574" s="2" t="s">
        <v>141</v>
      </c>
      <c r="E1574" s="3" t="s">
        <v>27</v>
      </c>
      <c r="F1574" s="4">
        <v>350000</v>
      </c>
      <c r="H1574" s="22"/>
      <c r="I1574" s="22"/>
      <c r="J1574" s="22"/>
      <c r="K1574" s="22">
        <f t="shared" si="19"/>
        <v>0</v>
      </c>
      <c r="L1574" s="17"/>
    </row>
    <row r="1575" spans="1:14" x14ac:dyDescent="0.25">
      <c r="A1575" s="10">
        <v>46119</v>
      </c>
      <c r="B1575" s="2" t="s">
        <v>2763</v>
      </c>
      <c r="C1575" s="2" t="s">
        <v>141</v>
      </c>
      <c r="E1575" s="3" t="s">
        <v>27</v>
      </c>
      <c r="F1575" s="4">
        <v>200000</v>
      </c>
      <c r="H1575" s="22"/>
      <c r="I1575" s="22"/>
      <c r="J1575" s="22"/>
      <c r="K1575" s="22">
        <f t="shared" si="19"/>
        <v>0</v>
      </c>
      <c r="L1575" s="17"/>
    </row>
    <row r="1576" spans="1:14" x14ac:dyDescent="0.25">
      <c r="A1576" s="10">
        <v>46119</v>
      </c>
      <c r="B1576" s="2" t="s">
        <v>2764</v>
      </c>
      <c r="C1576" s="2" t="s">
        <v>310</v>
      </c>
      <c r="E1576" s="3" t="s">
        <v>27</v>
      </c>
      <c r="F1576" s="4">
        <v>1600000</v>
      </c>
      <c r="H1576" s="22"/>
      <c r="I1576" s="22"/>
      <c r="J1576" s="22"/>
      <c r="K1576" s="22">
        <f t="shared" si="19"/>
        <v>0</v>
      </c>
      <c r="L1576" s="17"/>
    </row>
    <row r="1577" spans="1:14" x14ac:dyDescent="0.25">
      <c r="A1577" s="10">
        <v>46120</v>
      </c>
      <c r="B1577" s="2" t="s">
        <v>2765</v>
      </c>
      <c r="E1577" s="3" t="s">
        <v>398</v>
      </c>
      <c r="F1577" s="4">
        <v>20860</v>
      </c>
      <c r="G1577" s="4" t="s">
        <v>167</v>
      </c>
      <c r="H1577" s="22"/>
      <c r="I1577" s="22"/>
      <c r="J1577" s="22"/>
      <c r="K1577" s="22">
        <f t="shared" si="19"/>
        <v>0</v>
      </c>
      <c r="L1577" s="17"/>
    </row>
    <row r="1578" spans="1:14" x14ac:dyDescent="0.25">
      <c r="A1578" s="10">
        <v>46120</v>
      </c>
      <c r="B1578" s="2" t="s">
        <v>2766</v>
      </c>
      <c r="E1578" s="3" t="s">
        <v>467</v>
      </c>
      <c r="F1578" s="4">
        <v>200000</v>
      </c>
      <c r="G1578" s="4" t="s">
        <v>167</v>
      </c>
      <c r="H1578" s="22" t="s">
        <v>168</v>
      </c>
      <c r="I1578" s="22">
        <v>200000</v>
      </c>
      <c r="J1578" s="22"/>
      <c r="K1578" s="22">
        <f t="shared" si="19"/>
        <v>200000</v>
      </c>
      <c r="L1578" s="17">
        <v>200000</v>
      </c>
      <c r="M1578" s="23" t="s">
        <v>41</v>
      </c>
      <c r="N1578" s="1" t="s">
        <v>2767</v>
      </c>
    </row>
    <row r="1579" spans="1:14" x14ac:dyDescent="0.25">
      <c r="A1579" s="10">
        <v>46120</v>
      </c>
      <c r="B1579" s="2" t="s">
        <v>2766</v>
      </c>
      <c r="E1579" s="3" t="s">
        <v>467</v>
      </c>
      <c r="G1579" s="4" t="s">
        <v>48</v>
      </c>
      <c r="H1579" s="22" t="s">
        <v>49</v>
      </c>
      <c r="I1579" s="22"/>
      <c r="J1579" s="22">
        <f>I1578</f>
        <v>200000</v>
      </c>
      <c r="K1579" s="22">
        <f t="shared" si="19"/>
        <v>200000</v>
      </c>
      <c r="L1579" s="17"/>
    </row>
    <row r="1580" spans="1:14" ht="24" x14ac:dyDescent="0.25">
      <c r="A1580" s="10">
        <v>46120</v>
      </c>
      <c r="B1580" s="2" t="s">
        <v>2768</v>
      </c>
      <c r="D1580" s="55" t="s">
        <v>2769</v>
      </c>
      <c r="E1580" s="3" t="s">
        <v>2770</v>
      </c>
      <c r="F1580" s="4">
        <v>2597.6</v>
      </c>
      <c r="G1580" s="4" t="s">
        <v>48</v>
      </c>
      <c r="H1580" s="22"/>
      <c r="I1580" s="22"/>
      <c r="J1580" s="22"/>
      <c r="K1580" s="22">
        <f t="shared" si="19"/>
        <v>0</v>
      </c>
      <c r="L1580" s="17"/>
      <c r="M1580" s="6" t="s">
        <v>581</v>
      </c>
      <c r="N1580" s="1" t="s">
        <v>2771</v>
      </c>
    </row>
    <row r="1581" spans="1:14" ht="24" x14ac:dyDescent="0.25">
      <c r="A1581" s="10">
        <v>46120</v>
      </c>
      <c r="B1581" s="2" t="s">
        <v>2772</v>
      </c>
      <c r="C1581" s="2" t="s">
        <v>2773</v>
      </c>
      <c r="D1581" s="2" t="s">
        <v>2774</v>
      </c>
      <c r="E1581" s="3" t="s">
        <v>109</v>
      </c>
      <c r="F1581" s="4">
        <v>2714</v>
      </c>
      <c r="G1581" s="4" t="s">
        <v>28</v>
      </c>
      <c r="H1581" s="22" t="s">
        <v>40</v>
      </c>
      <c r="I1581" s="22">
        <v>2714</v>
      </c>
      <c r="J1581" s="22"/>
      <c r="K1581" s="22">
        <f t="shared" si="19"/>
        <v>2714</v>
      </c>
      <c r="L1581" s="17"/>
      <c r="M1581" s="6" t="s">
        <v>581</v>
      </c>
      <c r="N1581" s="1" t="s">
        <v>2775</v>
      </c>
    </row>
    <row r="1582" spans="1:14" x14ac:dyDescent="0.25">
      <c r="A1582" s="10">
        <v>46120</v>
      </c>
      <c r="B1582" s="2" t="s">
        <v>2772</v>
      </c>
      <c r="E1582" s="3" t="s">
        <v>109</v>
      </c>
      <c r="G1582" s="4" t="s">
        <v>48</v>
      </c>
      <c r="H1582" s="22" t="s">
        <v>49</v>
      </c>
      <c r="I1582" s="22"/>
      <c r="J1582" s="22">
        <f>I1581</f>
        <v>2714</v>
      </c>
      <c r="K1582" s="22">
        <f t="shared" si="19"/>
        <v>2714</v>
      </c>
      <c r="L1582" s="17"/>
    </row>
    <row r="1583" spans="1:14" ht="24" x14ac:dyDescent="0.25">
      <c r="A1583" s="10">
        <v>46120</v>
      </c>
      <c r="B1583" s="2" t="s">
        <v>2776</v>
      </c>
      <c r="C1583" s="2" t="s">
        <v>2777</v>
      </c>
      <c r="D1583" s="2" t="s">
        <v>2778</v>
      </c>
      <c r="E1583" s="3" t="s">
        <v>455</v>
      </c>
      <c r="F1583" s="4">
        <f>(1512/1.12)+(1512/1.12*0.12)-(1512/1.12*0.01)</f>
        <v>1498.4999999999998</v>
      </c>
      <c r="G1583" s="4" t="s">
        <v>28</v>
      </c>
      <c r="H1583" s="22" t="s">
        <v>40</v>
      </c>
      <c r="I1583" s="22">
        <f>1512/1.12</f>
        <v>1349.9999999999998</v>
      </c>
      <c r="J1583" s="22"/>
      <c r="K1583" s="22">
        <f t="shared" si="19"/>
        <v>1349.9999999999998</v>
      </c>
      <c r="L1583" s="17"/>
      <c r="M1583" s="6" t="s">
        <v>581</v>
      </c>
      <c r="N1583" s="1" t="s">
        <v>2779</v>
      </c>
    </row>
    <row r="1584" spans="1:14" x14ac:dyDescent="0.25">
      <c r="A1584" s="10">
        <v>46120</v>
      </c>
      <c r="B1584" s="2" t="s">
        <v>2776</v>
      </c>
      <c r="C1584" s="2" t="s">
        <v>2777</v>
      </c>
      <c r="D1584" s="2" t="s">
        <v>2778</v>
      </c>
      <c r="E1584" s="3" t="s">
        <v>455</v>
      </c>
      <c r="G1584" s="4" t="s">
        <v>28</v>
      </c>
      <c r="H1584" s="22" t="s">
        <v>104</v>
      </c>
      <c r="I1584" s="22">
        <f>I1583*0.12</f>
        <v>161.99999999999997</v>
      </c>
      <c r="J1584" s="22"/>
      <c r="K1584" s="22">
        <f t="shared" si="19"/>
        <v>161.99999999999997</v>
      </c>
      <c r="L1584" s="17"/>
    </row>
    <row r="1585" spans="1:23" x14ac:dyDescent="0.25">
      <c r="A1585" s="10">
        <v>46120</v>
      </c>
      <c r="B1585" s="2" t="s">
        <v>2776</v>
      </c>
      <c r="C1585" s="2" t="s">
        <v>2777</v>
      </c>
      <c r="D1585" s="2" t="s">
        <v>2778</v>
      </c>
      <c r="E1585" s="3" t="s">
        <v>455</v>
      </c>
      <c r="G1585" s="4" t="s">
        <v>28</v>
      </c>
      <c r="H1585" s="22" t="s">
        <v>105</v>
      </c>
      <c r="I1585" s="22"/>
      <c r="J1585" s="22">
        <f>I1583*0.01</f>
        <v>13.499999999999998</v>
      </c>
      <c r="K1585" s="22">
        <f t="shared" si="19"/>
        <v>13.499999999999998</v>
      </c>
      <c r="L1585" s="17"/>
    </row>
    <row r="1586" spans="1:23" x14ac:dyDescent="0.25">
      <c r="A1586" s="10">
        <v>46120</v>
      </c>
      <c r="B1586" s="2" t="s">
        <v>2776</v>
      </c>
      <c r="C1586" s="2" t="s">
        <v>2777</v>
      </c>
      <c r="D1586" s="2" t="s">
        <v>2778</v>
      </c>
      <c r="E1586" s="3" t="s">
        <v>455</v>
      </c>
      <c r="G1586" s="4" t="s">
        <v>48</v>
      </c>
      <c r="H1586" s="22" t="s">
        <v>49</v>
      </c>
      <c r="I1586" s="22"/>
      <c r="J1586" s="22">
        <f>I1583+I1584-J1585</f>
        <v>1498.4999999999998</v>
      </c>
      <c r="K1586" s="22">
        <f t="shared" si="19"/>
        <v>1498.4999999999998</v>
      </c>
      <c r="L1586" s="17"/>
    </row>
    <row r="1587" spans="1:23" ht="24" x14ac:dyDescent="0.25">
      <c r="A1587" s="10">
        <v>46120</v>
      </c>
      <c r="B1587" s="2" t="s">
        <v>2780</v>
      </c>
      <c r="C1587" s="2" t="s">
        <v>2781</v>
      </c>
      <c r="D1587" s="2" t="s">
        <v>2782</v>
      </c>
      <c r="E1587" s="3" t="s">
        <v>455</v>
      </c>
      <c r="F1587" s="4">
        <f>(3650/1.12)+(3650/1.12*0.12)-(3650/1.12*0.01)</f>
        <v>3617.4107142857138</v>
      </c>
      <c r="G1587" s="4" t="s">
        <v>28</v>
      </c>
      <c r="H1587" s="22" t="s">
        <v>40</v>
      </c>
      <c r="I1587" s="22">
        <f>3650/1.12</f>
        <v>3258.9285714285711</v>
      </c>
      <c r="J1587" s="22"/>
      <c r="K1587" s="22">
        <f t="shared" si="19"/>
        <v>3258.9285714285711</v>
      </c>
      <c r="L1587" s="17"/>
      <c r="M1587" s="6" t="s">
        <v>581</v>
      </c>
      <c r="N1587" s="1" t="s">
        <v>2783</v>
      </c>
    </row>
    <row r="1588" spans="1:23" x14ac:dyDescent="0.25">
      <c r="A1588" s="10">
        <v>46120</v>
      </c>
      <c r="B1588" s="2" t="s">
        <v>2780</v>
      </c>
      <c r="C1588" s="2" t="s">
        <v>2781</v>
      </c>
      <c r="D1588" s="2" t="s">
        <v>2782</v>
      </c>
      <c r="E1588" s="3" t="s">
        <v>455</v>
      </c>
      <c r="G1588" s="4" t="s">
        <v>28</v>
      </c>
      <c r="H1588" s="22" t="s">
        <v>104</v>
      </c>
      <c r="I1588" s="22">
        <f>I1587*0.12</f>
        <v>391.0714285714285</v>
      </c>
      <c r="J1588" s="22"/>
      <c r="K1588" s="22">
        <f t="shared" si="19"/>
        <v>391.0714285714285</v>
      </c>
      <c r="L1588" s="17"/>
    </row>
    <row r="1589" spans="1:23" x14ac:dyDescent="0.25">
      <c r="A1589" s="10">
        <v>46120</v>
      </c>
      <c r="B1589" s="2" t="s">
        <v>2780</v>
      </c>
      <c r="C1589" s="2" t="s">
        <v>2781</v>
      </c>
      <c r="D1589" s="2" t="s">
        <v>2782</v>
      </c>
      <c r="E1589" s="3" t="s">
        <v>455</v>
      </c>
      <c r="G1589" s="4" t="s">
        <v>28</v>
      </c>
      <c r="H1589" s="22" t="s">
        <v>105</v>
      </c>
      <c r="I1589" s="22"/>
      <c r="J1589" s="22">
        <f>I1587*0.01</f>
        <v>32.589285714285708</v>
      </c>
      <c r="K1589" s="22">
        <f t="shared" si="19"/>
        <v>32.589285714285708</v>
      </c>
      <c r="L1589" s="17"/>
    </row>
    <row r="1590" spans="1:23" x14ac:dyDescent="0.25">
      <c r="A1590" s="10">
        <v>46120</v>
      </c>
      <c r="B1590" s="2" t="s">
        <v>2780</v>
      </c>
      <c r="C1590" s="2" t="s">
        <v>2781</v>
      </c>
      <c r="D1590" s="2" t="s">
        <v>2782</v>
      </c>
      <c r="E1590" s="3" t="s">
        <v>455</v>
      </c>
      <c r="G1590" s="4" t="s">
        <v>48</v>
      </c>
      <c r="H1590" s="22" t="s">
        <v>49</v>
      </c>
      <c r="I1590" s="22"/>
      <c r="J1590" s="22">
        <f>I1587+I1588-J1589</f>
        <v>3617.4107142857138</v>
      </c>
      <c r="K1590" s="22">
        <f t="shared" si="19"/>
        <v>3617.4107142857138</v>
      </c>
      <c r="L1590" s="17"/>
    </row>
    <row r="1591" spans="1:23" ht="24" x14ac:dyDescent="0.25">
      <c r="A1591" s="10">
        <v>46122</v>
      </c>
      <c r="B1591" s="2" t="s">
        <v>2784</v>
      </c>
      <c r="C1591" s="2" t="s">
        <v>95</v>
      </c>
      <c r="D1591" s="2" t="s">
        <v>2785</v>
      </c>
      <c r="E1591" s="3" t="s">
        <v>2786</v>
      </c>
      <c r="F1591" s="4">
        <v>500</v>
      </c>
      <c r="G1591" s="4" t="s">
        <v>28</v>
      </c>
      <c r="H1591" s="22"/>
      <c r="I1591" s="22"/>
      <c r="J1591" s="22"/>
      <c r="K1591" s="22">
        <f t="shared" si="19"/>
        <v>0</v>
      </c>
      <c r="L1591" s="17">
        <v>500</v>
      </c>
      <c r="M1591" s="6" t="s">
        <v>41</v>
      </c>
      <c r="N1591" s="1" t="s">
        <v>2787</v>
      </c>
    </row>
    <row r="1592" spans="1:23" ht="24" x14ac:dyDescent="0.25">
      <c r="A1592" s="10">
        <v>46122</v>
      </c>
      <c r="B1592" s="2" t="s">
        <v>2788</v>
      </c>
      <c r="C1592" s="2" t="s">
        <v>95</v>
      </c>
      <c r="D1592" s="2" t="s">
        <v>2789</v>
      </c>
      <c r="E1592" s="3" t="s">
        <v>76</v>
      </c>
      <c r="F1592" s="4">
        <v>10000</v>
      </c>
      <c r="G1592" s="4" t="s">
        <v>28</v>
      </c>
      <c r="H1592" s="22" t="s">
        <v>78</v>
      </c>
      <c r="I1592" s="22">
        <v>10000</v>
      </c>
      <c r="J1592" s="22"/>
      <c r="K1592" s="22">
        <f t="shared" si="19"/>
        <v>10000</v>
      </c>
      <c r="L1592" s="17">
        <v>10000</v>
      </c>
      <c r="M1592" s="23" t="s">
        <v>41</v>
      </c>
      <c r="N1592" s="1" t="s">
        <v>2790</v>
      </c>
      <c r="O1592" s="28" t="s">
        <v>80</v>
      </c>
      <c r="P1592" s="7" t="s">
        <v>2681</v>
      </c>
      <c r="R1592" s="7" t="s">
        <v>2791</v>
      </c>
      <c r="S1592" s="3" t="s">
        <v>2738</v>
      </c>
      <c r="T1592" s="3" t="s">
        <v>2739</v>
      </c>
      <c r="W1592" s="9" t="s">
        <v>2792</v>
      </c>
    </row>
    <row r="1593" spans="1:23" x14ac:dyDescent="0.25">
      <c r="A1593" s="10">
        <v>46122</v>
      </c>
      <c r="B1593" s="2" t="s">
        <v>2788</v>
      </c>
      <c r="C1593" s="2" t="s">
        <v>95</v>
      </c>
      <c r="D1593" s="2" t="s">
        <v>2789</v>
      </c>
      <c r="E1593" s="3" t="s">
        <v>76</v>
      </c>
      <c r="G1593" s="4" t="s">
        <v>48</v>
      </c>
      <c r="H1593" s="22" t="s">
        <v>49</v>
      </c>
      <c r="I1593" s="22"/>
      <c r="J1593" s="22">
        <f>I1592</f>
        <v>10000</v>
      </c>
      <c r="K1593" s="22">
        <f t="shared" si="19"/>
        <v>10000</v>
      </c>
      <c r="L1593" s="17"/>
    </row>
    <row r="1594" spans="1:23" ht="24" x14ac:dyDescent="0.25">
      <c r="A1594" s="10">
        <v>46122</v>
      </c>
      <c r="B1594" s="2" t="s">
        <v>2793</v>
      </c>
      <c r="C1594" s="2" t="s">
        <v>95</v>
      </c>
      <c r="D1594" s="2" t="s">
        <v>2794</v>
      </c>
      <c r="E1594" s="3" t="s">
        <v>76</v>
      </c>
      <c r="F1594" s="4">
        <v>10440</v>
      </c>
      <c r="G1594" s="4" t="s">
        <v>77</v>
      </c>
      <c r="H1594" s="22" t="s">
        <v>78</v>
      </c>
      <c r="I1594" s="22">
        <v>10440</v>
      </c>
      <c r="J1594" s="22"/>
      <c r="K1594" s="22">
        <f t="shared" si="19"/>
        <v>10440</v>
      </c>
      <c r="L1594" s="17">
        <v>10440</v>
      </c>
      <c r="M1594" s="23" t="s">
        <v>41</v>
      </c>
      <c r="N1594" s="1" t="s">
        <v>2795</v>
      </c>
    </row>
    <row r="1595" spans="1:23" x14ac:dyDescent="0.25">
      <c r="A1595" s="10">
        <v>46122</v>
      </c>
      <c r="B1595" s="2" t="s">
        <v>2793</v>
      </c>
      <c r="C1595" s="2" t="s">
        <v>95</v>
      </c>
      <c r="D1595" s="2" t="s">
        <v>2794</v>
      </c>
      <c r="E1595" s="3" t="s">
        <v>76</v>
      </c>
      <c r="G1595" s="4" t="s">
        <v>48</v>
      </c>
      <c r="H1595" s="22" t="s">
        <v>49</v>
      </c>
      <c r="I1595" s="22"/>
      <c r="J1595" s="22">
        <f>I1594</f>
        <v>10440</v>
      </c>
      <c r="K1595" s="22">
        <f t="shared" si="19"/>
        <v>10440</v>
      </c>
      <c r="L1595" s="17"/>
    </row>
    <row r="1596" spans="1:23" ht="24" x14ac:dyDescent="0.25">
      <c r="A1596" s="10">
        <v>46122</v>
      </c>
      <c r="B1596" s="2" t="s">
        <v>2796</v>
      </c>
      <c r="C1596" s="2" t="s">
        <v>95</v>
      </c>
      <c r="D1596" s="2" t="s">
        <v>2797</v>
      </c>
      <c r="E1596" s="3" t="s">
        <v>2373</v>
      </c>
      <c r="F1596" s="4">
        <v>550</v>
      </c>
      <c r="G1596" s="4" t="s">
        <v>48</v>
      </c>
      <c r="H1596" s="22" t="s">
        <v>2113</v>
      </c>
      <c r="I1596" s="22">
        <v>550</v>
      </c>
      <c r="J1596" s="22"/>
      <c r="K1596" s="22">
        <f t="shared" si="19"/>
        <v>550</v>
      </c>
      <c r="L1596" s="17"/>
      <c r="M1596" s="6" t="s">
        <v>581</v>
      </c>
      <c r="N1596" s="1" t="s">
        <v>2798</v>
      </c>
    </row>
    <row r="1597" spans="1:23" x14ac:dyDescent="0.25">
      <c r="A1597" s="10">
        <v>46122</v>
      </c>
      <c r="B1597" s="2" t="s">
        <v>2796</v>
      </c>
      <c r="C1597" s="2" t="s">
        <v>95</v>
      </c>
      <c r="D1597" s="2" t="s">
        <v>2797</v>
      </c>
      <c r="E1597" s="3" t="s">
        <v>2373</v>
      </c>
      <c r="G1597" s="4" t="s">
        <v>48</v>
      </c>
      <c r="H1597" s="22" t="s">
        <v>49</v>
      </c>
      <c r="I1597" s="22"/>
      <c r="J1597" s="22">
        <f>I1596</f>
        <v>550</v>
      </c>
      <c r="K1597" s="22">
        <f t="shared" si="19"/>
        <v>550</v>
      </c>
      <c r="L1597" s="17"/>
    </row>
    <row r="1598" spans="1:23" ht="40.200000000000003" customHeight="1" x14ac:dyDescent="0.25">
      <c r="A1598" s="10">
        <v>46122</v>
      </c>
      <c r="B1598" s="2" t="s">
        <v>2799</v>
      </c>
      <c r="C1598" s="2" t="s">
        <v>95</v>
      </c>
      <c r="D1598" s="2" t="s">
        <v>2800</v>
      </c>
      <c r="E1598" s="3" t="s">
        <v>2286</v>
      </c>
      <c r="F1598" s="4">
        <v>53220</v>
      </c>
      <c r="G1598" s="4" t="s">
        <v>268</v>
      </c>
      <c r="H1598" s="22" t="s">
        <v>2801</v>
      </c>
      <c r="I1598" s="22">
        <v>53220</v>
      </c>
      <c r="J1598" s="22"/>
      <c r="K1598" s="22">
        <f t="shared" si="19"/>
        <v>53220</v>
      </c>
      <c r="L1598" s="17"/>
      <c r="M1598" s="6" t="s">
        <v>581</v>
      </c>
      <c r="N1598" s="44" t="s">
        <v>2802</v>
      </c>
    </row>
    <row r="1599" spans="1:23" ht="40.200000000000003" customHeight="1" x14ac:dyDescent="0.25">
      <c r="A1599" s="10">
        <v>46122</v>
      </c>
      <c r="B1599" s="2" t="s">
        <v>2799</v>
      </c>
      <c r="C1599" s="2" t="s">
        <v>95</v>
      </c>
      <c r="D1599" s="2" t="s">
        <v>2800</v>
      </c>
      <c r="E1599" s="3" t="s">
        <v>2286</v>
      </c>
      <c r="G1599" s="4" t="s">
        <v>48</v>
      </c>
      <c r="H1599" s="22" t="s">
        <v>49</v>
      </c>
      <c r="I1599" s="22"/>
      <c r="J1599" s="22">
        <f>I1598</f>
        <v>53220</v>
      </c>
      <c r="K1599" s="22">
        <f t="shared" si="19"/>
        <v>53220</v>
      </c>
      <c r="L1599" s="17"/>
      <c r="N1599" s="44"/>
    </row>
    <row r="1600" spans="1:23" ht="24" x14ac:dyDescent="0.25">
      <c r="A1600" s="10">
        <v>46125</v>
      </c>
      <c r="B1600" s="2" t="s">
        <v>2803</v>
      </c>
      <c r="C1600" s="2" t="s">
        <v>2804</v>
      </c>
      <c r="D1600" s="2" t="s">
        <v>2805</v>
      </c>
      <c r="E1600" s="3" t="s">
        <v>1068</v>
      </c>
      <c r="F1600" s="4">
        <v>323.14999999999998</v>
      </c>
      <c r="G1600" s="4" t="s">
        <v>28</v>
      </c>
      <c r="H1600" s="22" t="s">
        <v>40</v>
      </c>
      <c r="I1600" s="22">
        <v>323.14999999999998</v>
      </c>
      <c r="J1600" s="22"/>
      <c r="K1600" s="22">
        <f t="shared" si="19"/>
        <v>323.14999999999998</v>
      </c>
      <c r="L1600" s="17">
        <v>323.14999999999998</v>
      </c>
      <c r="M1600" s="23" t="s">
        <v>41</v>
      </c>
      <c r="N1600" s="1" t="s">
        <v>2806</v>
      </c>
      <c r="O1600" s="7" t="s">
        <v>2737</v>
      </c>
      <c r="P1600" s="7" t="s">
        <v>81</v>
      </c>
      <c r="R1600" s="7" t="s">
        <v>2375</v>
      </c>
      <c r="S1600" s="3" t="s">
        <v>2738</v>
      </c>
      <c r="T1600" s="3" t="s">
        <v>2739</v>
      </c>
      <c r="U1600" s="8" t="s">
        <v>2807</v>
      </c>
    </row>
    <row r="1601" spans="1:14" x14ac:dyDescent="0.25">
      <c r="A1601" s="10">
        <v>46125</v>
      </c>
      <c r="B1601" s="2" t="s">
        <v>2803</v>
      </c>
      <c r="C1601" s="2" t="s">
        <v>2804</v>
      </c>
      <c r="D1601" s="2" t="s">
        <v>2805</v>
      </c>
      <c r="E1601" s="3" t="s">
        <v>1068</v>
      </c>
      <c r="G1601" s="4" t="s">
        <v>48</v>
      </c>
      <c r="H1601" s="22" t="s">
        <v>49</v>
      </c>
      <c r="I1601" s="22"/>
      <c r="J1601" s="22">
        <f>I1600</f>
        <v>323.14999999999998</v>
      </c>
      <c r="K1601" s="22">
        <f t="shared" si="19"/>
        <v>323.14999999999998</v>
      </c>
      <c r="L1601" s="17"/>
    </row>
    <row r="1602" spans="1:14" ht="24" x14ac:dyDescent="0.25">
      <c r="A1602" s="10">
        <v>46125</v>
      </c>
      <c r="B1602" s="2" t="s">
        <v>2808</v>
      </c>
      <c r="C1602" s="2" t="s">
        <v>2809</v>
      </c>
      <c r="D1602" s="2" t="s">
        <v>2810</v>
      </c>
      <c r="E1602" s="3" t="s">
        <v>455</v>
      </c>
      <c r="F1602" s="4">
        <f>(8994/1.12)+(8994/1.12*0.12)-(8994/1.12*0.01)</f>
        <v>8913.6964285714294</v>
      </c>
      <c r="G1602" s="4" t="s">
        <v>28</v>
      </c>
      <c r="H1602" s="22" t="s">
        <v>40</v>
      </c>
      <c r="I1602" s="22">
        <f>8994/1.12</f>
        <v>8030.3571428571422</v>
      </c>
      <c r="J1602" s="22"/>
      <c r="K1602" s="22">
        <f t="shared" si="19"/>
        <v>8030.3571428571422</v>
      </c>
      <c r="L1602" s="17"/>
      <c r="M1602" s="6" t="s">
        <v>581</v>
      </c>
      <c r="N1602" s="1" t="s">
        <v>2811</v>
      </c>
    </row>
    <row r="1603" spans="1:14" x14ac:dyDescent="0.25">
      <c r="A1603" s="10">
        <v>46125</v>
      </c>
      <c r="B1603" s="2" t="s">
        <v>2808</v>
      </c>
      <c r="C1603" s="2" t="s">
        <v>2809</v>
      </c>
      <c r="D1603" s="2" t="s">
        <v>2810</v>
      </c>
      <c r="E1603" s="3" t="s">
        <v>455</v>
      </c>
      <c r="G1603" s="4" t="s">
        <v>28</v>
      </c>
      <c r="H1603" s="22" t="s">
        <v>104</v>
      </c>
      <c r="I1603" s="22">
        <f>I1602*0.12</f>
        <v>963.642857142857</v>
      </c>
      <c r="J1603" s="22"/>
      <c r="K1603" s="22">
        <f t="shared" si="19"/>
        <v>963.642857142857</v>
      </c>
      <c r="L1603" s="17"/>
    </row>
    <row r="1604" spans="1:14" x14ac:dyDescent="0.25">
      <c r="A1604" s="10">
        <v>46125</v>
      </c>
      <c r="B1604" s="2" t="s">
        <v>2808</v>
      </c>
      <c r="C1604" s="2" t="s">
        <v>2809</v>
      </c>
      <c r="D1604" s="2" t="s">
        <v>2810</v>
      </c>
      <c r="E1604" s="3" t="s">
        <v>455</v>
      </c>
      <c r="G1604" s="4" t="s">
        <v>28</v>
      </c>
      <c r="H1604" s="22" t="s">
        <v>105</v>
      </c>
      <c r="I1604" s="22"/>
      <c r="J1604" s="22">
        <f>I1602*0.01</f>
        <v>80.303571428571431</v>
      </c>
      <c r="K1604" s="22">
        <f t="shared" si="19"/>
        <v>80.303571428571431</v>
      </c>
      <c r="L1604" s="17"/>
    </row>
    <row r="1605" spans="1:14" x14ac:dyDescent="0.25">
      <c r="A1605" s="10">
        <v>46125</v>
      </c>
      <c r="B1605" s="2" t="s">
        <v>2808</v>
      </c>
      <c r="C1605" s="2" t="s">
        <v>2809</v>
      </c>
      <c r="D1605" s="2" t="s">
        <v>2810</v>
      </c>
      <c r="E1605" s="3" t="s">
        <v>455</v>
      </c>
      <c r="G1605" s="4" t="s">
        <v>48</v>
      </c>
      <c r="H1605" s="22" t="s">
        <v>49</v>
      </c>
      <c r="I1605" s="22"/>
      <c r="J1605" s="22">
        <f>I1602+I1603-J1604</f>
        <v>8913.6964285714294</v>
      </c>
      <c r="K1605" s="22">
        <f t="shared" si="19"/>
        <v>8913.6964285714294</v>
      </c>
      <c r="L1605" s="17"/>
    </row>
    <row r="1606" spans="1:14" ht="24" x14ac:dyDescent="0.25">
      <c r="A1606" s="10">
        <v>46125</v>
      </c>
      <c r="B1606" s="2" t="s">
        <v>2812</v>
      </c>
      <c r="C1606" s="2" t="s">
        <v>2813</v>
      </c>
      <c r="D1606" s="2" t="s">
        <v>2810</v>
      </c>
      <c r="E1606" s="3" t="s">
        <v>446</v>
      </c>
      <c r="F1606" s="4">
        <f>(1200/1.12)+(1200/1.12*0.12)-(1200/1.12*0.01)</f>
        <v>1189.2857142857142</v>
      </c>
      <c r="G1606" s="4" t="s">
        <v>28</v>
      </c>
      <c r="H1606" s="22" t="s">
        <v>40</v>
      </c>
      <c r="I1606" s="22">
        <f>1200/1.12</f>
        <v>1071.4285714285713</v>
      </c>
      <c r="J1606" s="22"/>
      <c r="K1606" s="22">
        <f t="shared" si="19"/>
        <v>1071.4285714285713</v>
      </c>
      <c r="L1606" s="17"/>
      <c r="M1606" s="6" t="s">
        <v>581</v>
      </c>
      <c r="N1606" s="1" t="s">
        <v>2814</v>
      </c>
    </row>
    <row r="1607" spans="1:14" x14ac:dyDescent="0.25">
      <c r="A1607" s="10">
        <v>46125</v>
      </c>
      <c r="B1607" s="2" t="s">
        <v>2812</v>
      </c>
      <c r="C1607" s="2" t="s">
        <v>2813</v>
      </c>
      <c r="D1607" s="2" t="s">
        <v>2810</v>
      </c>
      <c r="E1607" s="3" t="s">
        <v>446</v>
      </c>
      <c r="G1607" s="4" t="s">
        <v>28</v>
      </c>
      <c r="H1607" s="22" t="s">
        <v>104</v>
      </c>
      <c r="I1607" s="22">
        <f>I1606*0.12</f>
        <v>128.57142857142856</v>
      </c>
      <c r="J1607" s="22"/>
      <c r="K1607" s="22">
        <f t="shared" si="19"/>
        <v>128.57142857142856</v>
      </c>
      <c r="L1607" s="17"/>
    </row>
    <row r="1608" spans="1:14" x14ac:dyDescent="0.25">
      <c r="A1608" s="10">
        <v>46125</v>
      </c>
      <c r="B1608" s="2" t="s">
        <v>2812</v>
      </c>
      <c r="C1608" s="2" t="s">
        <v>2813</v>
      </c>
      <c r="D1608" s="2" t="s">
        <v>2810</v>
      </c>
      <c r="E1608" s="3" t="s">
        <v>446</v>
      </c>
      <c r="G1608" s="4" t="s">
        <v>28</v>
      </c>
      <c r="H1608" s="22" t="s">
        <v>105</v>
      </c>
      <c r="I1608" s="22"/>
      <c r="J1608" s="22">
        <f>I1606*0.01</f>
        <v>10.714285714285714</v>
      </c>
      <c r="K1608" s="22">
        <f t="shared" si="19"/>
        <v>10.714285714285714</v>
      </c>
      <c r="L1608" s="17"/>
    </row>
    <row r="1609" spans="1:14" x14ac:dyDescent="0.25">
      <c r="A1609" s="10">
        <v>46125</v>
      </c>
      <c r="B1609" s="2" t="s">
        <v>2812</v>
      </c>
      <c r="C1609" s="2" t="s">
        <v>2813</v>
      </c>
      <c r="D1609" s="2" t="s">
        <v>2810</v>
      </c>
      <c r="E1609" s="3" t="s">
        <v>446</v>
      </c>
      <c r="G1609" s="4" t="s">
        <v>48</v>
      </c>
      <c r="H1609" s="22" t="s">
        <v>49</v>
      </c>
      <c r="I1609" s="22"/>
      <c r="J1609" s="22">
        <f>I1606+I1607-J1608</f>
        <v>1189.2857142857142</v>
      </c>
      <c r="K1609" s="22">
        <f t="shared" si="19"/>
        <v>1189.2857142857142</v>
      </c>
      <c r="L1609" s="17"/>
    </row>
    <row r="1610" spans="1:14" ht="24" x14ac:dyDescent="0.25">
      <c r="A1610" s="10">
        <v>46125</v>
      </c>
      <c r="B1610" s="2" t="s">
        <v>2815</v>
      </c>
      <c r="C1610" s="2" t="s">
        <v>2816</v>
      </c>
      <c r="D1610" s="2" t="s">
        <v>2810</v>
      </c>
      <c r="E1610" s="3" t="s">
        <v>2817</v>
      </c>
      <c r="F1610" s="4">
        <f>(1450/1.12)+(1450/1.12*0.12)-(1450/1.12*0.01)</f>
        <v>1437.0535714285713</v>
      </c>
      <c r="G1610" s="4" t="s">
        <v>28</v>
      </c>
      <c r="H1610" s="22" t="s">
        <v>40</v>
      </c>
      <c r="I1610" s="22">
        <f>1450/1.12</f>
        <v>1294.6428571428571</v>
      </c>
      <c r="J1610" s="22"/>
      <c r="K1610" s="22">
        <f t="shared" si="19"/>
        <v>1294.6428571428571</v>
      </c>
      <c r="L1610" s="17"/>
      <c r="M1610" s="6" t="s">
        <v>581</v>
      </c>
      <c r="N1610" s="1" t="s">
        <v>2818</v>
      </c>
    </row>
    <row r="1611" spans="1:14" x14ac:dyDescent="0.25">
      <c r="A1611" s="10">
        <v>46125</v>
      </c>
      <c r="B1611" s="2" t="s">
        <v>2815</v>
      </c>
      <c r="C1611" s="2" t="s">
        <v>2816</v>
      </c>
      <c r="D1611" s="2" t="s">
        <v>2810</v>
      </c>
      <c r="E1611" s="3" t="s">
        <v>2817</v>
      </c>
      <c r="G1611" s="4" t="s">
        <v>28</v>
      </c>
      <c r="H1611" s="22" t="s">
        <v>104</v>
      </c>
      <c r="I1611" s="22">
        <f>I1610*0.12</f>
        <v>155.35714285714286</v>
      </c>
      <c r="J1611" s="22"/>
      <c r="K1611" s="22">
        <f t="shared" si="19"/>
        <v>155.35714285714286</v>
      </c>
      <c r="L1611" s="17"/>
    </row>
    <row r="1612" spans="1:14" x14ac:dyDescent="0.25">
      <c r="A1612" s="10">
        <v>46125</v>
      </c>
      <c r="B1612" s="2" t="s">
        <v>2815</v>
      </c>
      <c r="C1612" s="2" t="s">
        <v>2816</v>
      </c>
      <c r="D1612" s="2" t="s">
        <v>2810</v>
      </c>
      <c r="E1612" s="3" t="s">
        <v>2817</v>
      </c>
      <c r="G1612" s="4" t="s">
        <v>28</v>
      </c>
      <c r="H1612" s="22" t="s">
        <v>105</v>
      </c>
      <c r="I1612" s="22"/>
      <c r="J1612" s="22">
        <f>I1610*0.01</f>
        <v>12.946428571428571</v>
      </c>
      <c r="K1612" s="22">
        <f t="shared" si="19"/>
        <v>12.946428571428571</v>
      </c>
      <c r="L1612" s="17"/>
    </row>
    <row r="1613" spans="1:14" x14ac:dyDescent="0.25">
      <c r="A1613" s="10">
        <v>46125</v>
      </c>
      <c r="B1613" s="2" t="s">
        <v>2815</v>
      </c>
      <c r="C1613" s="2" t="s">
        <v>2816</v>
      </c>
      <c r="D1613" s="2" t="s">
        <v>2810</v>
      </c>
      <c r="E1613" s="3" t="s">
        <v>2817</v>
      </c>
      <c r="G1613" s="4" t="s">
        <v>48</v>
      </c>
      <c r="H1613" s="22" t="s">
        <v>49</v>
      </c>
      <c r="I1613" s="22"/>
      <c r="J1613" s="22">
        <f>I1610+I1611-J1612</f>
        <v>1437.0535714285713</v>
      </c>
      <c r="K1613" s="22">
        <f t="shared" si="19"/>
        <v>1437.0535714285713</v>
      </c>
      <c r="L1613" s="17"/>
    </row>
    <row r="1614" spans="1:14" ht="24" x14ac:dyDescent="0.25">
      <c r="A1614" s="10">
        <v>46125</v>
      </c>
      <c r="B1614" s="2" t="s">
        <v>2819</v>
      </c>
      <c r="C1614" s="2" t="s">
        <v>2820</v>
      </c>
      <c r="D1614" s="2" t="s">
        <v>2805</v>
      </c>
      <c r="E1614" s="3" t="s">
        <v>2821</v>
      </c>
      <c r="F1614" s="4">
        <f>(2500/1.12)+(2500/1.12*0.12)-(2500/1.12*0.01)</f>
        <v>2477.6785714285711</v>
      </c>
      <c r="G1614" s="4" t="s">
        <v>28</v>
      </c>
      <c r="H1614" s="22" t="s">
        <v>40</v>
      </c>
      <c r="I1614" s="22">
        <f>2500/1.12</f>
        <v>2232.1428571428569</v>
      </c>
      <c r="J1614" s="22"/>
      <c r="K1614" s="22">
        <f t="shared" si="19"/>
        <v>2232.1428571428569</v>
      </c>
      <c r="L1614" s="17"/>
      <c r="M1614" s="6" t="s">
        <v>581</v>
      </c>
      <c r="N1614" s="1" t="s">
        <v>2822</v>
      </c>
    </row>
    <row r="1615" spans="1:14" x14ac:dyDescent="0.25">
      <c r="A1615" s="10">
        <v>46125</v>
      </c>
      <c r="B1615" s="2" t="s">
        <v>2819</v>
      </c>
      <c r="C1615" s="2" t="s">
        <v>2820</v>
      </c>
      <c r="D1615" s="2" t="s">
        <v>2805</v>
      </c>
      <c r="E1615" s="3" t="s">
        <v>2821</v>
      </c>
      <c r="G1615" s="4" t="s">
        <v>28</v>
      </c>
      <c r="H1615" s="22" t="s">
        <v>104</v>
      </c>
      <c r="I1615" s="22">
        <f>I1614*0.12</f>
        <v>267.85714285714283</v>
      </c>
      <c r="J1615" s="22"/>
      <c r="K1615" s="22">
        <f t="shared" si="19"/>
        <v>267.85714285714283</v>
      </c>
      <c r="L1615" s="17"/>
    </row>
    <row r="1616" spans="1:14" x14ac:dyDescent="0.25">
      <c r="A1616" s="10">
        <v>46125</v>
      </c>
      <c r="B1616" s="2" t="s">
        <v>2819</v>
      </c>
      <c r="C1616" s="2" t="s">
        <v>2820</v>
      </c>
      <c r="D1616" s="2" t="s">
        <v>2805</v>
      </c>
      <c r="E1616" s="3" t="s">
        <v>2821</v>
      </c>
      <c r="G1616" s="4" t="s">
        <v>28</v>
      </c>
      <c r="H1616" s="22" t="s">
        <v>105</v>
      </c>
      <c r="I1616" s="22"/>
      <c r="J1616" s="22">
        <f>I1614*0.01</f>
        <v>22.321428571428569</v>
      </c>
      <c r="K1616" s="22">
        <f t="shared" si="19"/>
        <v>22.321428571428569</v>
      </c>
      <c r="L1616" s="17"/>
    </row>
    <row r="1617" spans="1:20" x14ac:dyDescent="0.25">
      <c r="A1617" s="10">
        <v>46125</v>
      </c>
      <c r="B1617" s="2" t="s">
        <v>2819</v>
      </c>
      <c r="C1617" s="2" t="s">
        <v>2820</v>
      </c>
      <c r="D1617" s="2" t="s">
        <v>2805</v>
      </c>
      <c r="E1617" s="3" t="s">
        <v>2821</v>
      </c>
      <c r="G1617" s="4" t="s">
        <v>48</v>
      </c>
      <c r="H1617" s="22" t="s">
        <v>49</v>
      </c>
      <c r="I1617" s="22"/>
      <c r="J1617" s="22">
        <f>I1614+I1615-J1616</f>
        <v>2477.6785714285711</v>
      </c>
      <c r="K1617" s="22">
        <f t="shared" si="19"/>
        <v>2477.6785714285711</v>
      </c>
      <c r="L1617" s="17"/>
    </row>
    <row r="1618" spans="1:20" ht="24" x14ac:dyDescent="0.25">
      <c r="A1618" s="10">
        <v>46125</v>
      </c>
      <c r="B1618" s="2" t="s">
        <v>2823</v>
      </c>
      <c r="C1618" s="2" t="s">
        <v>2824</v>
      </c>
      <c r="D1618" s="2" t="s">
        <v>2825</v>
      </c>
      <c r="E1618" s="3" t="s">
        <v>548</v>
      </c>
      <c r="F1618" s="4">
        <v>13800</v>
      </c>
      <c r="G1618" s="4" t="s">
        <v>110</v>
      </c>
      <c r="H1618" s="22" t="s">
        <v>1901</v>
      </c>
      <c r="I1618" s="22">
        <v>13800</v>
      </c>
      <c r="J1618" s="22"/>
      <c r="K1618" s="22">
        <f t="shared" si="19"/>
        <v>13800</v>
      </c>
      <c r="L1618" s="17"/>
      <c r="M1618" s="6" t="s">
        <v>581</v>
      </c>
      <c r="N1618" s="1" t="s">
        <v>2826</v>
      </c>
    </row>
    <row r="1619" spans="1:20" x14ac:dyDescent="0.25">
      <c r="A1619" s="10">
        <v>46125</v>
      </c>
      <c r="B1619" s="2" t="s">
        <v>2823</v>
      </c>
      <c r="C1619" s="2" t="s">
        <v>2824</v>
      </c>
      <c r="D1619" s="2" t="s">
        <v>2825</v>
      </c>
      <c r="E1619" s="3" t="s">
        <v>548</v>
      </c>
      <c r="G1619" s="4" t="s">
        <v>48</v>
      </c>
      <c r="H1619" s="22" t="s">
        <v>49</v>
      </c>
      <c r="I1619" s="22"/>
      <c r="J1619" s="22">
        <f>I1618</f>
        <v>13800</v>
      </c>
      <c r="K1619" s="22">
        <f t="shared" si="19"/>
        <v>13800</v>
      </c>
      <c r="L1619" s="17"/>
    </row>
    <row r="1620" spans="1:20" ht="36" x14ac:dyDescent="0.25">
      <c r="A1620" s="10">
        <v>46125</v>
      </c>
      <c r="B1620" s="2" t="s">
        <v>2827</v>
      </c>
      <c r="C1620" s="2" t="s">
        <v>147</v>
      </c>
      <c r="D1620" s="2" t="s">
        <v>2828</v>
      </c>
      <c r="E1620" s="3" t="s">
        <v>2237</v>
      </c>
      <c r="F1620" s="4">
        <f>2700+4200+12000</f>
        <v>18900</v>
      </c>
      <c r="G1620" s="4" t="s">
        <v>48</v>
      </c>
      <c r="H1620" s="22" t="s">
        <v>78</v>
      </c>
      <c r="I1620" s="22">
        <v>18900</v>
      </c>
      <c r="J1620" s="22"/>
      <c r="K1620" s="22">
        <f t="shared" si="19"/>
        <v>18900</v>
      </c>
      <c r="L1620" s="17">
        <v>18900</v>
      </c>
      <c r="M1620" s="23" t="s">
        <v>41</v>
      </c>
      <c r="N1620" s="1" t="s">
        <v>2829</v>
      </c>
      <c r="O1620" s="28" t="s">
        <v>80</v>
      </c>
      <c r="P1620" s="7" t="s">
        <v>784</v>
      </c>
      <c r="R1620" s="7" t="s">
        <v>2830</v>
      </c>
      <c r="T1620" s="3" t="s">
        <v>2831</v>
      </c>
    </row>
    <row r="1621" spans="1:20" x14ac:dyDescent="0.25">
      <c r="A1621" s="10">
        <v>46125</v>
      </c>
      <c r="B1621" s="2" t="s">
        <v>2827</v>
      </c>
      <c r="C1621" s="2" t="s">
        <v>147</v>
      </c>
      <c r="D1621" s="2" t="s">
        <v>2828</v>
      </c>
      <c r="E1621" s="3" t="s">
        <v>2237</v>
      </c>
      <c r="G1621" s="4" t="s">
        <v>48</v>
      </c>
      <c r="H1621" s="22" t="s">
        <v>49</v>
      </c>
      <c r="I1621" s="22"/>
      <c r="J1621" s="22">
        <f>I1620</f>
        <v>18900</v>
      </c>
      <c r="K1621" s="22">
        <f t="shared" si="19"/>
        <v>18900</v>
      </c>
      <c r="L1621" s="17"/>
    </row>
    <row r="1622" spans="1:20" ht="36" x14ac:dyDescent="0.25">
      <c r="A1622" s="10">
        <v>46125</v>
      </c>
      <c r="B1622" s="2" t="s">
        <v>2832</v>
      </c>
      <c r="C1622" s="2" t="s">
        <v>147</v>
      </c>
      <c r="D1622" s="2" t="s">
        <v>2833</v>
      </c>
      <c r="E1622" s="3" t="s">
        <v>472</v>
      </c>
      <c r="F1622" s="4">
        <f>2000+2800</f>
        <v>4800</v>
      </c>
      <c r="G1622" s="4" t="s">
        <v>48</v>
      </c>
      <c r="H1622" s="22" t="s">
        <v>78</v>
      </c>
      <c r="I1622" s="22">
        <v>4800</v>
      </c>
      <c r="J1622" s="22"/>
      <c r="K1622" s="22">
        <f t="shared" si="19"/>
        <v>4800</v>
      </c>
      <c r="L1622" s="17">
        <v>4800</v>
      </c>
      <c r="M1622" s="23" t="s">
        <v>41</v>
      </c>
      <c r="N1622" s="1" t="s">
        <v>2834</v>
      </c>
      <c r="O1622" s="28" t="s">
        <v>80</v>
      </c>
      <c r="P1622" s="7" t="s">
        <v>784</v>
      </c>
      <c r="R1622" s="7" t="s">
        <v>2830</v>
      </c>
      <c r="T1622" s="3" t="s">
        <v>2831</v>
      </c>
    </row>
    <row r="1623" spans="1:20" x14ac:dyDescent="0.25">
      <c r="A1623" s="10">
        <v>46125</v>
      </c>
      <c r="B1623" s="2" t="s">
        <v>2832</v>
      </c>
      <c r="C1623" s="2" t="s">
        <v>147</v>
      </c>
      <c r="D1623" s="2" t="s">
        <v>2833</v>
      </c>
      <c r="E1623" s="3" t="s">
        <v>472</v>
      </c>
      <c r="G1623" s="4" t="s">
        <v>48</v>
      </c>
      <c r="H1623" s="22" t="s">
        <v>49</v>
      </c>
      <c r="I1623" s="22"/>
      <c r="J1623" s="22">
        <f>I1622</f>
        <v>4800</v>
      </c>
      <c r="K1623" s="22">
        <f t="shared" si="19"/>
        <v>4800</v>
      </c>
      <c r="L1623" s="17"/>
    </row>
    <row r="1624" spans="1:20" x14ac:dyDescent="0.25">
      <c r="A1624" s="10">
        <v>46125</v>
      </c>
      <c r="B1624" s="2" t="s">
        <v>2835</v>
      </c>
      <c r="C1624" s="2" t="s">
        <v>259</v>
      </c>
      <c r="D1624" s="2" t="s">
        <v>2836</v>
      </c>
      <c r="E1624" s="3" t="s">
        <v>2563</v>
      </c>
      <c r="F1624" s="4">
        <v>62800</v>
      </c>
      <c r="G1624" s="4" t="s">
        <v>128</v>
      </c>
      <c r="H1624" s="22" t="s">
        <v>267</v>
      </c>
      <c r="I1624" s="22">
        <v>62800</v>
      </c>
      <c r="J1624" s="22"/>
      <c r="K1624" s="22">
        <f t="shared" si="19"/>
        <v>62800</v>
      </c>
      <c r="L1624" s="17"/>
      <c r="M1624" s="23" t="s">
        <v>41</v>
      </c>
      <c r="N1624" s="1" t="s">
        <v>2837</v>
      </c>
    </row>
    <row r="1625" spans="1:20" x14ac:dyDescent="0.25">
      <c r="A1625" s="10">
        <v>46125</v>
      </c>
      <c r="B1625" s="2" t="s">
        <v>2835</v>
      </c>
      <c r="C1625" s="2" t="s">
        <v>259</v>
      </c>
      <c r="D1625" s="2" t="s">
        <v>2836</v>
      </c>
      <c r="E1625" s="3" t="s">
        <v>2563</v>
      </c>
      <c r="G1625" s="4" t="s">
        <v>48</v>
      </c>
      <c r="H1625" s="22" t="s">
        <v>49</v>
      </c>
      <c r="I1625" s="22"/>
      <c r="J1625" s="22">
        <f>I1624</f>
        <v>62800</v>
      </c>
      <c r="K1625" s="22">
        <f t="shared" si="19"/>
        <v>62800</v>
      </c>
      <c r="L1625" s="17"/>
    </row>
    <row r="1626" spans="1:20" x14ac:dyDescent="0.25">
      <c r="A1626" s="10">
        <v>46125</v>
      </c>
      <c r="B1626" s="2" t="s">
        <v>2838</v>
      </c>
      <c r="C1626" s="2" t="s">
        <v>259</v>
      </c>
      <c r="D1626" s="2" t="s">
        <v>2836</v>
      </c>
      <c r="E1626" s="3" t="s">
        <v>2563</v>
      </c>
      <c r="F1626" s="4">
        <f>74100.94+13286.25+41699.94+87928.08</f>
        <v>217015.21000000002</v>
      </c>
      <c r="G1626" s="4" t="s">
        <v>326</v>
      </c>
      <c r="H1626" s="22"/>
      <c r="I1626" s="22"/>
      <c r="J1626" s="22"/>
      <c r="K1626" s="22">
        <f t="shared" si="19"/>
        <v>0</v>
      </c>
      <c r="L1626" s="17"/>
      <c r="M1626" s="6" t="s">
        <v>581</v>
      </c>
      <c r="N1626" s="1" t="s">
        <v>2839</v>
      </c>
    </row>
    <row r="1627" spans="1:20" ht="24" x14ac:dyDescent="0.25">
      <c r="A1627" s="10">
        <v>46125</v>
      </c>
      <c r="B1627" s="2" t="s">
        <v>2840</v>
      </c>
      <c r="C1627" s="2" t="s">
        <v>259</v>
      </c>
      <c r="D1627" s="2" t="s">
        <v>2836</v>
      </c>
      <c r="E1627" s="3" t="s">
        <v>498</v>
      </c>
      <c r="F1627" s="4">
        <f>169610.96-11300-4850-3680</f>
        <v>149780.96</v>
      </c>
      <c r="G1627" s="4" t="s">
        <v>48</v>
      </c>
      <c r="H1627" s="22" t="s">
        <v>973</v>
      </c>
      <c r="I1627" s="22">
        <v>169610.96</v>
      </c>
      <c r="J1627" s="22"/>
      <c r="K1627" s="22">
        <f t="shared" si="19"/>
        <v>169610.96</v>
      </c>
      <c r="L1627" s="17"/>
      <c r="M1627" s="6" t="s">
        <v>581</v>
      </c>
      <c r="N1627" s="1" t="s">
        <v>2841</v>
      </c>
    </row>
    <row r="1628" spans="1:20" x14ac:dyDescent="0.25">
      <c r="A1628" s="10">
        <v>46125</v>
      </c>
      <c r="B1628" s="2" t="s">
        <v>2840</v>
      </c>
      <c r="C1628" s="2" t="s">
        <v>259</v>
      </c>
      <c r="D1628" s="2" t="s">
        <v>2836</v>
      </c>
      <c r="E1628" s="3" t="s">
        <v>498</v>
      </c>
      <c r="G1628" s="4" t="s">
        <v>48</v>
      </c>
      <c r="H1628" s="22" t="s">
        <v>2842</v>
      </c>
      <c r="I1628" s="22"/>
      <c r="J1628" s="22">
        <v>11300</v>
      </c>
      <c r="K1628" s="22">
        <f t="shared" si="19"/>
        <v>11300</v>
      </c>
      <c r="L1628" s="17"/>
    </row>
    <row r="1629" spans="1:20" x14ac:dyDescent="0.25">
      <c r="A1629" s="10">
        <v>46125</v>
      </c>
      <c r="B1629" s="2" t="s">
        <v>2840</v>
      </c>
      <c r="C1629" s="2" t="s">
        <v>259</v>
      </c>
      <c r="D1629" s="2" t="s">
        <v>2836</v>
      </c>
      <c r="E1629" s="3" t="s">
        <v>498</v>
      </c>
      <c r="G1629" s="4" t="s">
        <v>48</v>
      </c>
      <c r="H1629" s="22" t="s">
        <v>2843</v>
      </c>
      <c r="I1629" s="22"/>
      <c r="J1629" s="22">
        <v>4850</v>
      </c>
      <c r="K1629" s="22">
        <f t="shared" si="19"/>
        <v>4850</v>
      </c>
      <c r="L1629" s="17"/>
    </row>
    <row r="1630" spans="1:20" x14ac:dyDescent="0.25">
      <c r="A1630" s="10">
        <v>46125</v>
      </c>
      <c r="B1630" s="2" t="s">
        <v>2840</v>
      </c>
      <c r="C1630" s="2" t="s">
        <v>259</v>
      </c>
      <c r="D1630" s="2" t="s">
        <v>2836</v>
      </c>
      <c r="E1630" s="3" t="s">
        <v>498</v>
      </c>
      <c r="G1630" s="4" t="s">
        <v>48</v>
      </c>
      <c r="H1630" s="22" t="s">
        <v>2844</v>
      </c>
      <c r="I1630" s="22"/>
      <c r="J1630" s="22">
        <v>3680</v>
      </c>
      <c r="K1630" s="22">
        <f t="shared" si="19"/>
        <v>3680</v>
      </c>
      <c r="L1630" s="17"/>
    </row>
    <row r="1631" spans="1:20" x14ac:dyDescent="0.25">
      <c r="A1631" s="10">
        <v>46125</v>
      </c>
      <c r="B1631" s="2" t="s">
        <v>2840</v>
      </c>
      <c r="C1631" s="2" t="s">
        <v>259</v>
      </c>
      <c r="D1631" s="2" t="s">
        <v>2836</v>
      </c>
      <c r="E1631" s="3" t="s">
        <v>498</v>
      </c>
      <c r="G1631" s="4" t="s">
        <v>48</v>
      </c>
      <c r="H1631" s="22" t="s">
        <v>49</v>
      </c>
      <c r="I1631" s="22"/>
      <c r="J1631" s="22">
        <f>I1627-J1628-J1629-J1630</f>
        <v>149780.96</v>
      </c>
      <c r="K1631" s="22">
        <f t="shared" si="19"/>
        <v>149780.96</v>
      </c>
      <c r="L1631" s="17"/>
    </row>
    <row r="1632" spans="1:20" ht="24" x14ac:dyDescent="0.25">
      <c r="A1632" s="10">
        <v>46125</v>
      </c>
      <c r="B1632" s="2" t="s">
        <v>2845</v>
      </c>
      <c r="C1632" s="2" t="s">
        <v>259</v>
      </c>
      <c r="D1632" s="2" t="s">
        <v>2836</v>
      </c>
      <c r="E1632" s="3" t="s">
        <v>498</v>
      </c>
      <c r="F1632" s="4">
        <f>219031.67-8450-3350-2700-1000</f>
        <v>203531.67</v>
      </c>
      <c r="G1632" s="4" t="s">
        <v>326</v>
      </c>
      <c r="H1632" s="22" t="s">
        <v>973</v>
      </c>
      <c r="I1632" s="22">
        <v>219031.67</v>
      </c>
      <c r="J1632" s="22"/>
      <c r="K1632" s="22">
        <f t="shared" ref="K1632:K1784" si="20">ABS(I1632-J1632)</f>
        <v>219031.67</v>
      </c>
      <c r="L1632" s="17"/>
      <c r="M1632" s="6" t="s">
        <v>581</v>
      </c>
      <c r="N1632" s="1" t="s">
        <v>2846</v>
      </c>
    </row>
    <row r="1633" spans="1:19" x14ac:dyDescent="0.25">
      <c r="A1633" s="10">
        <v>46125</v>
      </c>
      <c r="B1633" s="2" t="s">
        <v>2845</v>
      </c>
      <c r="C1633" s="2" t="s">
        <v>259</v>
      </c>
      <c r="D1633" s="2" t="s">
        <v>2836</v>
      </c>
      <c r="E1633" s="3" t="s">
        <v>498</v>
      </c>
      <c r="G1633" s="4" t="s">
        <v>326</v>
      </c>
      <c r="H1633" s="22" t="s">
        <v>2842</v>
      </c>
      <c r="I1633" s="22"/>
      <c r="J1633" s="22">
        <v>8450</v>
      </c>
      <c r="K1633" s="22">
        <f t="shared" si="20"/>
        <v>8450</v>
      </c>
      <c r="L1633" s="17"/>
    </row>
    <row r="1634" spans="1:19" x14ac:dyDescent="0.25">
      <c r="A1634" s="10">
        <v>46125</v>
      </c>
      <c r="B1634" s="2" t="s">
        <v>2845</v>
      </c>
      <c r="C1634" s="2" t="s">
        <v>259</v>
      </c>
      <c r="D1634" s="2" t="s">
        <v>2836</v>
      </c>
      <c r="E1634" s="3" t="s">
        <v>498</v>
      </c>
      <c r="G1634" s="4" t="s">
        <v>326</v>
      </c>
      <c r="H1634" s="22" t="s">
        <v>2843</v>
      </c>
      <c r="I1634" s="22"/>
      <c r="J1634" s="22">
        <v>3350</v>
      </c>
      <c r="K1634" s="22">
        <f t="shared" si="20"/>
        <v>3350</v>
      </c>
      <c r="L1634" s="17"/>
    </row>
    <row r="1635" spans="1:19" x14ac:dyDescent="0.25">
      <c r="A1635" s="10">
        <v>46125</v>
      </c>
      <c r="B1635" s="2" t="s">
        <v>2845</v>
      </c>
      <c r="C1635" s="2" t="s">
        <v>259</v>
      </c>
      <c r="D1635" s="2" t="s">
        <v>2836</v>
      </c>
      <c r="E1635" s="3" t="s">
        <v>498</v>
      </c>
      <c r="G1635" s="4" t="s">
        <v>326</v>
      </c>
      <c r="H1635" s="22" t="s">
        <v>2844</v>
      </c>
      <c r="I1635" s="22"/>
      <c r="J1635" s="22">
        <v>2700</v>
      </c>
      <c r="K1635" s="22">
        <f t="shared" si="20"/>
        <v>2700</v>
      </c>
      <c r="L1635" s="17"/>
    </row>
    <row r="1636" spans="1:19" x14ac:dyDescent="0.25">
      <c r="A1636" s="10">
        <v>46125</v>
      </c>
      <c r="B1636" s="2" t="s">
        <v>2845</v>
      </c>
      <c r="C1636" s="2" t="s">
        <v>259</v>
      </c>
      <c r="D1636" s="2" t="s">
        <v>2836</v>
      </c>
      <c r="E1636" s="3" t="s">
        <v>498</v>
      </c>
      <c r="G1636" s="4" t="s">
        <v>326</v>
      </c>
      <c r="H1636" s="22" t="s">
        <v>994</v>
      </c>
      <c r="I1636" s="22"/>
      <c r="J1636" s="22">
        <v>1000</v>
      </c>
      <c r="K1636" s="22">
        <f t="shared" si="20"/>
        <v>1000</v>
      </c>
      <c r="L1636" s="17"/>
    </row>
    <row r="1637" spans="1:19" x14ac:dyDescent="0.25">
      <c r="A1637" s="10">
        <v>46125</v>
      </c>
      <c r="B1637" s="2" t="s">
        <v>2845</v>
      </c>
      <c r="C1637" s="2" t="s">
        <v>259</v>
      </c>
      <c r="D1637" s="2" t="s">
        <v>2836</v>
      </c>
      <c r="E1637" s="3" t="s">
        <v>498</v>
      </c>
      <c r="G1637" s="4" t="s">
        <v>48</v>
      </c>
      <c r="H1637" s="22" t="s">
        <v>49</v>
      </c>
      <c r="I1637" s="22"/>
      <c r="J1637" s="22">
        <f>I1632-J1633-J1634-J1635-J1636</f>
        <v>203531.67</v>
      </c>
      <c r="K1637" s="22">
        <f t="shared" si="20"/>
        <v>203531.67</v>
      </c>
      <c r="L1637" s="17"/>
    </row>
    <row r="1638" spans="1:19" ht="24" x14ac:dyDescent="0.25">
      <c r="A1638" s="10">
        <v>46125</v>
      </c>
      <c r="B1638" s="2" t="s">
        <v>2847</v>
      </c>
      <c r="C1638" s="2" t="s">
        <v>95</v>
      </c>
      <c r="D1638" s="2" t="s">
        <v>2848</v>
      </c>
      <c r="E1638" s="3" t="s">
        <v>222</v>
      </c>
      <c r="F1638" s="4">
        <v>6100</v>
      </c>
      <c r="G1638" s="4" t="s">
        <v>28</v>
      </c>
      <c r="H1638" s="22" t="s">
        <v>78</v>
      </c>
      <c r="I1638" s="22">
        <v>6100</v>
      </c>
      <c r="J1638" s="22"/>
      <c r="K1638" s="22">
        <f t="shared" si="20"/>
        <v>6100</v>
      </c>
      <c r="L1638" s="17">
        <v>6100</v>
      </c>
      <c r="M1638" s="23" t="s">
        <v>41</v>
      </c>
      <c r="N1638" s="1" t="s">
        <v>2849</v>
      </c>
      <c r="O1638" s="24" t="s">
        <v>2309</v>
      </c>
      <c r="P1638" s="7" t="s">
        <v>81</v>
      </c>
      <c r="R1638" s="7" t="s">
        <v>2310</v>
      </c>
      <c r="S1638" s="3" t="s">
        <v>83</v>
      </c>
    </row>
    <row r="1639" spans="1:19" x14ac:dyDescent="0.25">
      <c r="A1639" s="10">
        <v>46125</v>
      </c>
      <c r="B1639" s="2" t="s">
        <v>2847</v>
      </c>
      <c r="C1639" s="2" t="s">
        <v>95</v>
      </c>
      <c r="D1639" s="2" t="s">
        <v>2848</v>
      </c>
      <c r="E1639" s="3" t="s">
        <v>222</v>
      </c>
      <c r="G1639" s="4" t="s">
        <v>48</v>
      </c>
      <c r="H1639" s="22" t="s">
        <v>49</v>
      </c>
      <c r="I1639" s="22"/>
      <c r="J1639" s="22">
        <f>I1638</f>
        <v>6100</v>
      </c>
      <c r="K1639" s="22">
        <f t="shared" si="20"/>
        <v>6100</v>
      </c>
      <c r="L1639" s="17"/>
    </row>
    <row r="1640" spans="1:19" ht="36" x14ac:dyDescent="0.25">
      <c r="A1640" s="10">
        <v>46125</v>
      </c>
      <c r="B1640" s="2" t="s">
        <v>2850</v>
      </c>
      <c r="C1640" s="2" t="s">
        <v>25</v>
      </c>
      <c r="D1640" s="2" t="s">
        <v>2402</v>
      </c>
      <c r="E1640" s="3" t="s">
        <v>27</v>
      </c>
      <c r="F1640" s="4">
        <v>158764.48000000001</v>
      </c>
      <c r="G1640" s="4" t="s">
        <v>211</v>
      </c>
      <c r="H1640" s="22" t="s">
        <v>334</v>
      </c>
      <c r="I1640" s="22"/>
      <c r="J1640" s="22"/>
      <c r="K1640" s="22">
        <f t="shared" si="20"/>
        <v>0</v>
      </c>
      <c r="L1640" s="17">
        <v>158764.48000000001</v>
      </c>
      <c r="M1640" s="23" t="s">
        <v>41</v>
      </c>
      <c r="N1640" s="1" t="s">
        <v>2851</v>
      </c>
      <c r="O1640" s="24" t="s">
        <v>2852</v>
      </c>
      <c r="P1640" s="7" t="s">
        <v>32</v>
      </c>
      <c r="Q1640" s="25" t="s">
        <v>2853</v>
      </c>
      <c r="R1640" s="7" t="s">
        <v>2854</v>
      </c>
      <c r="S1640" s="3" t="s">
        <v>2412</v>
      </c>
    </row>
    <row r="1641" spans="1:19" x14ac:dyDescent="0.25">
      <c r="A1641" s="10">
        <v>46125</v>
      </c>
      <c r="B1641" s="2" t="s">
        <v>2850</v>
      </c>
      <c r="C1641" s="2" t="s">
        <v>25</v>
      </c>
      <c r="D1641" s="2" t="s">
        <v>2402</v>
      </c>
      <c r="E1641" s="3" t="s">
        <v>27</v>
      </c>
      <c r="G1641" s="4" t="s">
        <v>211</v>
      </c>
      <c r="H1641" s="22" t="s">
        <v>1894</v>
      </c>
      <c r="I1641" s="22"/>
      <c r="J1641" s="22"/>
      <c r="K1641" s="22"/>
      <c r="L1641" s="17"/>
      <c r="M1641" s="23"/>
      <c r="O1641" s="24"/>
      <c r="Q1641" s="25"/>
    </row>
    <row r="1642" spans="1:19" x14ac:dyDescent="0.25">
      <c r="A1642" s="10">
        <v>46126</v>
      </c>
      <c r="B1642" s="2" t="s">
        <v>2855</v>
      </c>
      <c r="C1642" s="2" t="s">
        <v>506</v>
      </c>
      <c r="D1642" s="2" t="s">
        <v>2856</v>
      </c>
      <c r="E1642" s="3" t="s">
        <v>398</v>
      </c>
      <c r="F1642" s="4">
        <v>50000</v>
      </c>
      <c r="G1642" s="4" t="s">
        <v>262</v>
      </c>
      <c r="H1642" s="22" t="s">
        <v>168</v>
      </c>
      <c r="I1642" s="22">
        <v>50000</v>
      </c>
      <c r="J1642" s="22"/>
      <c r="K1642" s="22">
        <f t="shared" si="20"/>
        <v>50000</v>
      </c>
      <c r="L1642" s="17"/>
      <c r="M1642" s="23" t="s">
        <v>41</v>
      </c>
      <c r="N1642" s="1" t="s">
        <v>2857</v>
      </c>
    </row>
    <row r="1643" spans="1:19" x14ac:dyDescent="0.25">
      <c r="A1643" s="10">
        <v>46126</v>
      </c>
      <c r="B1643" s="2" t="s">
        <v>2855</v>
      </c>
      <c r="C1643" s="2" t="s">
        <v>506</v>
      </c>
      <c r="D1643" s="2" t="s">
        <v>2856</v>
      </c>
      <c r="E1643" s="3" t="s">
        <v>398</v>
      </c>
      <c r="G1643" s="4" t="s">
        <v>48</v>
      </c>
      <c r="H1643" s="22" t="s">
        <v>49</v>
      </c>
      <c r="I1643" s="22"/>
      <c r="J1643" s="22">
        <f>I1642</f>
        <v>50000</v>
      </c>
      <c r="K1643" s="22">
        <f t="shared" si="20"/>
        <v>50000</v>
      </c>
      <c r="L1643" s="17"/>
    </row>
    <row r="1644" spans="1:19" x14ac:dyDescent="0.25">
      <c r="A1644" s="10">
        <v>46126</v>
      </c>
      <c r="B1644" s="2" t="s">
        <v>2858</v>
      </c>
      <c r="C1644" s="2" t="s">
        <v>2445</v>
      </c>
      <c r="D1644" s="43" t="s">
        <v>2859</v>
      </c>
      <c r="E1644" s="3" t="s">
        <v>484</v>
      </c>
      <c r="F1644" s="4">
        <v>5000</v>
      </c>
      <c r="G1644" s="4" t="s">
        <v>447</v>
      </c>
      <c r="H1644" s="22" t="s">
        <v>2167</v>
      </c>
      <c r="I1644" s="22">
        <v>5000</v>
      </c>
      <c r="J1644" s="22"/>
      <c r="K1644" s="22">
        <f t="shared" si="20"/>
        <v>5000</v>
      </c>
      <c r="L1644" s="17"/>
      <c r="M1644" s="6" t="s">
        <v>41</v>
      </c>
      <c r="N1644" s="1" t="s">
        <v>2860</v>
      </c>
    </row>
    <row r="1645" spans="1:19" x14ac:dyDescent="0.25">
      <c r="A1645" s="10">
        <v>46126</v>
      </c>
      <c r="B1645" s="2" t="s">
        <v>2858</v>
      </c>
      <c r="C1645" s="2" t="s">
        <v>2445</v>
      </c>
      <c r="D1645" s="43" t="s">
        <v>2859</v>
      </c>
      <c r="E1645" s="3" t="s">
        <v>484</v>
      </c>
      <c r="G1645" s="4" t="s">
        <v>48</v>
      </c>
      <c r="H1645" s="22" t="s">
        <v>49</v>
      </c>
      <c r="I1645" s="22"/>
      <c r="J1645" s="22">
        <f>I1644</f>
        <v>5000</v>
      </c>
      <c r="K1645" s="22">
        <f t="shared" si="20"/>
        <v>5000</v>
      </c>
      <c r="L1645" s="17"/>
    </row>
    <row r="1646" spans="1:19" x14ac:dyDescent="0.25">
      <c r="A1646" s="10">
        <v>46126</v>
      </c>
      <c r="B1646" s="2" t="s">
        <v>2861</v>
      </c>
      <c r="C1646" s="2" t="s">
        <v>259</v>
      </c>
      <c r="D1646" s="2" t="s">
        <v>2836</v>
      </c>
      <c r="E1646" s="3" t="s">
        <v>2563</v>
      </c>
      <c r="F1646" s="4">
        <f>23600+10132.5+7750+6300+55122.5+32000+16125+15748</f>
        <v>166778</v>
      </c>
      <c r="G1646" s="4" t="s">
        <v>262</v>
      </c>
      <c r="H1646" s="22" t="s">
        <v>2862</v>
      </c>
      <c r="I1646" s="22">
        <v>23600</v>
      </c>
      <c r="J1646" s="22"/>
      <c r="K1646" s="22">
        <f t="shared" si="20"/>
        <v>23600</v>
      </c>
      <c r="L1646" s="17"/>
      <c r="M1646" s="6" t="s">
        <v>581</v>
      </c>
      <c r="N1646" s="1" t="s">
        <v>2863</v>
      </c>
    </row>
    <row r="1647" spans="1:19" x14ac:dyDescent="0.25">
      <c r="A1647" s="10">
        <v>46126</v>
      </c>
      <c r="B1647" s="2" t="s">
        <v>2861</v>
      </c>
      <c r="C1647" s="2" t="s">
        <v>259</v>
      </c>
      <c r="D1647" s="2" t="s">
        <v>2836</v>
      </c>
      <c r="E1647" s="3" t="s">
        <v>2563</v>
      </c>
      <c r="G1647" s="4" t="s">
        <v>265</v>
      </c>
      <c r="H1647" s="22" t="s">
        <v>2862</v>
      </c>
      <c r="I1647" s="22">
        <v>10132.5</v>
      </c>
      <c r="J1647" s="22"/>
      <c r="K1647" s="22">
        <f t="shared" si="20"/>
        <v>10132.5</v>
      </c>
      <c r="L1647" s="17"/>
    </row>
    <row r="1648" spans="1:19" x14ac:dyDescent="0.25">
      <c r="A1648" s="10">
        <v>46126</v>
      </c>
      <c r="B1648" s="2" t="s">
        <v>2861</v>
      </c>
      <c r="C1648" s="2" t="s">
        <v>259</v>
      </c>
      <c r="D1648" s="2" t="s">
        <v>2836</v>
      </c>
      <c r="E1648" s="3" t="s">
        <v>2563</v>
      </c>
      <c r="G1648" s="4" t="s">
        <v>211</v>
      </c>
      <c r="H1648" s="22" t="s">
        <v>2862</v>
      </c>
      <c r="I1648" s="22">
        <v>7750</v>
      </c>
      <c r="J1648" s="22"/>
      <c r="K1648" s="22">
        <f t="shared" si="20"/>
        <v>7750</v>
      </c>
      <c r="L1648" s="17"/>
    </row>
    <row r="1649" spans="1:23" x14ac:dyDescent="0.25">
      <c r="A1649" s="10">
        <v>46126</v>
      </c>
      <c r="B1649" s="2" t="s">
        <v>2861</v>
      </c>
      <c r="C1649" s="2" t="s">
        <v>259</v>
      </c>
      <c r="D1649" s="2" t="s">
        <v>2836</v>
      </c>
      <c r="E1649" s="3" t="s">
        <v>2563</v>
      </c>
      <c r="G1649" s="4" t="s">
        <v>268</v>
      </c>
      <c r="H1649" s="22" t="s">
        <v>2862</v>
      </c>
      <c r="I1649" s="22">
        <v>6300</v>
      </c>
      <c r="J1649" s="22"/>
      <c r="K1649" s="22">
        <f t="shared" si="20"/>
        <v>6300</v>
      </c>
      <c r="L1649" s="17"/>
    </row>
    <row r="1650" spans="1:23" x14ac:dyDescent="0.25">
      <c r="A1650" s="10">
        <v>46126</v>
      </c>
      <c r="B1650" s="2" t="s">
        <v>2861</v>
      </c>
      <c r="C1650" s="2" t="s">
        <v>259</v>
      </c>
      <c r="D1650" s="2" t="s">
        <v>2836</v>
      </c>
      <c r="E1650" s="3" t="s">
        <v>2563</v>
      </c>
      <c r="G1650" s="4" t="s">
        <v>77</v>
      </c>
      <c r="H1650" s="22" t="s">
        <v>2862</v>
      </c>
      <c r="I1650" s="22">
        <v>55122.5</v>
      </c>
      <c r="J1650" s="22"/>
      <c r="K1650" s="22">
        <f t="shared" si="20"/>
        <v>55122.5</v>
      </c>
      <c r="L1650" s="17"/>
    </row>
    <row r="1651" spans="1:23" x14ac:dyDescent="0.25">
      <c r="A1651" s="10">
        <v>46126</v>
      </c>
      <c r="B1651" s="2" t="s">
        <v>2861</v>
      </c>
      <c r="C1651" s="2" t="s">
        <v>259</v>
      </c>
      <c r="D1651" s="2" t="s">
        <v>2836</v>
      </c>
      <c r="E1651" s="3" t="s">
        <v>2563</v>
      </c>
      <c r="G1651" s="4" t="s">
        <v>28</v>
      </c>
      <c r="H1651" s="22" t="s">
        <v>2862</v>
      </c>
      <c r="I1651" s="22">
        <v>32000</v>
      </c>
      <c r="J1651" s="22"/>
      <c r="K1651" s="22">
        <f t="shared" si="20"/>
        <v>32000</v>
      </c>
      <c r="L1651" s="17"/>
    </row>
    <row r="1652" spans="1:23" x14ac:dyDescent="0.25">
      <c r="A1652" s="10">
        <v>46126</v>
      </c>
      <c r="B1652" s="2" t="s">
        <v>2861</v>
      </c>
      <c r="C1652" s="2" t="s">
        <v>259</v>
      </c>
      <c r="D1652" s="2" t="s">
        <v>2836</v>
      </c>
      <c r="E1652" s="3" t="s">
        <v>2563</v>
      </c>
      <c r="G1652" s="4" t="s">
        <v>28</v>
      </c>
      <c r="H1652" s="22" t="s">
        <v>2862</v>
      </c>
      <c r="I1652" s="22">
        <v>8062.5</v>
      </c>
      <c r="J1652" s="22"/>
      <c r="K1652" s="22">
        <f t="shared" si="20"/>
        <v>8062.5</v>
      </c>
      <c r="L1652" s="17"/>
    </row>
    <row r="1653" spans="1:23" x14ac:dyDescent="0.25">
      <c r="A1653" s="10">
        <v>46126</v>
      </c>
      <c r="B1653" s="2" t="s">
        <v>2861</v>
      </c>
      <c r="C1653" s="2" t="s">
        <v>259</v>
      </c>
      <c r="D1653" s="2" t="s">
        <v>2836</v>
      </c>
      <c r="E1653" s="3" t="s">
        <v>2563</v>
      </c>
      <c r="G1653" s="4" t="s">
        <v>268</v>
      </c>
      <c r="H1653" s="22" t="s">
        <v>2862</v>
      </c>
      <c r="I1653" s="22">
        <v>8062.5</v>
      </c>
      <c r="J1653" s="22"/>
      <c r="K1653" s="22">
        <f t="shared" si="20"/>
        <v>8062.5</v>
      </c>
      <c r="L1653" s="17"/>
    </row>
    <row r="1654" spans="1:23" x14ac:dyDescent="0.25">
      <c r="A1654" s="10">
        <v>46126</v>
      </c>
      <c r="B1654" s="2" t="s">
        <v>2861</v>
      </c>
      <c r="C1654" s="2" t="s">
        <v>259</v>
      </c>
      <c r="D1654" s="2" t="s">
        <v>2836</v>
      </c>
      <c r="E1654" s="3" t="s">
        <v>2563</v>
      </c>
      <c r="G1654" s="4" t="s">
        <v>28</v>
      </c>
      <c r="H1654" s="22" t="s">
        <v>2862</v>
      </c>
      <c r="I1654" s="22">
        <v>15748</v>
      </c>
      <c r="J1654" s="22"/>
      <c r="K1654" s="22">
        <f t="shared" si="20"/>
        <v>15748</v>
      </c>
      <c r="L1654" s="17"/>
    </row>
    <row r="1655" spans="1:23" x14ac:dyDescent="0.25">
      <c r="A1655" s="10">
        <v>46126</v>
      </c>
      <c r="B1655" s="2" t="s">
        <v>2861</v>
      </c>
      <c r="C1655" s="2" t="s">
        <v>259</v>
      </c>
      <c r="D1655" s="2" t="s">
        <v>2836</v>
      </c>
      <c r="E1655" s="3" t="s">
        <v>2563</v>
      </c>
      <c r="G1655" s="4" t="s">
        <v>48</v>
      </c>
      <c r="H1655" s="22" t="s">
        <v>49</v>
      </c>
      <c r="I1655" s="22"/>
      <c r="J1655" s="22">
        <f>I1646+I1647+I1648+I1649+I1650+I1651+I1652+I1653+I1654</f>
        <v>166778</v>
      </c>
      <c r="K1655" s="22">
        <f t="shared" si="20"/>
        <v>166778</v>
      </c>
      <c r="L1655" s="17"/>
    </row>
    <row r="1656" spans="1:23" ht="48" x14ac:dyDescent="0.25">
      <c r="A1656" s="10">
        <v>46126</v>
      </c>
      <c r="B1656" s="2" t="s">
        <v>2864</v>
      </c>
      <c r="C1656" s="2" t="s">
        <v>147</v>
      </c>
      <c r="D1656" s="2" t="s">
        <v>2865</v>
      </c>
      <c r="E1656" s="3" t="s">
        <v>222</v>
      </c>
      <c r="F1656" s="4">
        <v>16000</v>
      </c>
      <c r="G1656" s="4" t="s">
        <v>2866</v>
      </c>
      <c r="H1656" s="22" t="s">
        <v>78</v>
      </c>
      <c r="I1656" s="22">
        <v>8000</v>
      </c>
      <c r="J1656" s="22"/>
      <c r="K1656" s="22">
        <f t="shared" si="20"/>
        <v>8000</v>
      </c>
      <c r="L1656" s="17">
        <v>16000</v>
      </c>
      <c r="M1656" s="23" t="s">
        <v>41</v>
      </c>
      <c r="N1656" s="1" t="s">
        <v>2867</v>
      </c>
      <c r="O1656" s="28" t="s">
        <v>80</v>
      </c>
      <c r="P1656" s="7" t="s">
        <v>784</v>
      </c>
      <c r="R1656" s="7" t="s">
        <v>2830</v>
      </c>
      <c r="T1656" s="3" t="s">
        <v>2831</v>
      </c>
    </row>
    <row r="1657" spans="1:23" x14ac:dyDescent="0.25">
      <c r="A1657" s="10">
        <v>46126</v>
      </c>
      <c r="B1657" s="2" t="s">
        <v>2864</v>
      </c>
      <c r="C1657" s="2" t="s">
        <v>147</v>
      </c>
      <c r="D1657" s="2" t="s">
        <v>2865</v>
      </c>
      <c r="E1657" s="3" t="s">
        <v>222</v>
      </c>
      <c r="G1657" s="4" t="s">
        <v>2868</v>
      </c>
      <c r="H1657" s="22" t="s">
        <v>78</v>
      </c>
      <c r="I1657" s="22">
        <v>8000</v>
      </c>
      <c r="J1657" s="22"/>
      <c r="K1657" s="22">
        <f t="shared" si="20"/>
        <v>8000</v>
      </c>
      <c r="L1657" s="17"/>
    </row>
    <row r="1658" spans="1:23" x14ac:dyDescent="0.25">
      <c r="A1658" s="10">
        <v>46126</v>
      </c>
      <c r="B1658" s="2" t="s">
        <v>2864</v>
      </c>
      <c r="C1658" s="2" t="s">
        <v>147</v>
      </c>
      <c r="D1658" s="2" t="s">
        <v>2865</v>
      </c>
      <c r="E1658" s="3" t="s">
        <v>222</v>
      </c>
      <c r="G1658" s="4" t="s">
        <v>48</v>
      </c>
      <c r="H1658" s="22" t="s">
        <v>49</v>
      </c>
      <c r="I1658" s="22"/>
      <c r="J1658" s="22">
        <f>I1656+I1657</f>
        <v>16000</v>
      </c>
      <c r="K1658" s="22">
        <f t="shared" si="20"/>
        <v>16000</v>
      </c>
      <c r="L1658" s="17"/>
    </row>
    <row r="1659" spans="1:23" ht="24" x14ac:dyDescent="0.25">
      <c r="A1659" s="10">
        <v>46126</v>
      </c>
      <c r="B1659" s="2" t="s">
        <v>2869</v>
      </c>
      <c r="C1659" s="2" t="s">
        <v>95</v>
      </c>
      <c r="D1659" s="2" t="s">
        <v>2870</v>
      </c>
      <c r="E1659" s="3" t="s">
        <v>109</v>
      </c>
      <c r="F1659" s="4">
        <v>8262</v>
      </c>
      <c r="G1659" s="4" t="s">
        <v>1030</v>
      </c>
      <c r="H1659" s="22"/>
      <c r="I1659" s="22"/>
      <c r="J1659" s="22"/>
      <c r="K1659" s="22">
        <f t="shared" si="20"/>
        <v>0</v>
      </c>
      <c r="L1659" s="17"/>
      <c r="M1659" s="6" t="s">
        <v>581</v>
      </c>
      <c r="N1659" s="1" t="s">
        <v>2871</v>
      </c>
    </row>
    <row r="1660" spans="1:23" ht="23.4" customHeight="1" x14ac:dyDescent="0.25">
      <c r="A1660" s="10">
        <v>46126</v>
      </c>
      <c r="B1660" s="2" t="s">
        <v>2872</v>
      </c>
      <c r="C1660" s="2" t="s">
        <v>147</v>
      </c>
      <c r="D1660" s="2" t="s">
        <v>2873</v>
      </c>
      <c r="E1660" s="3" t="s">
        <v>2874</v>
      </c>
      <c r="F1660" s="4">
        <v>22500</v>
      </c>
      <c r="G1660" s="4" t="s">
        <v>1030</v>
      </c>
      <c r="H1660" s="22" t="s">
        <v>78</v>
      </c>
      <c r="I1660" s="22">
        <v>22500</v>
      </c>
      <c r="J1660" s="22"/>
      <c r="K1660" s="22">
        <f t="shared" si="20"/>
        <v>22500</v>
      </c>
      <c r="L1660" s="17">
        <v>22500</v>
      </c>
      <c r="M1660" s="23" t="s">
        <v>41</v>
      </c>
      <c r="N1660" s="1" t="s">
        <v>2875</v>
      </c>
      <c r="O1660" s="28" t="s">
        <v>80</v>
      </c>
      <c r="P1660" s="7" t="s">
        <v>784</v>
      </c>
      <c r="R1660" s="7" t="s">
        <v>2830</v>
      </c>
      <c r="T1660" s="3" t="s">
        <v>2831</v>
      </c>
      <c r="W1660" s="9" t="s">
        <v>2876</v>
      </c>
    </row>
    <row r="1661" spans="1:23" ht="23.4" customHeight="1" x14ac:dyDescent="0.25">
      <c r="A1661" s="10">
        <v>46126</v>
      </c>
      <c r="B1661" s="2" t="s">
        <v>2872</v>
      </c>
      <c r="C1661" s="2" t="s">
        <v>147</v>
      </c>
      <c r="D1661" s="2" t="s">
        <v>2873</v>
      </c>
      <c r="E1661" s="3" t="s">
        <v>2874</v>
      </c>
      <c r="G1661" s="4" t="s">
        <v>48</v>
      </c>
      <c r="H1661" s="22" t="s">
        <v>49</v>
      </c>
      <c r="I1661" s="22"/>
      <c r="J1661" s="22">
        <f>I1660</f>
        <v>22500</v>
      </c>
      <c r="K1661" s="22">
        <f t="shared" si="20"/>
        <v>22500</v>
      </c>
      <c r="L1661" s="17"/>
    </row>
    <row r="1662" spans="1:23" ht="24" x14ac:dyDescent="0.25">
      <c r="A1662" s="10">
        <v>46126</v>
      </c>
      <c r="B1662" s="2" t="s">
        <v>2877</v>
      </c>
      <c r="C1662" s="2" t="s">
        <v>95</v>
      </c>
      <c r="D1662" s="2" t="s">
        <v>2878</v>
      </c>
      <c r="E1662" s="3" t="s">
        <v>149</v>
      </c>
      <c r="F1662" s="4">
        <v>50000</v>
      </c>
      <c r="G1662" s="4" t="s">
        <v>48</v>
      </c>
      <c r="H1662" s="22" t="s">
        <v>78</v>
      </c>
      <c r="I1662" s="22">
        <v>50000</v>
      </c>
      <c r="J1662" s="22"/>
      <c r="K1662" s="22">
        <f t="shared" si="20"/>
        <v>50000</v>
      </c>
      <c r="L1662" s="17">
        <v>50000</v>
      </c>
      <c r="M1662" s="23" t="s">
        <v>41</v>
      </c>
      <c r="N1662" s="1" t="s">
        <v>2879</v>
      </c>
      <c r="O1662" s="24" t="s">
        <v>2880</v>
      </c>
      <c r="P1662" s="7" t="s">
        <v>784</v>
      </c>
      <c r="R1662" s="7" t="s">
        <v>2830</v>
      </c>
      <c r="T1662" s="3" t="s">
        <v>2831</v>
      </c>
    </row>
    <row r="1663" spans="1:23" x14ac:dyDescent="0.25">
      <c r="A1663" s="10">
        <v>46126</v>
      </c>
      <c r="B1663" s="2" t="s">
        <v>2877</v>
      </c>
      <c r="C1663" s="2" t="s">
        <v>95</v>
      </c>
      <c r="D1663" s="2" t="s">
        <v>2878</v>
      </c>
      <c r="E1663" s="3" t="s">
        <v>149</v>
      </c>
      <c r="G1663" s="4" t="s">
        <v>48</v>
      </c>
      <c r="H1663" s="22" t="s">
        <v>49</v>
      </c>
      <c r="I1663" s="22"/>
      <c r="J1663" s="22">
        <f>I1662</f>
        <v>50000</v>
      </c>
      <c r="K1663" s="22">
        <f t="shared" si="20"/>
        <v>50000</v>
      </c>
      <c r="L1663" s="17"/>
      <c r="O1663" s="24"/>
    </row>
    <row r="1664" spans="1:23" ht="24" x14ac:dyDescent="0.25">
      <c r="A1664" s="10">
        <v>46126</v>
      </c>
      <c r="B1664" s="2" t="s">
        <v>2881</v>
      </c>
      <c r="C1664" s="2" t="s">
        <v>147</v>
      </c>
      <c r="D1664" s="2" t="s">
        <v>2882</v>
      </c>
      <c r="E1664" s="3" t="s">
        <v>233</v>
      </c>
      <c r="F1664" s="4">
        <f>2500+2000+900</f>
        <v>5400</v>
      </c>
      <c r="G1664" s="4" t="s">
        <v>204</v>
      </c>
      <c r="H1664" s="22" t="s">
        <v>78</v>
      </c>
      <c r="I1664" s="22">
        <f>5400/2</f>
        <v>2700</v>
      </c>
      <c r="J1664" s="22"/>
      <c r="K1664" s="22">
        <f t="shared" si="20"/>
        <v>2700</v>
      </c>
      <c r="L1664" s="17">
        <v>5400</v>
      </c>
      <c r="M1664" s="23" t="s">
        <v>41</v>
      </c>
      <c r="N1664" s="1" t="s">
        <v>2883</v>
      </c>
      <c r="O1664" s="7" t="s">
        <v>2884</v>
      </c>
      <c r="P1664" s="7" t="s">
        <v>81</v>
      </c>
      <c r="R1664" s="7" t="s">
        <v>2885</v>
      </c>
      <c r="S1664" s="3" t="s">
        <v>83</v>
      </c>
    </row>
    <row r="1665" spans="1:20" x14ac:dyDescent="0.25">
      <c r="A1665" s="10">
        <v>46126</v>
      </c>
      <c r="B1665" s="2" t="s">
        <v>2881</v>
      </c>
      <c r="C1665" s="2" t="s">
        <v>147</v>
      </c>
      <c r="D1665" s="2" t="s">
        <v>2882</v>
      </c>
      <c r="E1665" s="3" t="s">
        <v>233</v>
      </c>
      <c r="G1665" s="4" t="s">
        <v>211</v>
      </c>
      <c r="H1665" s="22" t="s">
        <v>78</v>
      </c>
      <c r="I1665" s="22">
        <f>5400/2</f>
        <v>2700</v>
      </c>
      <c r="J1665" s="22"/>
      <c r="K1665" s="22">
        <f t="shared" si="20"/>
        <v>2700</v>
      </c>
      <c r="L1665" s="17"/>
    </row>
    <row r="1666" spans="1:20" x14ac:dyDescent="0.25">
      <c r="A1666" s="10">
        <v>46126</v>
      </c>
      <c r="B1666" s="2" t="s">
        <v>2881</v>
      </c>
      <c r="C1666" s="2" t="s">
        <v>147</v>
      </c>
      <c r="D1666" s="2" t="s">
        <v>2882</v>
      </c>
      <c r="E1666" s="3" t="s">
        <v>233</v>
      </c>
      <c r="G1666" s="4" t="s">
        <v>48</v>
      </c>
      <c r="H1666" s="22" t="s">
        <v>49</v>
      </c>
      <c r="I1666" s="22"/>
      <c r="J1666" s="22">
        <f>I1664+I1665</f>
        <v>5400</v>
      </c>
      <c r="K1666" s="22">
        <f t="shared" si="20"/>
        <v>5400</v>
      </c>
      <c r="L1666" s="17"/>
    </row>
    <row r="1667" spans="1:20" ht="24" x14ac:dyDescent="0.25">
      <c r="A1667" s="10">
        <v>46126</v>
      </c>
      <c r="B1667" s="2" t="s">
        <v>2886</v>
      </c>
      <c r="C1667" s="2" t="s">
        <v>2887</v>
      </c>
      <c r="D1667" s="2" t="s">
        <v>2888</v>
      </c>
      <c r="E1667" s="3" t="s">
        <v>548</v>
      </c>
      <c r="F1667" s="4">
        <f>24850</f>
        <v>24850</v>
      </c>
      <c r="G1667" s="4" t="s">
        <v>128</v>
      </c>
      <c r="H1667" s="22" t="s">
        <v>1916</v>
      </c>
      <c r="I1667" s="22">
        <f>24850</f>
        <v>24850</v>
      </c>
      <c r="J1667" s="22"/>
      <c r="K1667" s="22">
        <f t="shared" si="20"/>
        <v>24850</v>
      </c>
      <c r="L1667" s="17"/>
      <c r="M1667" s="23" t="s">
        <v>41</v>
      </c>
      <c r="N1667" s="1" t="s">
        <v>2889</v>
      </c>
    </row>
    <row r="1668" spans="1:20" x14ac:dyDescent="0.25">
      <c r="A1668" s="10">
        <v>46126</v>
      </c>
      <c r="B1668" s="2" t="s">
        <v>2886</v>
      </c>
      <c r="C1668" s="2" t="s">
        <v>2887</v>
      </c>
      <c r="D1668" s="2" t="s">
        <v>2888</v>
      </c>
      <c r="E1668" s="3" t="s">
        <v>548</v>
      </c>
      <c r="G1668" s="4" t="s">
        <v>48</v>
      </c>
      <c r="H1668" s="22" t="s">
        <v>49</v>
      </c>
      <c r="I1668" s="22"/>
      <c r="J1668" s="22">
        <f>I1667</f>
        <v>24850</v>
      </c>
      <c r="K1668" s="22">
        <f t="shared" si="20"/>
        <v>24850</v>
      </c>
      <c r="L1668" s="17"/>
    </row>
    <row r="1669" spans="1:20" ht="24" x14ac:dyDescent="0.25">
      <c r="A1669" s="10">
        <v>46126</v>
      </c>
      <c r="B1669" s="2" t="s">
        <v>2890</v>
      </c>
      <c r="C1669" s="2" t="s">
        <v>2891</v>
      </c>
      <c r="D1669" s="2" t="s">
        <v>2892</v>
      </c>
      <c r="E1669" s="3" t="s">
        <v>2893</v>
      </c>
      <c r="F1669" s="4">
        <v>254666</v>
      </c>
      <c r="G1669" s="4" t="s">
        <v>110</v>
      </c>
      <c r="H1669" s="22" t="s">
        <v>1901</v>
      </c>
      <c r="I1669" s="22">
        <v>254666</v>
      </c>
      <c r="J1669" s="22"/>
      <c r="K1669" s="22">
        <f t="shared" si="20"/>
        <v>254666</v>
      </c>
      <c r="L1669" s="17"/>
      <c r="M1669" s="6" t="s">
        <v>581</v>
      </c>
      <c r="N1669" s="1" t="s">
        <v>2894</v>
      </c>
    </row>
    <row r="1670" spans="1:20" x14ac:dyDescent="0.25">
      <c r="A1670" s="10">
        <v>46126</v>
      </c>
      <c r="B1670" s="2" t="s">
        <v>2890</v>
      </c>
      <c r="C1670" s="2" t="s">
        <v>2891</v>
      </c>
      <c r="D1670" s="2" t="s">
        <v>2892</v>
      </c>
      <c r="E1670" s="3" t="s">
        <v>2893</v>
      </c>
      <c r="G1670" s="4" t="s">
        <v>48</v>
      </c>
      <c r="H1670" s="22" t="s">
        <v>49</v>
      </c>
      <c r="I1670" s="22"/>
      <c r="J1670" s="22">
        <f>I1669</f>
        <v>254666</v>
      </c>
      <c r="K1670" s="22">
        <f t="shared" si="20"/>
        <v>254666</v>
      </c>
      <c r="L1670" s="17"/>
    </row>
    <row r="1671" spans="1:20" x14ac:dyDescent="0.25">
      <c r="A1671" s="10">
        <v>46127</v>
      </c>
      <c r="B1671" s="2" t="s">
        <v>2895</v>
      </c>
      <c r="C1671" s="2" t="s">
        <v>141</v>
      </c>
      <c r="E1671" s="3" t="s">
        <v>27</v>
      </c>
      <c r="F1671" s="4">
        <v>356116</v>
      </c>
      <c r="G1671" s="4" t="s">
        <v>48</v>
      </c>
      <c r="H1671" s="22" t="s">
        <v>81</v>
      </c>
      <c r="I1671" s="22">
        <v>356116</v>
      </c>
      <c r="J1671" s="22"/>
      <c r="K1671" s="22">
        <f t="shared" si="20"/>
        <v>356116</v>
      </c>
      <c r="L1671" s="17">
        <v>356116</v>
      </c>
      <c r="M1671" s="6" t="s">
        <v>41</v>
      </c>
      <c r="N1671" s="1" t="s">
        <v>2896</v>
      </c>
      <c r="O1671" s="7" t="s">
        <v>143</v>
      </c>
      <c r="P1671" s="7" t="s">
        <v>32</v>
      </c>
      <c r="Q1671" s="25" t="s">
        <v>2897</v>
      </c>
      <c r="R1671" s="7" t="s">
        <v>2898</v>
      </c>
      <c r="S1671" s="3" t="s">
        <v>2899</v>
      </c>
      <c r="T1671" s="3" t="s">
        <v>324</v>
      </c>
    </row>
    <row r="1672" spans="1:20" x14ac:dyDescent="0.25">
      <c r="A1672" s="10">
        <v>46127</v>
      </c>
      <c r="B1672" s="2" t="s">
        <v>2895</v>
      </c>
      <c r="C1672" s="2" t="s">
        <v>141</v>
      </c>
      <c r="E1672" s="3" t="s">
        <v>27</v>
      </c>
      <c r="G1672" s="4" t="s">
        <v>48</v>
      </c>
      <c r="H1672" s="22" t="s">
        <v>49</v>
      </c>
      <c r="I1672" s="22"/>
      <c r="J1672" s="22">
        <f>I1671</f>
        <v>356116</v>
      </c>
      <c r="K1672" s="22">
        <f t="shared" si="20"/>
        <v>356116</v>
      </c>
      <c r="L1672" s="17"/>
      <c r="Q1672" s="25"/>
    </row>
    <row r="1673" spans="1:20" x14ac:dyDescent="0.25">
      <c r="A1673" s="10">
        <v>46127</v>
      </c>
      <c r="B1673" s="2" t="s">
        <v>2900</v>
      </c>
      <c r="E1673" s="3" t="s">
        <v>2901</v>
      </c>
      <c r="F1673" s="4">
        <v>47250</v>
      </c>
      <c r="G1673" s="4" t="s">
        <v>48</v>
      </c>
      <c r="H1673" s="22" t="s">
        <v>2403</v>
      </c>
      <c r="I1673" s="22">
        <v>47250</v>
      </c>
      <c r="J1673" s="22"/>
      <c r="K1673" s="22">
        <f t="shared" si="20"/>
        <v>47250</v>
      </c>
      <c r="L1673" s="17"/>
      <c r="M1673" s="6" t="s">
        <v>581</v>
      </c>
      <c r="N1673" s="1" t="s">
        <v>2902</v>
      </c>
      <c r="O1673" s="7" t="s">
        <v>2903</v>
      </c>
      <c r="P1673" s="7" t="s">
        <v>32</v>
      </c>
      <c r="Q1673" s="25" t="s">
        <v>2904</v>
      </c>
      <c r="R1673" s="7" t="s">
        <v>2905</v>
      </c>
      <c r="S1673" s="3" t="s">
        <v>2407</v>
      </c>
      <c r="T1673" s="3" t="s">
        <v>2906</v>
      </c>
    </row>
    <row r="1674" spans="1:20" x14ac:dyDescent="0.25">
      <c r="A1674" s="10">
        <v>46127</v>
      </c>
      <c r="B1674" s="2" t="s">
        <v>2900</v>
      </c>
      <c r="E1674" s="3" t="s">
        <v>2901</v>
      </c>
      <c r="G1674" s="4" t="s">
        <v>48</v>
      </c>
      <c r="H1674" s="22" t="s">
        <v>406</v>
      </c>
      <c r="I1674" s="22"/>
      <c r="J1674" s="22">
        <f>I1673</f>
        <v>47250</v>
      </c>
      <c r="K1674" s="22">
        <f t="shared" si="20"/>
        <v>47250</v>
      </c>
      <c r="L1674" s="17"/>
    </row>
    <row r="1675" spans="1:20" x14ac:dyDescent="0.25">
      <c r="A1675" s="10">
        <v>46127</v>
      </c>
      <c r="B1675" s="2" t="s">
        <v>2900</v>
      </c>
      <c r="E1675" s="3" t="s">
        <v>2901</v>
      </c>
      <c r="G1675" s="4" t="s">
        <v>48</v>
      </c>
      <c r="H1675" s="22" t="s">
        <v>406</v>
      </c>
      <c r="I1675" s="22">
        <v>47250</v>
      </c>
      <c r="J1675" s="22"/>
      <c r="K1675" s="22">
        <f t="shared" si="20"/>
        <v>47250</v>
      </c>
      <c r="L1675" s="17"/>
    </row>
    <row r="1676" spans="1:20" x14ac:dyDescent="0.25">
      <c r="A1676" s="10">
        <v>46127</v>
      </c>
      <c r="B1676" s="2" t="s">
        <v>2900</v>
      </c>
      <c r="E1676" s="3" t="s">
        <v>2901</v>
      </c>
      <c r="G1676" s="4" t="s">
        <v>48</v>
      </c>
      <c r="H1676" s="22" t="s">
        <v>2403</v>
      </c>
      <c r="I1676" s="22"/>
      <c r="J1676" s="22">
        <f>I1675</f>
        <v>47250</v>
      </c>
      <c r="K1676" s="22">
        <f t="shared" si="20"/>
        <v>47250</v>
      </c>
      <c r="L1676" s="17"/>
    </row>
    <row r="1677" spans="1:20" ht="24" x14ac:dyDescent="0.25">
      <c r="A1677" s="10">
        <v>46128</v>
      </c>
      <c r="B1677" s="2" t="s">
        <v>2907</v>
      </c>
      <c r="C1677" s="2" t="s">
        <v>396</v>
      </c>
      <c r="D1677" s="2" t="s">
        <v>2908</v>
      </c>
      <c r="E1677" s="3" t="s">
        <v>233</v>
      </c>
      <c r="F1677" s="4">
        <v>3044</v>
      </c>
      <c r="G1677" s="4" t="s">
        <v>204</v>
      </c>
      <c r="H1677" s="22" t="s">
        <v>40</v>
      </c>
      <c r="I1677" s="22">
        <v>3044</v>
      </c>
      <c r="J1677" s="22"/>
      <c r="K1677" s="22">
        <f t="shared" si="20"/>
        <v>3044</v>
      </c>
      <c r="L1677" s="17"/>
      <c r="M1677" s="6" t="s">
        <v>581</v>
      </c>
      <c r="N1677" s="1" t="s">
        <v>2909</v>
      </c>
    </row>
    <row r="1678" spans="1:20" x14ac:dyDescent="0.25">
      <c r="A1678" s="10">
        <v>46128</v>
      </c>
      <c r="B1678" s="2" t="s">
        <v>2907</v>
      </c>
      <c r="C1678" s="2" t="s">
        <v>396</v>
      </c>
      <c r="D1678" s="2" t="s">
        <v>2908</v>
      </c>
      <c r="E1678" s="3" t="s">
        <v>233</v>
      </c>
      <c r="G1678" s="4" t="s">
        <v>48</v>
      </c>
      <c r="H1678" s="22" t="s">
        <v>49</v>
      </c>
      <c r="I1678" s="22"/>
      <c r="J1678" s="22">
        <f>I1677</f>
        <v>3044</v>
      </c>
      <c r="K1678" s="22">
        <f t="shared" si="20"/>
        <v>3044</v>
      </c>
      <c r="L1678" s="17"/>
    </row>
    <row r="1679" spans="1:20" ht="24" x14ac:dyDescent="0.25">
      <c r="A1679" s="10">
        <v>46128</v>
      </c>
      <c r="B1679" s="2" t="s">
        <v>2910</v>
      </c>
      <c r="C1679" s="2" t="s">
        <v>95</v>
      </c>
      <c r="D1679" s="2" t="s">
        <v>2911</v>
      </c>
      <c r="E1679" s="3" t="s">
        <v>149</v>
      </c>
      <c r="F1679" s="4">
        <v>6500</v>
      </c>
      <c r="G1679" s="4" t="s">
        <v>1030</v>
      </c>
      <c r="H1679" s="22" t="s">
        <v>78</v>
      </c>
      <c r="I1679" s="22">
        <v>6500</v>
      </c>
      <c r="J1679" s="22"/>
      <c r="K1679" s="22">
        <f t="shared" si="20"/>
        <v>6500</v>
      </c>
      <c r="L1679" s="17">
        <v>6500</v>
      </c>
      <c r="M1679" s="23" t="s">
        <v>41</v>
      </c>
      <c r="N1679" s="1" t="s">
        <v>2912</v>
      </c>
      <c r="O1679" s="46" t="s">
        <v>1596</v>
      </c>
      <c r="P1679" s="7" t="s">
        <v>81</v>
      </c>
      <c r="R1679" s="7" t="s">
        <v>2791</v>
      </c>
      <c r="S1679" s="3" t="s">
        <v>2738</v>
      </c>
      <c r="T1679" s="3" t="s">
        <v>2739</v>
      </c>
    </row>
    <row r="1680" spans="1:20" x14ac:dyDescent="0.25">
      <c r="A1680" s="10">
        <v>46128</v>
      </c>
      <c r="B1680" s="2" t="s">
        <v>2910</v>
      </c>
      <c r="C1680" s="2" t="s">
        <v>95</v>
      </c>
      <c r="D1680" s="2" t="s">
        <v>2911</v>
      </c>
      <c r="E1680" s="3" t="s">
        <v>149</v>
      </c>
      <c r="G1680" s="4" t="s">
        <v>48</v>
      </c>
      <c r="H1680" s="22" t="s">
        <v>49</v>
      </c>
      <c r="I1680" s="22"/>
      <c r="J1680" s="22">
        <f>I1679</f>
        <v>6500</v>
      </c>
      <c r="K1680" s="22">
        <f t="shared" si="20"/>
        <v>6500</v>
      </c>
      <c r="L1680" s="17"/>
      <c r="M1680" s="23"/>
    </row>
    <row r="1681" spans="1:20" x14ac:dyDescent="0.25">
      <c r="A1681" s="10">
        <v>46128</v>
      </c>
      <c r="B1681" s="2" t="s">
        <v>2910</v>
      </c>
      <c r="C1681" s="2" t="s">
        <v>95</v>
      </c>
      <c r="D1681" s="2" t="s">
        <v>2911</v>
      </c>
      <c r="E1681" s="3" t="s">
        <v>149</v>
      </c>
      <c r="G1681" s="4" t="s">
        <v>1030</v>
      </c>
      <c r="H1681" s="22" t="s">
        <v>1958</v>
      </c>
      <c r="I1681" s="22">
        <v>5500</v>
      </c>
      <c r="J1681" s="22"/>
      <c r="K1681" s="22">
        <f t="shared" si="20"/>
        <v>5500</v>
      </c>
      <c r="L1681" s="17"/>
      <c r="M1681" s="23"/>
    </row>
    <row r="1682" spans="1:20" x14ac:dyDescent="0.25">
      <c r="A1682" s="10">
        <v>46128</v>
      </c>
      <c r="B1682" s="2" t="s">
        <v>2910</v>
      </c>
      <c r="C1682" s="2" t="s">
        <v>95</v>
      </c>
      <c r="D1682" s="2" t="s">
        <v>2911</v>
      </c>
      <c r="E1682" s="3" t="s">
        <v>149</v>
      </c>
      <c r="G1682" s="4" t="s">
        <v>1030</v>
      </c>
      <c r="H1682" s="22" t="s">
        <v>2913</v>
      </c>
      <c r="I1682" s="22">
        <v>1000</v>
      </c>
      <c r="J1682" s="22"/>
      <c r="K1682" s="22">
        <f t="shared" si="20"/>
        <v>1000</v>
      </c>
      <c r="L1682" s="17"/>
      <c r="M1682" s="23"/>
    </row>
    <row r="1683" spans="1:20" x14ac:dyDescent="0.25">
      <c r="A1683" s="10">
        <v>46128</v>
      </c>
      <c r="B1683" s="2" t="s">
        <v>2910</v>
      </c>
      <c r="C1683" s="2" t="s">
        <v>95</v>
      </c>
      <c r="D1683" s="2" t="s">
        <v>2911</v>
      </c>
      <c r="E1683" s="3" t="s">
        <v>149</v>
      </c>
      <c r="G1683" s="4" t="s">
        <v>48</v>
      </c>
      <c r="H1683" s="22" t="s">
        <v>49</v>
      </c>
      <c r="I1683" s="22"/>
      <c r="J1683" s="22">
        <f>I1681+I1682</f>
        <v>6500</v>
      </c>
      <c r="K1683" s="22">
        <f t="shared" si="20"/>
        <v>6500</v>
      </c>
      <c r="L1683" s="17"/>
      <c r="M1683" s="23"/>
    </row>
    <row r="1684" spans="1:20" ht="24" x14ac:dyDescent="0.25">
      <c r="A1684" s="10">
        <v>46128</v>
      </c>
      <c r="B1684" s="2" t="s">
        <v>2914</v>
      </c>
      <c r="C1684" s="2" t="s">
        <v>95</v>
      </c>
      <c r="D1684" s="2" t="s">
        <v>2915</v>
      </c>
      <c r="E1684" s="3" t="s">
        <v>76</v>
      </c>
      <c r="F1684" s="4">
        <v>9600</v>
      </c>
      <c r="G1684" s="4" t="s">
        <v>77</v>
      </c>
      <c r="H1684" s="22" t="s">
        <v>78</v>
      </c>
      <c r="I1684" s="22">
        <v>9600</v>
      </c>
      <c r="J1684" s="22"/>
      <c r="K1684" s="22">
        <f t="shared" si="20"/>
        <v>9600</v>
      </c>
      <c r="L1684" s="17">
        <v>9600</v>
      </c>
      <c r="M1684" s="23" t="s">
        <v>41</v>
      </c>
      <c r="N1684" s="1" t="s">
        <v>2916</v>
      </c>
      <c r="O1684" s="28" t="s">
        <v>80</v>
      </c>
      <c r="P1684" s="7" t="s">
        <v>81</v>
      </c>
      <c r="R1684" s="7" t="s">
        <v>2704</v>
      </c>
      <c r="S1684" s="3" t="s">
        <v>83</v>
      </c>
      <c r="T1684" s="3" t="s">
        <v>2376</v>
      </c>
    </row>
    <row r="1685" spans="1:20" x14ac:dyDescent="0.25">
      <c r="A1685" s="10">
        <v>46128</v>
      </c>
      <c r="B1685" s="2" t="s">
        <v>2914</v>
      </c>
      <c r="C1685" s="2" t="s">
        <v>95</v>
      </c>
      <c r="D1685" s="2" t="s">
        <v>2915</v>
      </c>
      <c r="E1685" s="3" t="s">
        <v>76</v>
      </c>
      <c r="G1685" s="4" t="s">
        <v>48</v>
      </c>
      <c r="H1685" s="22" t="s">
        <v>49</v>
      </c>
      <c r="I1685" s="22"/>
      <c r="J1685" s="22">
        <f>I1684</f>
        <v>9600</v>
      </c>
      <c r="K1685" s="22">
        <f t="shared" si="20"/>
        <v>9600</v>
      </c>
      <c r="L1685" s="17"/>
    </row>
    <row r="1686" spans="1:20" ht="24" x14ac:dyDescent="0.25">
      <c r="A1686" s="10">
        <v>46128</v>
      </c>
      <c r="B1686" s="2" t="s">
        <v>2917</v>
      </c>
      <c r="C1686" s="2" t="s">
        <v>470</v>
      </c>
      <c r="D1686" s="2" t="s">
        <v>2918</v>
      </c>
      <c r="E1686" s="3" t="s">
        <v>261</v>
      </c>
      <c r="F1686" s="4">
        <v>4566.71</v>
      </c>
      <c r="G1686" s="4" t="s">
        <v>48</v>
      </c>
      <c r="H1686" s="22"/>
      <c r="I1686" s="22"/>
      <c r="J1686" s="22"/>
      <c r="K1686" s="22">
        <f t="shared" si="20"/>
        <v>0</v>
      </c>
      <c r="L1686" s="17">
        <v>4566.71</v>
      </c>
      <c r="M1686" s="23" t="s">
        <v>41</v>
      </c>
      <c r="N1686" s="1" t="s">
        <v>2919</v>
      </c>
      <c r="T1686" s="3" t="s">
        <v>1618</v>
      </c>
    </row>
    <row r="1687" spans="1:20" x14ac:dyDescent="0.25">
      <c r="A1687" s="10">
        <v>46129</v>
      </c>
      <c r="B1687" s="2" t="s">
        <v>2920</v>
      </c>
      <c r="C1687" s="2" t="s">
        <v>141</v>
      </c>
      <c r="E1687" s="3" t="s">
        <v>27</v>
      </c>
      <c r="F1687" s="4">
        <v>382000</v>
      </c>
      <c r="G1687" s="4" t="s">
        <v>48</v>
      </c>
      <c r="H1687" s="22"/>
      <c r="I1687" s="22"/>
      <c r="J1687" s="22"/>
      <c r="K1687" s="22">
        <f t="shared" si="20"/>
        <v>0</v>
      </c>
      <c r="L1687" s="17"/>
    </row>
    <row r="1688" spans="1:20" x14ac:dyDescent="0.25">
      <c r="A1688" s="10">
        <v>46129</v>
      </c>
      <c r="B1688" s="2" t="s">
        <v>2921</v>
      </c>
      <c r="C1688" s="2" t="s">
        <v>141</v>
      </c>
      <c r="E1688" s="3" t="s">
        <v>27</v>
      </c>
      <c r="F1688" s="4">
        <v>550000</v>
      </c>
      <c r="G1688" s="4" t="s">
        <v>48</v>
      </c>
      <c r="H1688" s="34"/>
      <c r="I1688" s="34"/>
      <c r="J1688" s="34"/>
      <c r="K1688" s="22">
        <f t="shared" si="20"/>
        <v>0</v>
      </c>
      <c r="L1688" s="32"/>
    </row>
    <row r="1689" spans="1:20" x14ac:dyDescent="0.25">
      <c r="A1689" s="10">
        <v>46129</v>
      </c>
      <c r="B1689" s="2" t="s">
        <v>2922</v>
      </c>
      <c r="C1689" s="2" t="s">
        <v>141</v>
      </c>
      <c r="E1689" s="3" t="s">
        <v>27</v>
      </c>
      <c r="F1689" s="4">
        <v>420600</v>
      </c>
      <c r="G1689" s="4" t="s">
        <v>326</v>
      </c>
      <c r="H1689" s="22"/>
      <c r="I1689" s="22"/>
      <c r="J1689" s="22"/>
      <c r="K1689" s="22">
        <f t="shared" si="20"/>
        <v>0</v>
      </c>
      <c r="L1689" s="17"/>
    </row>
    <row r="1690" spans="1:20" x14ac:dyDescent="0.25">
      <c r="A1690" s="10">
        <v>46129</v>
      </c>
      <c r="B1690" s="2" t="s">
        <v>2923</v>
      </c>
      <c r="E1690" s="3" t="s">
        <v>614</v>
      </c>
      <c r="F1690" s="4">
        <v>229938.85</v>
      </c>
      <c r="G1690" s="4" t="s">
        <v>167</v>
      </c>
      <c r="H1690" s="22"/>
      <c r="I1690" s="22"/>
      <c r="J1690" s="22"/>
      <c r="K1690" s="22">
        <f t="shared" si="20"/>
        <v>0</v>
      </c>
      <c r="L1690" s="17"/>
      <c r="M1690" s="56"/>
    </row>
    <row r="1691" spans="1:20" x14ac:dyDescent="0.25">
      <c r="A1691" s="10">
        <v>46129</v>
      </c>
      <c r="B1691" s="2" t="s">
        <v>2924</v>
      </c>
      <c r="E1691" s="3" t="s">
        <v>398</v>
      </c>
      <c r="F1691" s="4">
        <v>29741.15</v>
      </c>
      <c r="G1691" s="4" t="s">
        <v>167</v>
      </c>
      <c r="H1691" s="22"/>
      <c r="I1691" s="22"/>
      <c r="J1691" s="22"/>
      <c r="K1691" s="22">
        <f t="shared" si="20"/>
        <v>0</v>
      </c>
      <c r="L1691" s="17"/>
      <c r="M1691" s="23"/>
    </row>
    <row r="1692" spans="1:20" x14ac:dyDescent="0.25">
      <c r="A1692" s="10">
        <v>46132</v>
      </c>
      <c r="B1692" s="2" t="s">
        <v>2925</v>
      </c>
      <c r="E1692" s="3" t="s">
        <v>27</v>
      </c>
      <c r="F1692" s="4">
        <v>750000</v>
      </c>
      <c r="G1692" s="4" t="s">
        <v>48</v>
      </c>
      <c r="H1692" s="22"/>
      <c r="I1692" s="22"/>
      <c r="J1692" s="22"/>
      <c r="K1692" s="22">
        <f t="shared" si="20"/>
        <v>0</v>
      </c>
      <c r="L1692" s="17"/>
    </row>
    <row r="1693" spans="1:20" x14ac:dyDescent="0.25">
      <c r="A1693" s="10">
        <v>46132</v>
      </c>
      <c r="B1693" s="2" t="s">
        <v>2926</v>
      </c>
      <c r="E1693" s="3" t="s">
        <v>27</v>
      </c>
      <c r="F1693" s="4">
        <v>165000</v>
      </c>
      <c r="G1693" s="4" t="s">
        <v>48</v>
      </c>
      <c r="H1693" s="22"/>
      <c r="I1693" s="22"/>
      <c r="J1693" s="22"/>
      <c r="K1693" s="22">
        <f t="shared" si="20"/>
        <v>0</v>
      </c>
      <c r="L1693" s="17"/>
    </row>
    <row r="1694" spans="1:20" x14ac:dyDescent="0.25">
      <c r="A1694" s="10">
        <v>46132</v>
      </c>
      <c r="B1694" s="2" t="s">
        <v>2927</v>
      </c>
      <c r="C1694" s="2" t="s">
        <v>141</v>
      </c>
      <c r="E1694" s="3" t="s">
        <v>27</v>
      </c>
      <c r="F1694" s="33">
        <v>165000</v>
      </c>
      <c r="G1694" s="4" t="s">
        <v>48</v>
      </c>
      <c r="H1694" s="39"/>
      <c r="I1694" s="39"/>
      <c r="J1694" s="39"/>
      <c r="K1694" s="22">
        <f t="shared" si="20"/>
        <v>0</v>
      </c>
      <c r="L1694" s="17"/>
    </row>
    <row r="1695" spans="1:20" x14ac:dyDescent="0.25">
      <c r="A1695" s="10">
        <v>46132</v>
      </c>
      <c r="B1695" s="2" t="s">
        <v>2928</v>
      </c>
      <c r="E1695" s="3" t="s">
        <v>398</v>
      </c>
      <c r="F1695" s="4">
        <v>90062</v>
      </c>
      <c r="G1695" s="4" t="s">
        <v>167</v>
      </c>
      <c r="H1695" s="22"/>
      <c r="I1695" s="22"/>
      <c r="J1695" s="22"/>
      <c r="K1695" s="22">
        <f t="shared" si="20"/>
        <v>0</v>
      </c>
      <c r="L1695" s="17"/>
    </row>
    <row r="1696" spans="1:20" x14ac:dyDescent="0.25">
      <c r="A1696" s="10">
        <v>46132</v>
      </c>
      <c r="B1696" s="2" t="s">
        <v>2929</v>
      </c>
      <c r="C1696" s="2" t="s">
        <v>95</v>
      </c>
      <c r="D1696" s="2" t="s">
        <v>2930</v>
      </c>
      <c r="E1696" s="3" t="s">
        <v>76</v>
      </c>
      <c r="F1696" s="4">
        <v>12000</v>
      </c>
      <c r="G1696" s="4" t="s">
        <v>128</v>
      </c>
      <c r="H1696" s="22" t="s">
        <v>78</v>
      </c>
      <c r="I1696" s="22">
        <v>12000</v>
      </c>
      <c r="J1696" s="22"/>
      <c r="K1696" s="22">
        <f t="shared" si="20"/>
        <v>12000</v>
      </c>
      <c r="L1696" s="17">
        <v>12000</v>
      </c>
      <c r="M1696" s="23" t="s">
        <v>41</v>
      </c>
      <c r="N1696" s="8" t="s">
        <v>2931</v>
      </c>
      <c r="O1696" s="28" t="s">
        <v>80</v>
      </c>
      <c r="S1696" s="3" t="s">
        <v>1087</v>
      </c>
      <c r="T1696" s="3" t="s">
        <v>1088</v>
      </c>
    </row>
    <row r="1697" spans="1:21" x14ac:dyDescent="0.25">
      <c r="A1697" s="10">
        <v>46132</v>
      </c>
      <c r="B1697" s="2" t="s">
        <v>2929</v>
      </c>
      <c r="C1697" s="2" t="s">
        <v>95</v>
      </c>
      <c r="D1697" s="2" t="s">
        <v>2930</v>
      </c>
      <c r="E1697" s="3" t="s">
        <v>76</v>
      </c>
      <c r="G1697" s="4" t="s">
        <v>48</v>
      </c>
      <c r="H1697" s="22" t="s">
        <v>49</v>
      </c>
      <c r="I1697" s="22"/>
      <c r="J1697" s="22">
        <f>I1696</f>
        <v>12000</v>
      </c>
      <c r="K1697" s="22">
        <f t="shared" si="20"/>
        <v>12000</v>
      </c>
      <c r="L1697" s="17"/>
      <c r="N1697" s="8"/>
    </row>
    <row r="1698" spans="1:21" x14ac:dyDescent="0.25">
      <c r="A1698" s="10">
        <v>46132</v>
      </c>
      <c r="B1698" s="2" t="s">
        <v>2932</v>
      </c>
      <c r="C1698" s="2" t="s">
        <v>95</v>
      </c>
      <c r="D1698" s="2" t="s">
        <v>2933</v>
      </c>
      <c r="E1698" s="3" t="s">
        <v>2126</v>
      </c>
      <c r="F1698" s="4">
        <v>18000</v>
      </c>
      <c r="G1698" s="4" t="s">
        <v>128</v>
      </c>
      <c r="H1698" s="22" t="s">
        <v>1916</v>
      </c>
      <c r="I1698" s="22">
        <v>18000</v>
      </c>
      <c r="J1698" s="22"/>
      <c r="K1698" s="22">
        <f t="shared" si="20"/>
        <v>18000</v>
      </c>
      <c r="L1698" s="17"/>
      <c r="M1698" s="23" t="s">
        <v>41</v>
      </c>
      <c r="N1698" s="1" t="s">
        <v>2934</v>
      </c>
    </row>
    <row r="1699" spans="1:21" x14ac:dyDescent="0.25">
      <c r="A1699" s="10">
        <v>46132</v>
      </c>
      <c r="B1699" s="2" t="s">
        <v>2932</v>
      </c>
      <c r="C1699" s="2" t="s">
        <v>95</v>
      </c>
      <c r="D1699" s="2" t="s">
        <v>2933</v>
      </c>
      <c r="E1699" s="3" t="s">
        <v>2126</v>
      </c>
      <c r="G1699" s="4" t="s">
        <v>48</v>
      </c>
      <c r="H1699" s="22" t="s">
        <v>49</v>
      </c>
      <c r="I1699" s="22"/>
      <c r="J1699" s="22">
        <f>I1698</f>
        <v>18000</v>
      </c>
      <c r="K1699" s="22">
        <f t="shared" si="20"/>
        <v>18000</v>
      </c>
      <c r="L1699" s="17"/>
    </row>
    <row r="1700" spans="1:21" ht="24" x14ac:dyDescent="0.25">
      <c r="A1700" s="10">
        <v>46132</v>
      </c>
      <c r="B1700" s="2" t="s">
        <v>2935</v>
      </c>
      <c r="C1700" s="2" t="s">
        <v>2936</v>
      </c>
      <c r="D1700" s="2" t="s">
        <v>2888</v>
      </c>
      <c r="E1700" s="3" t="s">
        <v>548</v>
      </c>
      <c r="F1700" s="4">
        <v>11125</v>
      </c>
      <c r="G1700" s="4" t="s">
        <v>128</v>
      </c>
      <c r="H1700" s="22" t="s">
        <v>1916</v>
      </c>
      <c r="I1700" s="22">
        <v>11125</v>
      </c>
      <c r="J1700" s="22"/>
      <c r="K1700" s="22">
        <f t="shared" si="20"/>
        <v>11125</v>
      </c>
      <c r="L1700" s="17"/>
      <c r="M1700" s="23" t="s">
        <v>41</v>
      </c>
      <c r="N1700" s="1" t="s">
        <v>2937</v>
      </c>
    </row>
    <row r="1701" spans="1:21" x14ac:dyDescent="0.25">
      <c r="A1701" s="10">
        <v>46132</v>
      </c>
      <c r="B1701" s="2" t="s">
        <v>2935</v>
      </c>
      <c r="C1701" s="2" t="s">
        <v>2936</v>
      </c>
      <c r="D1701" s="2" t="s">
        <v>2888</v>
      </c>
      <c r="E1701" s="3" t="s">
        <v>548</v>
      </c>
      <c r="G1701" s="4" t="s">
        <v>48</v>
      </c>
      <c r="H1701" s="22" t="s">
        <v>49</v>
      </c>
      <c r="I1701" s="22"/>
      <c r="J1701" s="22">
        <f>I1700</f>
        <v>11125</v>
      </c>
      <c r="K1701" s="22">
        <f t="shared" si="20"/>
        <v>11125</v>
      </c>
      <c r="L1701" s="17"/>
    </row>
    <row r="1702" spans="1:21" ht="24" x14ac:dyDescent="0.25">
      <c r="A1702" s="10">
        <v>46132</v>
      </c>
      <c r="B1702" s="2" t="s">
        <v>2938</v>
      </c>
      <c r="C1702" s="2" t="s">
        <v>95</v>
      </c>
      <c r="D1702" s="2" t="s">
        <v>2939</v>
      </c>
      <c r="E1702" s="3" t="s">
        <v>2940</v>
      </c>
      <c r="F1702" s="4">
        <f>74888+50</f>
        <v>74938</v>
      </c>
      <c r="G1702" s="4" t="s">
        <v>110</v>
      </c>
      <c r="H1702" s="22" t="s">
        <v>1901</v>
      </c>
      <c r="I1702" s="22">
        <v>74888</v>
      </c>
      <c r="J1702" s="22"/>
      <c r="K1702" s="22">
        <f t="shared" si="20"/>
        <v>74888</v>
      </c>
      <c r="L1702" s="17">
        <v>74938</v>
      </c>
      <c r="M1702" s="23" t="s">
        <v>41</v>
      </c>
      <c r="N1702" s="1" t="s">
        <v>2941</v>
      </c>
      <c r="O1702" s="7" t="s">
        <v>116</v>
      </c>
      <c r="P1702" s="7" t="s">
        <v>81</v>
      </c>
      <c r="R1702" s="7" t="s">
        <v>2942</v>
      </c>
      <c r="S1702" s="3" t="s">
        <v>1087</v>
      </c>
      <c r="T1702" s="3" t="s">
        <v>1088</v>
      </c>
      <c r="U1702" s="8" t="s">
        <v>2943</v>
      </c>
    </row>
    <row r="1703" spans="1:21" x14ac:dyDescent="0.25">
      <c r="A1703" s="10">
        <v>46132</v>
      </c>
      <c r="B1703" s="2" t="s">
        <v>2938</v>
      </c>
      <c r="C1703" s="2" t="s">
        <v>95</v>
      </c>
      <c r="D1703" s="2" t="s">
        <v>2939</v>
      </c>
      <c r="E1703" s="3" t="s">
        <v>2940</v>
      </c>
      <c r="G1703" s="4" t="s">
        <v>110</v>
      </c>
      <c r="H1703" s="22" t="s">
        <v>47</v>
      </c>
      <c r="I1703" s="22">
        <v>50</v>
      </c>
      <c r="J1703" s="22"/>
      <c r="K1703" s="22">
        <f t="shared" si="20"/>
        <v>50</v>
      </c>
      <c r="L1703" s="17"/>
    </row>
    <row r="1704" spans="1:21" x14ac:dyDescent="0.25">
      <c r="A1704" s="10">
        <v>46132</v>
      </c>
      <c r="B1704" s="2" t="s">
        <v>2938</v>
      </c>
      <c r="C1704" s="2" t="s">
        <v>95</v>
      </c>
      <c r="D1704" s="2" t="s">
        <v>2939</v>
      </c>
      <c r="E1704" s="3" t="s">
        <v>2940</v>
      </c>
      <c r="G1704" s="4" t="s">
        <v>48</v>
      </c>
      <c r="H1704" s="22" t="s">
        <v>49</v>
      </c>
      <c r="I1704" s="22"/>
      <c r="J1704" s="22">
        <f>I1702+I1703</f>
        <v>74938</v>
      </c>
      <c r="K1704" s="22">
        <f t="shared" si="20"/>
        <v>74938</v>
      </c>
      <c r="L1704" s="17"/>
    </row>
    <row r="1705" spans="1:21" ht="36" x14ac:dyDescent="0.25">
      <c r="A1705" s="10">
        <v>46132</v>
      </c>
      <c r="B1705" s="2" t="s">
        <v>2944</v>
      </c>
      <c r="E1705" s="3" t="s">
        <v>921</v>
      </c>
      <c r="F1705" s="4">
        <f>3100000+782750</f>
        <v>3882750</v>
      </c>
      <c r="G1705" s="4" t="s">
        <v>48</v>
      </c>
      <c r="H1705" s="22" t="s">
        <v>922</v>
      </c>
      <c r="I1705" s="22">
        <v>3100000</v>
      </c>
      <c r="J1705" s="22"/>
      <c r="K1705" s="22">
        <f t="shared" si="20"/>
        <v>3100000</v>
      </c>
      <c r="L1705" s="17"/>
      <c r="M1705" s="6" t="s">
        <v>581</v>
      </c>
      <c r="N1705" s="1" t="s">
        <v>2945</v>
      </c>
    </row>
    <row r="1706" spans="1:21" x14ac:dyDescent="0.25">
      <c r="A1706" s="10">
        <v>46132</v>
      </c>
      <c r="B1706" s="2" t="s">
        <v>2944</v>
      </c>
      <c r="E1706" s="3" t="s">
        <v>921</v>
      </c>
      <c r="G1706" s="4" t="s">
        <v>48</v>
      </c>
      <c r="H1706" s="22" t="s">
        <v>632</v>
      </c>
      <c r="I1706" s="22">
        <v>782750</v>
      </c>
      <c r="J1706" s="22"/>
      <c r="K1706" s="22">
        <f t="shared" si="20"/>
        <v>782750</v>
      </c>
      <c r="L1706" s="17"/>
    </row>
    <row r="1707" spans="1:21" x14ac:dyDescent="0.25">
      <c r="A1707" s="10">
        <v>46132</v>
      </c>
      <c r="B1707" s="2" t="s">
        <v>2944</v>
      </c>
      <c r="E1707" s="3" t="s">
        <v>921</v>
      </c>
      <c r="G1707" s="4" t="s">
        <v>48</v>
      </c>
      <c r="H1707" s="22" t="s">
        <v>49</v>
      </c>
      <c r="I1707" s="22"/>
      <c r="J1707" s="22">
        <f>I1705+I1706</f>
        <v>3882750</v>
      </c>
      <c r="K1707" s="22">
        <f t="shared" si="20"/>
        <v>3882750</v>
      </c>
      <c r="L1707" s="17"/>
    </row>
    <row r="1708" spans="1:21" x14ac:dyDescent="0.25">
      <c r="A1708" s="10">
        <v>46132</v>
      </c>
      <c r="B1708" s="2" t="s">
        <v>2946</v>
      </c>
      <c r="E1708" s="3" t="s">
        <v>1751</v>
      </c>
      <c r="F1708" s="4">
        <v>375878.57</v>
      </c>
      <c r="G1708" s="4" t="s">
        <v>48</v>
      </c>
      <c r="H1708" s="22" t="s">
        <v>632</v>
      </c>
      <c r="I1708" s="22">
        <v>375878.57</v>
      </c>
      <c r="J1708" s="22"/>
      <c r="K1708" s="22">
        <f t="shared" si="20"/>
        <v>375878.57</v>
      </c>
      <c r="L1708" s="17">
        <v>375878.57</v>
      </c>
      <c r="M1708" s="23" t="s">
        <v>41</v>
      </c>
      <c r="N1708" s="1" t="s">
        <v>2947</v>
      </c>
      <c r="O1708" s="7" t="s">
        <v>43</v>
      </c>
      <c r="P1708" s="7" t="s">
        <v>43</v>
      </c>
      <c r="R1708" s="7" t="s">
        <v>1762</v>
      </c>
      <c r="S1708" s="3" t="s">
        <v>2948</v>
      </c>
      <c r="T1708" s="3" t="s">
        <v>1764</v>
      </c>
    </row>
    <row r="1709" spans="1:21" x14ac:dyDescent="0.25">
      <c r="A1709" s="10">
        <v>46132</v>
      </c>
      <c r="B1709" s="2" t="s">
        <v>2946</v>
      </c>
      <c r="E1709" s="3" t="s">
        <v>1751</v>
      </c>
      <c r="G1709" s="4" t="s">
        <v>48</v>
      </c>
      <c r="H1709" s="22" t="s">
        <v>49</v>
      </c>
      <c r="I1709" s="22"/>
      <c r="J1709" s="22">
        <f>I1708</f>
        <v>375878.57</v>
      </c>
      <c r="K1709" s="22">
        <f t="shared" si="20"/>
        <v>375878.57</v>
      </c>
      <c r="L1709" s="17"/>
    </row>
    <row r="1710" spans="1:21" ht="24" x14ac:dyDescent="0.25">
      <c r="A1710" s="10">
        <v>46132</v>
      </c>
      <c r="B1710" s="2" t="s">
        <v>2949</v>
      </c>
      <c r="C1710" s="2" t="s">
        <v>831</v>
      </c>
      <c r="D1710" s="2" t="s">
        <v>2950</v>
      </c>
      <c r="E1710" s="3" t="s">
        <v>833</v>
      </c>
      <c r="F1710" s="4">
        <f>21102.74-10592.38</f>
        <v>10510.360000000002</v>
      </c>
      <c r="G1710" s="4" t="s">
        <v>48</v>
      </c>
      <c r="H1710" s="22" t="s">
        <v>834</v>
      </c>
      <c r="I1710" s="22">
        <v>10510.36</v>
      </c>
      <c r="J1710" s="22"/>
      <c r="K1710" s="22">
        <f t="shared" si="20"/>
        <v>10510.36</v>
      </c>
      <c r="L1710" s="17"/>
      <c r="M1710" s="23" t="s">
        <v>41</v>
      </c>
      <c r="N1710" s="1" t="s">
        <v>2951</v>
      </c>
    </row>
    <row r="1711" spans="1:21" x14ac:dyDescent="0.25">
      <c r="A1711" s="10">
        <v>46132</v>
      </c>
      <c r="B1711" s="2" t="s">
        <v>2949</v>
      </c>
      <c r="C1711" s="2" t="s">
        <v>831</v>
      </c>
      <c r="D1711" s="2" t="s">
        <v>2950</v>
      </c>
      <c r="E1711" s="3" t="s">
        <v>833</v>
      </c>
      <c r="G1711" s="4" t="s">
        <v>48</v>
      </c>
      <c r="H1711" s="22" t="s">
        <v>49</v>
      </c>
      <c r="I1711" s="22"/>
      <c r="J1711" s="22">
        <f>I1710</f>
        <v>10510.36</v>
      </c>
      <c r="K1711" s="22">
        <f t="shared" si="20"/>
        <v>10510.36</v>
      </c>
      <c r="L1711" s="17"/>
    </row>
    <row r="1712" spans="1:21" ht="24" x14ac:dyDescent="0.25">
      <c r="A1712" s="10">
        <v>46132</v>
      </c>
      <c r="B1712" s="2" t="s">
        <v>2952</v>
      </c>
      <c r="C1712" s="2" t="s">
        <v>837</v>
      </c>
      <c r="D1712" s="2" t="s">
        <v>2950</v>
      </c>
      <c r="E1712" s="3" t="s">
        <v>833</v>
      </c>
      <c r="F1712" s="4">
        <f>12609.2-6318.81</f>
        <v>6290.39</v>
      </c>
      <c r="G1712" s="4" t="s">
        <v>98</v>
      </c>
      <c r="H1712" s="22" t="s">
        <v>834</v>
      </c>
      <c r="I1712" s="22">
        <v>6290.39</v>
      </c>
      <c r="J1712" s="22"/>
      <c r="K1712" s="22">
        <f t="shared" si="20"/>
        <v>6290.39</v>
      </c>
      <c r="L1712" s="17"/>
      <c r="M1712" s="23" t="s">
        <v>41</v>
      </c>
      <c r="N1712" s="1" t="s">
        <v>2953</v>
      </c>
    </row>
    <row r="1713" spans="1:21" x14ac:dyDescent="0.25">
      <c r="A1713" s="10">
        <v>46132</v>
      </c>
      <c r="B1713" s="2" t="s">
        <v>2952</v>
      </c>
      <c r="C1713" s="2" t="s">
        <v>837</v>
      </c>
      <c r="D1713" s="2" t="s">
        <v>2950</v>
      </c>
      <c r="E1713" s="3" t="s">
        <v>833</v>
      </c>
      <c r="G1713" s="4" t="s">
        <v>48</v>
      </c>
      <c r="H1713" s="22" t="s">
        <v>49</v>
      </c>
      <c r="I1713" s="22"/>
      <c r="J1713" s="22">
        <f>I1712</f>
        <v>6290.39</v>
      </c>
      <c r="K1713" s="22">
        <f t="shared" si="20"/>
        <v>6290.39</v>
      </c>
      <c r="L1713" s="17"/>
    </row>
    <row r="1714" spans="1:21" ht="24" x14ac:dyDescent="0.25">
      <c r="A1714" s="10">
        <v>46132</v>
      </c>
      <c r="B1714" s="2" t="s">
        <v>2954</v>
      </c>
      <c r="D1714" s="2" t="s">
        <v>2955</v>
      </c>
      <c r="E1714" s="3" t="s">
        <v>275</v>
      </c>
      <c r="F1714" s="4">
        <f>(21015.77-412.08)+412.08-68.68</f>
        <v>20947.09</v>
      </c>
      <c r="G1714" s="4" t="s">
        <v>128</v>
      </c>
      <c r="H1714" s="22" t="s">
        <v>276</v>
      </c>
      <c r="I1714" s="22">
        <v>20603.689999999999</v>
      </c>
      <c r="J1714" s="22"/>
      <c r="K1714" s="22">
        <f t="shared" si="20"/>
        <v>20603.689999999999</v>
      </c>
      <c r="L1714" s="17">
        <v>20947.09</v>
      </c>
      <c r="M1714" s="23" t="s">
        <v>41</v>
      </c>
      <c r="N1714" s="1" t="s">
        <v>2956</v>
      </c>
      <c r="O1714" s="7" t="s">
        <v>177</v>
      </c>
      <c r="P1714" s="7" t="s">
        <v>81</v>
      </c>
      <c r="R1714" s="7" t="s">
        <v>1962</v>
      </c>
      <c r="U1714" s="8" t="s">
        <v>2957</v>
      </c>
    </row>
    <row r="1715" spans="1:21" x14ac:dyDescent="0.25">
      <c r="A1715" s="10">
        <v>46132</v>
      </c>
      <c r="B1715" s="2" t="s">
        <v>2954</v>
      </c>
      <c r="D1715" s="2" t="s">
        <v>2955</v>
      </c>
      <c r="E1715" s="3" t="s">
        <v>275</v>
      </c>
      <c r="G1715" s="4" t="s">
        <v>128</v>
      </c>
      <c r="H1715" s="22" t="s">
        <v>281</v>
      </c>
      <c r="I1715" s="22">
        <v>412.08</v>
      </c>
      <c r="J1715" s="22"/>
      <c r="K1715" s="22">
        <f t="shared" si="20"/>
        <v>412.08</v>
      </c>
      <c r="L1715" s="17"/>
    </row>
    <row r="1716" spans="1:21" x14ac:dyDescent="0.25">
      <c r="A1716" s="10">
        <v>46132</v>
      </c>
      <c r="B1716" s="2" t="s">
        <v>2954</v>
      </c>
      <c r="D1716" s="2" t="s">
        <v>2955</v>
      </c>
      <c r="E1716" s="3" t="s">
        <v>275</v>
      </c>
      <c r="G1716" s="4" t="s">
        <v>128</v>
      </c>
      <c r="H1716" s="22" t="s">
        <v>282</v>
      </c>
      <c r="I1716" s="22"/>
      <c r="J1716" s="22">
        <v>68.680000000000007</v>
      </c>
      <c r="K1716" s="22">
        <f t="shared" si="20"/>
        <v>68.680000000000007</v>
      </c>
      <c r="L1716" s="17"/>
    </row>
    <row r="1717" spans="1:21" x14ac:dyDescent="0.25">
      <c r="A1717" s="10">
        <v>46132</v>
      </c>
      <c r="B1717" s="2" t="s">
        <v>2954</v>
      </c>
      <c r="D1717" s="2" t="s">
        <v>2955</v>
      </c>
      <c r="E1717" s="3" t="s">
        <v>275</v>
      </c>
      <c r="G1717" s="4" t="s">
        <v>48</v>
      </c>
      <c r="H1717" s="22" t="s">
        <v>49</v>
      </c>
      <c r="I1717" s="22"/>
      <c r="J1717" s="22">
        <f>I1714+I1715-J1716</f>
        <v>20947.09</v>
      </c>
      <c r="K1717" s="22">
        <f t="shared" si="20"/>
        <v>20947.09</v>
      </c>
      <c r="L1717" s="17"/>
    </row>
    <row r="1718" spans="1:21" ht="24" x14ac:dyDescent="0.25">
      <c r="A1718" s="10">
        <v>46132</v>
      </c>
      <c r="B1718" s="2" t="s">
        <v>2958</v>
      </c>
      <c r="D1718" s="2" t="s">
        <v>2955</v>
      </c>
      <c r="E1718" s="3" t="s">
        <v>275</v>
      </c>
      <c r="F1718" s="4">
        <f>(13984.57-274.21)+274.21-45.7</f>
        <v>13938.869999999999</v>
      </c>
      <c r="G1718" s="4" t="s">
        <v>48</v>
      </c>
      <c r="H1718" s="22" t="s">
        <v>276</v>
      </c>
      <c r="I1718" s="22">
        <v>13710.36</v>
      </c>
      <c r="J1718" s="22"/>
      <c r="K1718" s="22">
        <f t="shared" si="20"/>
        <v>13710.36</v>
      </c>
      <c r="L1718" s="17">
        <v>13938.87</v>
      </c>
      <c r="M1718" s="23" t="s">
        <v>41</v>
      </c>
      <c r="N1718" s="1" t="s">
        <v>2959</v>
      </c>
      <c r="O1718" s="7" t="s">
        <v>177</v>
      </c>
      <c r="P1718" s="7" t="s">
        <v>81</v>
      </c>
      <c r="Q1718" s="25"/>
      <c r="R1718" s="57" t="s">
        <v>1962</v>
      </c>
      <c r="S1718" s="3" t="s">
        <v>83</v>
      </c>
    </row>
    <row r="1719" spans="1:21" x14ac:dyDescent="0.25">
      <c r="A1719" s="10">
        <v>46132</v>
      </c>
      <c r="B1719" s="2" t="s">
        <v>2958</v>
      </c>
      <c r="D1719" s="2" t="s">
        <v>2955</v>
      </c>
      <c r="E1719" s="3" t="s">
        <v>275</v>
      </c>
      <c r="G1719" s="4" t="s">
        <v>48</v>
      </c>
      <c r="H1719" s="22" t="s">
        <v>281</v>
      </c>
      <c r="I1719" s="22">
        <v>274.20999999999998</v>
      </c>
      <c r="J1719" s="22"/>
      <c r="K1719" s="22">
        <f t="shared" si="20"/>
        <v>274.20999999999998</v>
      </c>
      <c r="L1719" s="17"/>
      <c r="Q1719" s="25"/>
      <c r="R1719" s="57"/>
    </row>
    <row r="1720" spans="1:21" x14ac:dyDescent="0.25">
      <c r="A1720" s="10">
        <v>46132</v>
      </c>
      <c r="B1720" s="2" t="s">
        <v>2958</v>
      </c>
      <c r="D1720" s="2" t="s">
        <v>2955</v>
      </c>
      <c r="E1720" s="3" t="s">
        <v>275</v>
      </c>
      <c r="G1720" s="4" t="s">
        <v>48</v>
      </c>
      <c r="H1720" s="22" t="s">
        <v>282</v>
      </c>
      <c r="I1720" s="22"/>
      <c r="J1720" s="22">
        <v>45.7</v>
      </c>
      <c r="K1720" s="22">
        <f t="shared" si="20"/>
        <v>45.7</v>
      </c>
      <c r="L1720" s="17"/>
      <c r="Q1720" s="25"/>
      <c r="R1720" s="57"/>
    </row>
    <row r="1721" spans="1:21" x14ac:dyDescent="0.25">
      <c r="A1721" s="10">
        <v>46132</v>
      </c>
      <c r="B1721" s="2" t="s">
        <v>2958</v>
      </c>
      <c r="D1721" s="2" t="s">
        <v>2955</v>
      </c>
      <c r="E1721" s="3" t="s">
        <v>275</v>
      </c>
      <c r="G1721" s="4" t="s">
        <v>48</v>
      </c>
      <c r="H1721" s="22" t="s">
        <v>49</v>
      </c>
      <c r="I1721" s="22"/>
      <c r="J1721" s="22">
        <f>I1718+I1719-J1720</f>
        <v>13938.869999999999</v>
      </c>
      <c r="K1721" s="22">
        <f t="shared" si="20"/>
        <v>13938.869999999999</v>
      </c>
      <c r="L1721" s="17"/>
      <c r="Q1721" s="25"/>
      <c r="R1721" s="57"/>
    </row>
    <row r="1722" spans="1:21" ht="24" x14ac:dyDescent="0.25">
      <c r="A1722" s="10">
        <v>46132</v>
      </c>
      <c r="B1722" s="2" t="s">
        <v>2960</v>
      </c>
      <c r="D1722" s="2" t="s">
        <v>2961</v>
      </c>
      <c r="E1722" s="3" t="s">
        <v>275</v>
      </c>
      <c r="F1722" s="4">
        <f>(21015.77-412.08)+412.08-68.68</f>
        <v>20947.09</v>
      </c>
      <c r="G1722" s="4" t="s">
        <v>128</v>
      </c>
      <c r="H1722" s="22" t="s">
        <v>276</v>
      </c>
      <c r="I1722" s="22">
        <v>20603.689999999999</v>
      </c>
      <c r="J1722" s="22"/>
      <c r="K1722" s="22">
        <f t="shared" si="20"/>
        <v>20603.689999999999</v>
      </c>
      <c r="L1722" s="17">
        <v>20947.09</v>
      </c>
      <c r="M1722" s="23" t="s">
        <v>41</v>
      </c>
      <c r="N1722" s="1" t="s">
        <v>2962</v>
      </c>
      <c r="O1722" s="7" t="s">
        <v>177</v>
      </c>
      <c r="P1722" s="7" t="s">
        <v>81</v>
      </c>
      <c r="R1722" s="7" t="s">
        <v>1962</v>
      </c>
      <c r="S1722" s="3" t="s">
        <v>83</v>
      </c>
      <c r="T1722" s="3" t="s">
        <v>2963</v>
      </c>
    </row>
    <row r="1723" spans="1:21" x14ac:dyDescent="0.25">
      <c r="A1723" s="10">
        <v>46132</v>
      </c>
      <c r="B1723" s="2" t="s">
        <v>2960</v>
      </c>
      <c r="D1723" s="2" t="s">
        <v>2961</v>
      </c>
      <c r="E1723" s="3" t="s">
        <v>275</v>
      </c>
      <c r="G1723" s="4" t="s">
        <v>128</v>
      </c>
      <c r="H1723" s="22" t="s">
        <v>281</v>
      </c>
      <c r="I1723" s="22">
        <v>412.08</v>
      </c>
      <c r="J1723" s="22"/>
      <c r="K1723" s="22">
        <f t="shared" si="20"/>
        <v>412.08</v>
      </c>
      <c r="L1723" s="17"/>
    </row>
    <row r="1724" spans="1:21" x14ac:dyDescent="0.25">
      <c r="A1724" s="10">
        <v>46132</v>
      </c>
      <c r="B1724" s="2" t="s">
        <v>2960</v>
      </c>
      <c r="D1724" s="2" t="s">
        <v>2961</v>
      </c>
      <c r="E1724" s="3" t="s">
        <v>275</v>
      </c>
      <c r="G1724" s="4" t="s">
        <v>128</v>
      </c>
      <c r="H1724" s="22" t="s">
        <v>282</v>
      </c>
      <c r="I1724" s="22"/>
      <c r="J1724" s="22">
        <v>68.680000000000007</v>
      </c>
      <c r="K1724" s="22">
        <f t="shared" si="20"/>
        <v>68.680000000000007</v>
      </c>
      <c r="L1724" s="17"/>
    </row>
    <row r="1725" spans="1:21" x14ac:dyDescent="0.25">
      <c r="A1725" s="10">
        <v>46132</v>
      </c>
      <c r="B1725" s="2" t="s">
        <v>2960</v>
      </c>
      <c r="D1725" s="2" t="s">
        <v>2961</v>
      </c>
      <c r="E1725" s="3" t="s">
        <v>275</v>
      </c>
      <c r="G1725" s="4" t="s">
        <v>48</v>
      </c>
      <c r="H1725" s="22" t="s">
        <v>49</v>
      </c>
      <c r="I1725" s="22"/>
      <c r="J1725" s="22">
        <f>I1722+I1723-J1724</f>
        <v>20947.09</v>
      </c>
      <c r="K1725" s="22">
        <f t="shared" si="20"/>
        <v>20947.09</v>
      </c>
      <c r="L1725" s="17"/>
    </row>
    <row r="1726" spans="1:21" ht="24" x14ac:dyDescent="0.25">
      <c r="A1726" s="10">
        <v>46132</v>
      </c>
      <c r="B1726" s="2" t="s">
        <v>2964</v>
      </c>
      <c r="D1726" s="2" t="s">
        <v>2961</v>
      </c>
      <c r="E1726" s="3" t="s">
        <v>275</v>
      </c>
      <c r="F1726" s="4">
        <f>(13984.57-274.21)+274.21-45.7</f>
        <v>13938.869999999999</v>
      </c>
      <c r="G1726" s="4" t="s">
        <v>48</v>
      </c>
      <c r="H1726" s="22" t="s">
        <v>276</v>
      </c>
      <c r="I1726" s="22">
        <v>13710.36</v>
      </c>
      <c r="J1726" s="22"/>
      <c r="K1726" s="22">
        <f t="shared" si="20"/>
        <v>13710.36</v>
      </c>
      <c r="L1726" s="17">
        <v>13938.87</v>
      </c>
      <c r="M1726" s="23" t="s">
        <v>41</v>
      </c>
      <c r="N1726" s="1" t="s">
        <v>2965</v>
      </c>
      <c r="O1726" s="7" t="s">
        <v>177</v>
      </c>
      <c r="P1726" s="7" t="s">
        <v>81</v>
      </c>
      <c r="R1726" s="7" t="s">
        <v>1962</v>
      </c>
      <c r="S1726" s="3" t="s">
        <v>83</v>
      </c>
    </row>
    <row r="1727" spans="1:21" x14ac:dyDescent="0.25">
      <c r="A1727" s="10">
        <v>46132</v>
      </c>
      <c r="B1727" s="2" t="s">
        <v>2964</v>
      </c>
      <c r="D1727" s="2" t="s">
        <v>2961</v>
      </c>
      <c r="E1727" s="3" t="s">
        <v>275</v>
      </c>
      <c r="G1727" s="4" t="s">
        <v>48</v>
      </c>
      <c r="H1727" s="22" t="s">
        <v>281</v>
      </c>
      <c r="I1727" s="22">
        <v>274.20999999999998</v>
      </c>
      <c r="J1727" s="22"/>
      <c r="K1727" s="22">
        <f t="shared" si="20"/>
        <v>274.20999999999998</v>
      </c>
      <c r="L1727" s="17"/>
    </row>
    <row r="1728" spans="1:21" x14ac:dyDescent="0.25">
      <c r="A1728" s="10">
        <v>46132</v>
      </c>
      <c r="B1728" s="2" t="s">
        <v>2964</v>
      </c>
      <c r="D1728" s="2" t="s">
        <v>2961</v>
      </c>
      <c r="E1728" s="3" t="s">
        <v>275</v>
      </c>
      <c r="G1728" s="4" t="s">
        <v>48</v>
      </c>
      <c r="H1728" s="22" t="s">
        <v>282</v>
      </c>
      <c r="I1728" s="22"/>
      <c r="J1728" s="22">
        <v>45.7</v>
      </c>
      <c r="K1728" s="22">
        <f t="shared" si="20"/>
        <v>45.7</v>
      </c>
      <c r="L1728" s="17"/>
    </row>
    <row r="1729" spans="1:23" x14ac:dyDescent="0.25">
      <c r="A1729" s="10">
        <v>46132</v>
      </c>
      <c r="B1729" s="2" t="s">
        <v>2964</v>
      </c>
      <c r="D1729" s="2" t="s">
        <v>2961</v>
      </c>
      <c r="E1729" s="3" t="s">
        <v>275</v>
      </c>
      <c r="G1729" s="4" t="s">
        <v>48</v>
      </c>
      <c r="H1729" s="22" t="s">
        <v>49</v>
      </c>
      <c r="I1729" s="22"/>
      <c r="J1729" s="22">
        <f>I1726+I1727-J1728</f>
        <v>13938.869999999999</v>
      </c>
      <c r="K1729" s="22">
        <f t="shared" si="20"/>
        <v>13938.869999999999</v>
      </c>
      <c r="L1729" s="17"/>
    </row>
    <row r="1730" spans="1:23" ht="24" x14ac:dyDescent="0.25">
      <c r="A1730" s="10">
        <v>46132</v>
      </c>
      <c r="B1730" s="2" t="s">
        <v>2966</v>
      </c>
      <c r="C1730" s="2" t="s">
        <v>2967</v>
      </c>
      <c r="D1730" s="2" t="s">
        <v>2825</v>
      </c>
      <c r="E1730" s="3" t="s">
        <v>548</v>
      </c>
      <c r="F1730" s="4">
        <v>101200</v>
      </c>
      <c r="G1730" s="4" t="s">
        <v>110</v>
      </c>
      <c r="H1730" s="22" t="s">
        <v>1901</v>
      </c>
      <c r="I1730" s="22">
        <v>101200</v>
      </c>
      <c r="J1730" s="22"/>
      <c r="K1730" s="22">
        <f t="shared" si="20"/>
        <v>101200</v>
      </c>
      <c r="L1730" s="17">
        <v>101200</v>
      </c>
      <c r="M1730" s="23" t="s">
        <v>41</v>
      </c>
      <c r="N1730" s="1" t="s">
        <v>2968</v>
      </c>
      <c r="O1730" s="24" t="s">
        <v>2969</v>
      </c>
      <c r="P1730" s="7" t="s">
        <v>81</v>
      </c>
      <c r="R1730" s="7" t="s">
        <v>2643</v>
      </c>
      <c r="S1730" s="3" t="s">
        <v>1087</v>
      </c>
      <c r="T1730" s="3" t="s">
        <v>1088</v>
      </c>
    </row>
    <row r="1731" spans="1:23" x14ac:dyDescent="0.25">
      <c r="A1731" s="10">
        <v>46132</v>
      </c>
      <c r="B1731" s="2" t="s">
        <v>2966</v>
      </c>
      <c r="C1731" s="2" t="s">
        <v>2967</v>
      </c>
      <c r="D1731" s="2" t="s">
        <v>2825</v>
      </c>
      <c r="E1731" s="3" t="s">
        <v>548</v>
      </c>
      <c r="G1731" s="4" t="s">
        <v>48</v>
      </c>
      <c r="H1731" s="22" t="s">
        <v>49</v>
      </c>
      <c r="I1731" s="22"/>
      <c r="J1731" s="22">
        <f>I1730</f>
        <v>101200</v>
      </c>
      <c r="K1731" s="22">
        <f t="shared" si="20"/>
        <v>101200</v>
      </c>
      <c r="L1731" s="17"/>
    </row>
    <row r="1732" spans="1:23" ht="24" x14ac:dyDescent="0.25">
      <c r="A1732" s="10">
        <v>46132</v>
      </c>
      <c r="B1732" s="2" t="s">
        <v>2970</v>
      </c>
      <c r="C1732" s="2" t="s">
        <v>2971</v>
      </c>
      <c r="D1732" s="2" t="s">
        <v>2825</v>
      </c>
      <c r="E1732" s="3" t="s">
        <v>109</v>
      </c>
      <c r="F1732" s="4">
        <v>33800</v>
      </c>
      <c r="G1732" s="4" t="s">
        <v>110</v>
      </c>
      <c r="H1732" s="22" t="s">
        <v>1901</v>
      </c>
      <c r="I1732" s="22">
        <v>33800</v>
      </c>
      <c r="J1732" s="22"/>
      <c r="K1732" s="22">
        <f t="shared" si="20"/>
        <v>33800</v>
      </c>
      <c r="L1732" s="17">
        <v>33800</v>
      </c>
      <c r="M1732" s="23" t="s">
        <v>41</v>
      </c>
      <c r="N1732" s="1" t="s">
        <v>2972</v>
      </c>
      <c r="O1732" s="24" t="s">
        <v>606</v>
      </c>
      <c r="P1732" s="7" t="s">
        <v>81</v>
      </c>
      <c r="R1732" s="7" t="s">
        <v>2643</v>
      </c>
      <c r="S1732" s="3" t="s">
        <v>1087</v>
      </c>
      <c r="T1732" s="3" t="s">
        <v>1088</v>
      </c>
    </row>
    <row r="1733" spans="1:23" x14ac:dyDescent="0.25">
      <c r="A1733" s="10">
        <v>46132</v>
      </c>
      <c r="B1733" s="2" t="s">
        <v>2970</v>
      </c>
      <c r="C1733" s="2" t="s">
        <v>2971</v>
      </c>
      <c r="D1733" s="2" t="s">
        <v>2825</v>
      </c>
      <c r="E1733" s="3" t="s">
        <v>109</v>
      </c>
      <c r="G1733" s="4" t="s">
        <v>48</v>
      </c>
      <c r="H1733" s="22" t="s">
        <v>49</v>
      </c>
      <c r="I1733" s="22"/>
      <c r="J1733" s="22">
        <f>I1732</f>
        <v>33800</v>
      </c>
      <c r="K1733" s="22">
        <f t="shared" si="20"/>
        <v>33800</v>
      </c>
      <c r="L1733" s="17"/>
    </row>
    <row r="1734" spans="1:23" ht="24" x14ac:dyDescent="0.25">
      <c r="A1734" s="10">
        <v>46133</v>
      </c>
      <c r="B1734" s="2" t="s">
        <v>2973</v>
      </c>
      <c r="C1734" s="2" t="s">
        <v>2974</v>
      </c>
      <c r="E1734" s="3" t="s">
        <v>692</v>
      </c>
      <c r="F1734" s="4">
        <f>2584.65+500</f>
        <v>3084.65</v>
      </c>
      <c r="G1734" s="4" t="s">
        <v>48</v>
      </c>
      <c r="H1734" s="22" t="s">
        <v>828</v>
      </c>
      <c r="I1734" s="22">
        <v>2584.65</v>
      </c>
      <c r="J1734" s="22"/>
      <c r="K1734" s="22">
        <f t="shared" si="20"/>
        <v>2584.65</v>
      </c>
      <c r="L1734" s="17">
        <v>3085</v>
      </c>
      <c r="M1734" s="23" t="s">
        <v>41</v>
      </c>
      <c r="N1734" s="1" t="s">
        <v>2975</v>
      </c>
    </row>
    <row r="1735" spans="1:23" x14ac:dyDescent="0.25">
      <c r="A1735" s="10">
        <v>46133</v>
      </c>
      <c r="B1735" s="2" t="s">
        <v>2973</v>
      </c>
      <c r="C1735" s="2" t="s">
        <v>2974</v>
      </c>
      <c r="E1735" s="3" t="s">
        <v>692</v>
      </c>
      <c r="G1735" s="4" t="s">
        <v>48</v>
      </c>
      <c r="H1735" s="22" t="s">
        <v>2976</v>
      </c>
      <c r="I1735" s="22">
        <v>500</v>
      </c>
      <c r="J1735" s="22"/>
      <c r="K1735" s="22">
        <f t="shared" si="20"/>
        <v>500</v>
      </c>
      <c r="L1735" s="17"/>
    </row>
    <row r="1736" spans="1:23" x14ac:dyDescent="0.25">
      <c r="A1736" s="10">
        <v>46133</v>
      </c>
      <c r="B1736" s="2" t="s">
        <v>2973</v>
      </c>
      <c r="C1736" s="2" t="s">
        <v>2974</v>
      </c>
      <c r="E1736" s="3" t="s">
        <v>692</v>
      </c>
      <c r="G1736" s="4" t="s">
        <v>48</v>
      </c>
      <c r="H1736" s="22" t="s">
        <v>49</v>
      </c>
      <c r="I1736" s="22"/>
      <c r="J1736" s="22">
        <f>I1734+I1735</f>
        <v>3084.65</v>
      </c>
      <c r="K1736" s="22">
        <f t="shared" si="20"/>
        <v>3084.65</v>
      </c>
      <c r="L1736" s="17"/>
    </row>
    <row r="1737" spans="1:23" ht="24" x14ac:dyDescent="0.25">
      <c r="A1737" s="10">
        <v>46133</v>
      </c>
      <c r="B1737" s="2" t="s">
        <v>2977</v>
      </c>
      <c r="C1737" s="2" t="s">
        <v>690</v>
      </c>
      <c r="E1737" s="3" t="s">
        <v>692</v>
      </c>
      <c r="F1737" s="4">
        <v>1577.59</v>
      </c>
      <c r="G1737" s="4" t="s">
        <v>98</v>
      </c>
      <c r="H1737" s="22" t="s">
        <v>828</v>
      </c>
      <c r="I1737" s="22">
        <v>1577.59</v>
      </c>
      <c r="J1737" s="22"/>
      <c r="K1737" s="22">
        <f t="shared" si="20"/>
        <v>1577.59</v>
      </c>
      <c r="L1737" s="17"/>
      <c r="M1737" s="6" t="s">
        <v>581</v>
      </c>
      <c r="N1737" s="1" t="s">
        <v>2978</v>
      </c>
    </row>
    <row r="1738" spans="1:23" x14ac:dyDescent="0.25">
      <c r="A1738" s="10">
        <v>46133</v>
      </c>
      <c r="B1738" s="2" t="s">
        <v>2977</v>
      </c>
      <c r="C1738" s="2" t="s">
        <v>690</v>
      </c>
      <c r="E1738" s="3" t="s">
        <v>692</v>
      </c>
      <c r="G1738" s="4" t="s">
        <v>48</v>
      </c>
      <c r="H1738" s="22" t="s">
        <v>49</v>
      </c>
      <c r="I1738" s="22"/>
      <c r="J1738" s="22">
        <f>I1737</f>
        <v>1577.59</v>
      </c>
      <c r="K1738" s="22">
        <f t="shared" si="20"/>
        <v>1577.59</v>
      </c>
      <c r="L1738" s="17"/>
    </row>
    <row r="1739" spans="1:23" x14ac:dyDescent="0.25">
      <c r="A1739" s="10">
        <v>46133</v>
      </c>
      <c r="B1739" s="2" t="s">
        <v>2979</v>
      </c>
      <c r="C1739" s="2" t="s">
        <v>25</v>
      </c>
      <c r="E1739" s="3" t="s">
        <v>27</v>
      </c>
      <c r="F1739" s="4">
        <v>1844000</v>
      </c>
      <c r="G1739" s="4" t="s">
        <v>211</v>
      </c>
      <c r="H1739" s="22"/>
      <c r="I1739" s="22"/>
      <c r="J1739" s="22"/>
      <c r="K1739" s="22">
        <f t="shared" si="20"/>
        <v>0</v>
      </c>
      <c r="L1739" s="17"/>
      <c r="M1739" s="23" t="s">
        <v>41</v>
      </c>
    </row>
    <row r="1740" spans="1:23" x14ac:dyDescent="0.25">
      <c r="A1740" s="10">
        <v>46134</v>
      </c>
      <c r="B1740" s="2" t="s">
        <v>2980</v>
      </c>
      <c r="C1740" s="2" t="s">
        <v>141</v>
      </c>
      <c r="E1740" s="3" t="s">
        <v>27</v>
      </c>
      <c r="F1740" s="4">
        <v>174000</v>
      </c>
      <c r="G1740" s="4" t="s">
        <v>48</v>
      </c>
      <c r="H1740" s="22" t="s">
        <v>81</v>
      </c>
      <c r="I1740" s="22">
        <v>174000</v>
      </c>
      <c r="J1740" s="22"/>
      <c r="K1740" s="22">
        <f t="shared" si="20"/>
        <v>174000</v>
      </c>
      <c r="L1740" s="17">
        <v>174000</v>
      </c>
      <c r="M1740" s="23" t="s">
        <v>41</v>
      </c>
      <c r="N1740" s="1" t="s">
        <v>2981</v>
      </c>
      <c r="O1740" s="7" t="s">
        <v>143</v>
      </c>
      <c r="P1740" s="7" t="s">
        <v>32</v>
      </c>
      <c r="Q1740" s="25" t="s">
        <v>2982</v>
      </c>
      <c r="R1740" s="7" t="s">
        <v>2704</v>
      </c>
      <c r="S1740" s="3" t="s">
        <v>145</v>
      </c>
      <c r="T1740" s="3" t="s">
        <v>324</v>
      </c>
    </row>
    <row r="1741" spans="1:23" x14ac:dyDescent="0.25">
      <c r="A1741" s="10">
        <v>46134</v>
      </c>
      <c r="B1741" s="2" t="s">
        <v>2980</v>
      </c>
      <c r="C1741" s="2" t="s">
        <v>141</v>
      </c>
      <c r="E1741" s="3" t="s">
        <v>27</v>
      </c>
      <c r="G1741" s="4" t="s">
        <v>48</v>
      </c>
      <c r="H1741" s="22" t="s">
        <v>49</v>
      </c>
      <c r="I1741" s="22"/>
      <c r="J1741" s="22">
        <f>I1740</f>
        <v>174000</v>
      </c>
      <c r="K1741" s="22">
        <f t="shared" si="20"/>
        <v>174000</v>
      </c>
      <c r="L1741" s="17"/>
      <c r="M1741" s="23"/>
      <c r="Q1741" s="25"/>
    </row>
    <row r="1742" spans="1:23" ht="24" x14ac:dyDescent="0.25">
      <c r="A1742" s="10">
        <v>46134</v>
      </c>
      <c r="B1742" s="2" t="s">
        <v>2983</v>
      </c>
      <c r="C1742" s="2" t="s">
        <v>141</v>
      </c>
      <c r="E1742" s="3" t="s">
        <v>371</v>
      </c>
      <c r="F1742" s="4">
        <v>65000</v>
      </c>
      <c r="G1742" s="4" t="s">
        <v>98</v>
      </c>
      <c r="H1742" s="22" t="s">
        <v>81</v>
      </c>
      <c r="I1742" s="22">
        <v>65000</v>
      </c>
      <c r="J1742" s="22"/>
      <c r="K1742" s="22">
        <f t="shared" si="20"/>
        <v>65000</v>
      </c>
      <c r="L1742" s="17">
        <v>65000</v>
      </c>
      <c r="M1742" s="23" t="s">
        <v>41</v>
      </c>
      <c r="N1742" s="1" t="s">
        <v>2984</v>
      </c>
      <c r="O1742" s="7" t="s">
        <v>143</v>
      </c>
      <c r="P1742" s="7" t="s">
        <v>32</v>
      </c>
      <c r="Q1742" s="25" t="s">
        <v>2985</v>
      </c>
      <c r="R1742" s="7" t="s">
        <v>2704</v>
      </c>
      <c r="S1742" s="3" t="s">
        <v>145</v>
      </c>
      <c r="T1742" s="3" t="s">
        <v>324</v>
      </c>
    </row>
    <row r="1743" spans="1:23" x14ac:dyDescent="0.25">
      <c r="A1743" s="10">
        <v>46134</v>
      </c>
      <c r="B1743" s="2" t="s">
        <v>2983</v>
      </c>
      <c r="C1743" s="2" t="s">
        <v>141</v>
      </c>
      <c r="E1743" s="3" t="s">
        <v>371</v>
      </c>
      <c r="G1743" s="4" t="s">
        <v>98</v>
      </c>
      <c r="H1743" s="22" t="s">
        <v>959</v>
      </c>
      <c r="I1743" s="22"/>
      <c r="J1743" s="22">
        <f>I1742</f>
        <v>65000</v>
      </c>
      <c r="K1743" s="22">
        <f t="shared" si="20"/>
        <v>65000</v>
      </c>
      <c r="L1743" s="17"/>
      <c r="M1743" s="23"/>
      <c r="Q1743" s="25"/>
    </row>
    <row r="1744" spans="1:23" ht="24" x14ac:dyDescent="0.25">
      <c r="A1744" s="10">
        <v>46134</v>
      </c>
      <c r="B1744" s="2" t="s">
        <v>2986</v>
      </c>
      <c r="E1744" s="3" t="s">
        <v>27</v>
      </c>
      <c r="F1744" s="4">
        <v>30000</v>
      </c>
      <c r="G1744" s="4" t="s">
        <v>48</v>
      </c>
      <c r="H1744" s="22" t="s">
        <v>49</v>
      </c>
      <c r="I1744" s="22">
        <v>30000</v>
      </c>
      <c r="J1744" s="22"/>
      <c r="K1744" s="22">
        <f t="shared" si="20"/>
        <v>30000</v>
      </c>
      <c r="L1744" s="17">
        <v>30000</v>
      </c>
      <c r="M1744" s="23" t="s">
        <v>41</v>
      </c>
      <c r="N1744" s="1" t="s">
        <v>2987</v>
      </c>
      <c r="O1744" s="7" t="s">
        <v>116</v>
      </c>
      <c r="P1744" s="7" t="s">
        <v>81</v>
      </c>
      <c r="R1744" s="7" t="s">
        <v>2704</v>
      </c>
      <c r="S1744" s="3" t="s">
        <v>83</v>
      </c>
      <c r="T1744" s="3" t="s">
        <v>2988</v>
      </c>
      <c r="V1744" s="8">
        <f>60990-30000</f>
        <v>30990</v>
      </c>
      <c r="W1744" s="9" t="s">
        <v>2989</v>
      </c>
    </row>
    <row r="1745" spans="1:21" x14ac:dyDescent="0.25">
      <c r="A1745" s="10">
        <v>46134</v>
      </c>
      <c r="B1745" s="2" t="s">
        <v>2986</v>
      </c>
      <c r="E1745" s="3" t="s">
        <v>27</v>
      </c>
      <c r="G1745" s="4" t="s">
        <v>48</v>
      </c>
      <c r="H1745" s="22" t="s">
        <v>81</v>
      </c>
      <c r="I1745" s="22"/>
      <c r="J1745" s="22">
        <v>30000</v>
      </c>
      <c r="K1745" s="22">
        <f t="shared" si="20"/>
        <v>30000</v>
      </c>
      <c r="L1745" s="17"/>
      <c r="M1745" s="23"/>
    </row>
    <row r="1746" spans="1:21" x14ac:dyDescent="0.25">
      <c r="A1746" s="10">
        <v>46134</v>
      </c>
      <c r="B1746" s="2" t="s">
        <v>2990</v>
      </c>
      <c r="C1746" s="2" t="s">
        <v>2991</v>
      </c>
      <c r="D1746" s="2" t="s">
        <v>2992</v>
      </c>
      <c r="E1746" s="3" t="s">
        <v>114</v>
      </c>
      <c r="F1746" s="4">
        <v>4200</v>
      </c>
      <c r="G1746" s="4" t="s">
        <v>128</v>
      </c>
      <c r="H1746" s="22" t="s">
        <v>1916</v>
      </c>
      <c r="I1746" s="22">
        <v>4200</v>
      </c>
      <c r="J1746" s="22"/>
      <c r="K1746" s="22">
        <f t="shared" si="20"/>
        <v>4200</v>
      </c>
      <c r="L1746" s="17">
        <v>4200</v>
      </c>
      <c r="M1746" s="23" t="s">
        <v>41</v>
      </c>
      <c r="N1746" s="1" t="s">
        <v>2993</v>
      </c>
      <c r="O1746" s="7" t="s">
        <v>2263</v>
      </c>
      <c r="R1746" s="7" t="s">
        <v>2375</v>
      </c>
      <c r="S1746" s="3" t="s">
        <v>1087</v>
      </c>
      <c r="T1746" s="3" t="s">
        <v>1088</v>
      </c>
      <c r="U1746" s="8" t="s">
        <v>2994</v>
      </c>
    </row>
    <row r="1747" spans="1:21" x14ac:dyDescent="0.25">
      <c r="A1747" s="10">
        <v>46134</v>
      </c>
      <c r="B1747" s="2" t="s">
        <v>2990</v>
      </c>
      <c r="C1747" s="2" t="s">
        <v>2991</v>
      </c>
      <c r="D1747" s="2" t="s">
        <v>2992</v>
      </c>
      <c r="E1747" s="3" t="s">
        <v>114</v>
      </c>
      <c r="G1747" s="4" t="s">
        <v>48</v>
      </c>
      <c r="H1747" s="22" t="s">
        <v>49</v>
      </c>
      <c r="I1747" s="22"/>
      <c r="J1747" s="22">
        <f>I1746</f>
        <v>4200</v>
      </c>
      <c r="K1747" s="22">
        <f t="shared" si="20"/>
        <v>4200</v>
      </c>
      <c r="L1747" s="17"/>
    </row>
    <row r="1748" spans="1:21" ht="24" x14ac:dyDescent="0.25">
      <c r="A1748" s="10">
        <v>46134</v>
      </c>
      <c r="B1748" s="2" t="s">
        <v>2995</v>
      </c>
      <c r="C1748" s="2" t="s">
        <v>2996</v>
      </c>
      <c r="D1748" s="2" t="s">
        <v>2997</v>
      </c>
      <c r="E1748" s="3" t="s">
        <v>307</v>
      </c>
      <c r="F1748" s="4">
        <f>(575/1.12)+(575/1.12*0.12)-(575/1.12*0.01)</f>
        <v>569.86607142857144</v>
      </c>
      <c r="G1748" s="4" t="s">
        <v>28</v>
      </c>
      <c r="H1748" s="22" t="s">
        <v>40</v>
      </c>
      <c r="I1748" s="22">
        <f>575/1.12</f>
        <v>513.39285714285711</v>
      </c>
      <c r="J1748" s="22"/>
      <c r="K1748" s="22">
        <f t="shared" si="20"/>
        <v>513.39285714285711</v>
      </c>
      <c r="L1748" s="17"/>
      <c r="M1748" s="6" t="s">
        <v>581</v>
      </c>
      <c r="N1748" s="1" t="s">
        <v>2998</v>
      </c>
    </row>
    <row r="1749" spans="1:21" x14ac:dyDescent="0.25">
      <c r="A1749" s="10">
        <v>46134</v>
      </c>
      <c r="B1749" s="2" t="s">
        <v>2995</v>
      </c>
      <c r="C1749" s="2" t="s">
        <v>2996</v>
      </c>
      <c r="D1749" s="2" t="s">
        <v>2997</v>
      </c>
      <c r="E1749" s="3" t="s">
        <v>307</v>
      </c>
      <c r="G1749" s="4" t="s">
        <v>28</v>
      </c>
      <c r="H1749" s="22" t="s">
        <v>104</v>
      </c>
      <c r="I1749" s="22">
        <f>I1748*0.12</f>
        <v>61.607142857142854</v>
      </c>
      <c r="J1749" s="22"/>
      <c r="K1749" s="22">
        <f t="shared" si="20"/>
        <v>61.607142857142854</v>
      </c>
      <c r="L1749" s="17"/>
    </row>
    <row r="1750" spans="1:21" x14ac:dyDescent="0.25">
      <c r="A1750" s="10">
        <v>46134</v>
      </c>
      <c r="B1750" s="2" t="s">
        <v>2995</v>
      </c>
      <c r="C1750" s="2" t="s">
        <v>2996</v>
      </c>
      <c r="D1750" s="2" t="s">
        <v>2997</v>
      </c>
      <c r="E1750" s="3" t="s">
        <v>307</v>
      </c>
      <c r="G1750" s="4" t="s">
        <v>28</v>
      </c>
      <c r="H1750" s="22" t="s">
        <v>105</v>
      </c>
      <c r="I1750" s="22"/>
      <c r="J1750" s="22">
        <f>I1748*0.01</f>
        <v>5.1339285714285712</v>
      </c>
      <c r="K1750" s="22">
        <f t="shared" si="20"/>
        <v>5.1339285714285712</v>
      </c>
      <c r="L1750" s="17"/>
    </row>
    <row r="1751" spans="1:21" x14ac:dyDescent="0.25">
      <c r="A1751" s="10">
        <v>46134</v>
      </c>
      <c r="B1751" s="2" t="s">
        <v>2995</v>
      </c>
      <c r="C1751" s="2" t="s">
        <v>2996</v>
      </c>
      <c r="D1751" s="2" t="s">
        <v>2997</v>
      </c>
      <c r="E1751" s="3" t="s">
        <v>307</v>
      </c>
      <c r="G1751" s="4" t="s">
        <v>48</v>
      </c>
      <c r="H1751" s="22" t="s">
        <v>49</v>
      </c>
      <c r="I1751" s="22"/>
      <c r="J1751" s="22">
        <f>I1748+I1749-J1750</f>
        <v>569.86607142857144</v>
      </c>
      <c r="K1751" s="22">
        <f t="shared" si="20"/>
        <v>569.86607142857144</v>
      </c>
      <c r="L1751" s="17"/>
    </row>
    <row r="1752" spans="1:21" ht="24" x14ac:dyDescent="0.25">
      <c r="A1752" s="10">
        <v>46134</v>
      </c>
      <c r="B1752" s="2" t="s">
        <v>2999</v>
      </c>
      <c r="E1752" s="3" t="s">
        <v>759</v>
      </c>
      <c r="F1752" s="4">
        <f>2550+2550+2550+2270+2270+2270+2270+2270+2270+2270+2270+2270+2270+2430+2430+2430+2430+2430+3030</f>
        <v>45530</v>
      </c>
      <c r="G1752" s="4" t="s">
        <v>48</v>
      </c>
      <c r="H1752" s="22" t="s">
        <v>2385</v>
      </c>
      <c r="I1752" s="22">
        <v>44960</v>
      </c>
      <c r="J1752" s="22"/>
      <c r="K1752" s="22">
        <f t="shared" si="20"/>
        <v>44960</v>
      </c>
      <c r="L1752" s="17">
        <v>45530</v>
      </c>
      <c r="M1752" s="23" t="s">
        <v>41</v>
      </c>
      <c r="N1752" s="1" t="s">
        <v>3000</v>
      </c>
      <c r="O1752" s="24" t="s">
        <v>3001</v>
      </c>
      <c r="P1752" s="7" t="s">
        <v>81</v>
      </c>
      <c r="R1752" s="7" t="s">
        <v>2310</v>
      </c>
      <c r="S1752" s="3" t="s">
        <v>83</v>
      </c>
    </row>
    <row r="1753" spans="1:21" x14ac:dyDescent="0.25">
      <c r="A1753" s="10">
        <v>46134</v>
      </c>
      <c r="B1753" s="2" t="s">
        <v>2999</v>
      </c>
      <c r="E1753" s="3" t="s">
        <v>759</v>
      </c>
      <c r="G1753" s="4" t="s">
        <v>48</v>
      </c>
      <c r="H1753" s="22" t="s">
        <v>47</v>
      </c>
      <c r="I1753" s="22">
        <f>30*19</f>
        <v>570</v>
      </c>
      <c r="J1753" s="22"/>
      <c r="K1753" s="22">
        <f t="shared" si="20"/>
        <v>570</v>
      </c>
      <c r="L1753" s="17"/>
    </row>
    <row r="1754" spans="1:21" x14ac:dyDescent="0.25">
      <c r="A1754" s="10">
        <v>46134</v>
      </c>
      <c r="B1754" s="2" t="s">
        <v>2999</v>
      </c>
      <c r="E1754" s="3" t="s">
        <v>759</v>
      </c>
      <c r="G1754" s="4" t="s">
        <v>48</v>
      </c>
      <c r="H1754" s="22" t="s">
        <v>49</v>
      </c>
      <c r="I1754" s="22"/>
      <c r="J1754" s="22">
        <f>I1752+I1753</f>
        <v>45530</v>
      </c>
      <c r="K1754" s="22">
        <f t="shared" si="20"/>
        <v>45530</v>
      </c>
      <c r="L1754" s="17"/>
    </row>
    <row r="1755" spans="1:21" ht="24" x14ac:dyDescent="0.25">
      <c r="A1755" s="10">
        <v>46134</v>
      </c>
      <c r="B1755" s="2" t="s">
        <v>3002</v>
      </c>
      <c r="C1755" s="2" t="s">
        <v>396</v>
      </c>
      <c r="E1755" s="3" t="s">
        <v>614</v>
      </c>
      <c r="F1755" s="4">
        <f>2955+3485</f>
        <v>6440</v>
      </c>
      <c r="G1755" s="4" t="s">
        <v>48</v>
      </c>
      <c r="H1755" s="22" t="s">
        <v>899</v>
      </c>
      <c r="I1755" s="22">
        <v>4625</v>
      </c>
      <c r="J1755" s="22"/>
      <c r="K1755" s="22">
        <f t="shared" si="20"/>
        <v>4625</v>
      </c>
      <c r="L1755" s="17"/>
      <c r="M1755" s="6" t="s">
        <v>581</v>
      </c>
      <c r="N1755" s="1" t="s">
        <v>3003</v>
      </c>
    </row>
    <row r="1756" spans="1:21" x14ac:dyDescent="0.25">
      <c r="A1756" s="10">
        <v>46134</v>
      </c>
      <c r="B1756" s="2" t="s">
        <v>3002</v>
      </c>
      <c r="C1756" s="2" t="s">
        <v>396</v>
      </c>
      <c r="E1756" s="3" t="s">
        <v>614</v>
      </c>
      <c r="H1756" s="22" t="s">
        <v>238</v>
      </c>
      <c r="I1756" s="22">
        <v>1415.89</v>
      </c>
      <c r="J1756" s="22"/>
      <c r="K1756" s="22">
        <f t="shared" si="20"/>
        <v>1415.89</v>
      </c>
      <c r="L1756" s="17"/>
    </row>
    <row r="1757" spans="1:21" x14ac:dyDescent="0.25">
      <c r="A1757" s="10">
        <v>46134</v>
      </c>
      <c r="B1757" s="2" t="s">
        <v>3002</v>
      </c>
      <c r="C1757" s="2" t="s">
        <v>396</v>
      </c>
      <c r="E1757" s="3" t="s">
        <v>614</v>
      </c>
      <c r="H1757" s="22" t="s">
        <v>1187</v>
      </c>
      <c r="I1757" s="22">
        <v>399.11</v>
      </c>
      <c r="J1757" s="22"/>
      <c r="K1757" s="22">
        <f t="shared" si="20"/>
        <v>399.11</v>
      </c>
      <c r="L1757" s="17"/>
    </row>
    <row r="1758" spans="1:21" x14ac:dyDescent="0.25">
      <c r="A1758" s="10">
        <v>46134</v>
      </c>
      <c r="B1758" s="2" t="s">
        <v>3002</v>
      </c>
      <c r="C1758" s="2" t="s">
        <v>396</v>
      </c>
      <c r="E1758" s="3" t="s">
        <v>614</v>
      </c>
      <c r="H1758" s="22" t="s">
        <v>49</v>
      </c>
      <c r="I1758" s="22"/>
      <c r="J1758" s="22">
        <f>I1755+I1756+I1757</f>
        <v>6440</v>
      </c>
      <c r="K1758" s="22">
        <f t="shared" si="20"/>
        <v>6440</v>
      </c>
      <c r="L1758" s="17"/>
    </row>
    <row r="1759" spans="1:21" x14ac:dyDescent="0.25">
      <c r="A1759" s="10">
        <v>46134</v>
      </c>
      <c r="B1759" s="2" t="s">
        <v>3004</v>
      </c>
      <c r="C1759" s="2" t="s">
        <v>3005</v>
      </c>
      <c r="D1759" s="2" t="s">
        <v>3006</v>
      </c>
      <c r="E1759" s="3" t="s">
        <v>3007</v>
      </c>
      <c r="F1759" s="4">
        <v>139492.4</v>
      </c>
      <c r="H1759" s="22"/>
      <c r="I1759" s="22"/>
      <c r="J1759" s="22"/>
      <c r="K1759" s="22">
        <f t="shared" si="20"/>
        <v>0</v>
      </c>
      <c r="L1759" s="17"/>
    </row>
    <row r="1760" spans="1:21" x14ac:dyDescent="0.25">
      <c r="A1760" s="10">
        <v>46134</v>
      </c>
      <c r="B1760" s="2" t="s">
        <v>3008</v>
      </c>
      <c r="C1760" s="2" t="s">
        <v>3005</v>
      </c>
      <c r="D1760" s="2" t="s">
        <v>3006</v>
      </c>
      <c r="E1760" s="3" t="s">
        <v>1082</v>
      </c>
      <c r="F1760" s="4">
        <v>30551</v>
      </c>
      <c r="H1760" s="22"/>
      <c r="I1760" s="22"/>
      <c r="J1760" s="22"/>
      <c r="K1760" s="22">
        <f t="shared" si="20"/>
        <v>0</v>
      </c>
      <c r="L1760" s="17"/>
      <c r="M1760" s="23"/>
    </row>
    <row r="1761" spans="1:20" x14ac:dyDescent="0.25">
      <c r="A1761" s="10">
        <v>46134</v>
      </c>
      <c r="B1761" s="2" t="s">
        <v>3009</v>
      </c>
      <c r="C1761" s="2" t="s">
        <v>601</v>
      </c>
      <c r="D1761" s="2" t="s">
        <v>602</v>
      </c>
      <c r="E1761" s="3" t="s">
        <v>603</v>
      </c>
      <c r="F1761" s="4">
        <v>16100</v>
      </c>
      <c r="G1761" s="3" t="s">
        <v>48</v>
      </c>
      <c r="H1761" s="22" t="s">
        <v>604</v>
      </c>
      <c r="I1761" s="22">
        <v>16100</v>
      </c>
      <c r="J1761" s="22"/>
      <c r="K1761" s="22">
        <f t="shared" si="20"/>
        <v>16100</v>
      </c>
      <c r="L1761" s="17"/>
      <c r="M1761" s="6" t="s">
        <v>581</v>
      </c>
      <c r="N1761" s="1" t="s">
        <v>3010</v>
      </c>
    </row>
    <row r="1762" spans="1:20" x14ac:dyDescent="0.25">
      <c r="A1762" s="10">
        <v>46134</v>
      </c>
      <c r="B1762" s="2" t="s">
        <v>3009</v>
      </c>
      <c r="C1762" s="2" t="s">
        <v>601</v>
      </c>
      <c r="D1762" s="2" t="s">
        <v>602</v>
      </c>
      <c r="E1762" s="3" t="s">
        <v>603</v>
      </c>
      <c r="G1762" s="3" t="s">
        <v>48</v>
      </c>
      <c r="H1762" s="22" t="s">
        <v>49</v>
      </c>
      <c r="I1762" s="22"/>
      <c r="J1762" s="22">
        <f>16100</f>
        <v>16100</v>
      </c>
      <c r="K1762" s="22">
        <f t="shared" si="20"/>
        <v>16100</v>
      </c>
      <c r="L1762" s="17"/>
    </row>
    <row r="1763" spans="1:20" ht="24" x14ac:dyDescent="0.25">
      <c r="A1763" s="10">
        <v>46135</v>
      </c>
      <c r="B1763" s="2" t="s">
        <v>3011</v>
      </c>
      <c r="E1763" s="3" t="s">
        <v>27</v>
      </c>
      <c r="F1763" s="4">
        <v>190000</v>
      </c>
      <c r="G1763" s="3" t="s">
        <v>48</v>
      </c>
      <c r="H1763" s="22" t="s">
        <v>3012</v>
      </c>
      <c r="I1763" s="22">
        <v>190000</v>
      </c>
      <c r="J1763" s="22"/>
      <c r="K1763" s="22">
        <f t="shared" si="20"/>
        <v>190000</v>
      </c>
      <c r="L1763" s="17">
        <v>190000</v>
      </c>
      <c r="M1763" s="23" t="s">
        <v>41</v>
      </c>
      <c r="N1763" s="1" t="s">
        <v>3013</v>
      </c>
      <c r="O1763" s="7" t="s">
        <v>313</v>
      </c>
      <c r="P1763" s="7" t="s">
        <v>32</v>
      </c>
      <c r="Q1763" s="25" t="s">
        <v>3014</v>
      </c>
      <c r="R1763" s="7" t="s">
        <v>2375</v>
      </c>
      <c r="S1763" s="3" t="s">
        <v>145</v>
      </c>
      <c r="T1763" s="3" t="s">
        <v>324</v>
      </c>
    </row>
    <row r="1764" spans="1:20" x14ac:dyDescent="0.25">
      <c r="A1764" s="10">
        <v>46135</v>
      </c>
      <c r="B1764" s="2" t="s">
        <v>3011</v>
      </c>
      <c r="E1764" s="3" t="s">
        <v>27</v>
      </c>
      <c r="G1764" s="3" t="s">
        <v>48</v>
      </c>
      <c r="H1764" s="22" t="s">
        <v>334</v>
      </c>
      <c r="I1764" s="22"/>
      <c r="J1764" s="22">
        <f>I1763</f>
        <v>190000</v>
      </c>
      <c r="K1764" s="22">
        <f t="shared" si="20"/>
        <v>190000</v>
      </c>
      <c r="L1764" s="17"/>
      <c r="Q1764" s="25"/>
    </row>
    <row r="1765" spans="1:20" ht="24" x14ac:dyDescent="0.25">
      <c r="A1765" s="10">
        <v>46135</v>
      </c>
      <c r="B1765" s="2" t="s">
        <v>3015</v>
      </c>
      <c r="E1765" s="3" t="s">
        <v>3016</v>
      </c>
      <c r="F1765" s="4">
        <v>500000</v>
      </c>
      <c r="G1765" s="3" t="s">
        <v>48</v>
      </c>
      <c r="H1765" s="22" t="s">
        <v>406</v>
      </c>
      <c r="I1765" s="22">
        <v>500000</v>
      </c>
      <c r="J1765" s="22"/>
      <c r="K1765" s="22">
        <f t="shared" si="20"/>
        <v>500000</v>
      </c>
      <c r="L1765" s="17">
        <v>500000</v>
      </c>
      <c r="M1765" s="23" t="s">
        <v>41</v>
      </c>
      <c r="N1765" s="1" t="s">
        <v>3017</v>
      </c>
      <c r="O1765" s="7" t="s">
        <v>478</v>
      </c>
      <c r="P1765" s="7" t="s">
        <v>32</v>
      </c>
      <c r="Q1765" s="25" t="s">
        <v>3018</v>
      </c>
      <c r="R1765" s="7" t="s">
        <v>2424</v>
      </c>
      <c r="S1765" s="3" t="s">
        <v>145</v>
      </c>
      <c r="T1765" s="3" t="s">
        <v>324</v>
      </c>
    </row>
    <row r="1766" spans="1:20" x14ac:dyDescent="0.25">
      <c r="A1766" s="10">
        <v>46135</v>
      </c>
      <c r="B1766" s="2" t="s">
        <v>3015</v>
      </c>
      <c r="E1766" s="3" t="s">
        <v>3016</v>
      </c>
      <c r="G1766" s="3" t="s">
        <v>48</v>
      </c>
      <c r="H1766" s="22" t="s">
        <v>334</v>
      </c>
      <c r="I1766" s="22"/>
      <c r="J1766" s="22">
        <f>I1765</f>
        <v>500000</v>
      </c>
      <c r="K1766" s="22">
        <f t="shared" si="20"/>
        <v>500000</v>
      </c>
      <c r="L1766" s="17"/>
      <c r="M1766" s="23"/>
      <c r="Q1766" s="25"/>
    </row>
    <row r="1767" spans="1:20" ht="24" x14ac:dyDescent="0.25">
      <c r="A1767" s="10">
        <v>46135</v>
      </c>
      <c r="B1767" s="2" t="s">
        <v>3019</v>
      </c>
      <c r="C1767" s="2" t="s">
        <v>3020</v>
      </c>
      <c r="D1767" s="2" t="s">
        <v>3021</v>
      </c>
      <c r="E1767" s="3" t="s">
        <v>562</v>
      </c>
      <c r="F1767" s="4">
        <f>(5159.8/1.12)+(5159.8/1.12*0.12)-(5159.8/1.12*0.01)</f>
        <v>5113.7303571428565</v>
      </c>
      <c r="G1767" s="4" t="s">
        <v>28</v>
      </c>
      <c r="H1767" s="22" t="s">
        <v>40</v>
      </c>
      <c r="I1767" s="22">
        <f>5159.8/1.12</f>
        <v>4606.9642857142853</v>
      </c>
      <c r="J1767" s="22"/>
      <c r="K1767" s="22">
        <f t="shared" si="20"/>
        <v>4606.9642857142853</v>
      </c>
      <c r="L1767" s="17">
        <v>5113.7299999999996</v>
      </c>
      <c r="M1767" s="6" t="s">
        <v>581</v>
      </c>
      <c r="N1767" s="1" t="s">
        <v>3022</v>
      </c>
    </row>
    <row r="1768" spans="1:20" x14ac:dyDescent="0.25">
      <c r="A1768" s="10">
        <v>46135</v>
      </c>
      <c r="B1768" s="2" t="s">
        <v>3019</v>
      </c>
      <c r="C1768" s="2" t="s">
        <v>3020</v>
      </c>
      <c r="D1768" s="2" t="s">
        <v>3021</v>
      </c>
      <c r="E1768" s="3" t="s">
        <v>562</v>
      </c>
      <c r="G1768" s="4" t="s">
        <v>28</v>
      </c>
      <c r="H1768" s="22" t="s">
        <v>104</v>
      </c>
      <c r="I1768" s="22">
        <f>I1767*0.12</f>
        <v>552.83571428571418</v>
      </c>
      <c r="J1768" s="22"/>
      <c r="K1768" s="22">
        <f t="shared" si="20"/>
        <v>552.83571428571418</v>
      </c>
      <c r="L1768" s="17"/>
    </row>
    <row r="1769" spans="1:20" x14ac:dyDescent="0.25">
      <c r="A1769" s="10">
        <v>46135</v>
      </c>
      <c r="B1769" s="2" t="s">
        <v>3019</v>
      </c>
      <c r="C1769" s="2" t="s">
        <v>3020</v>
      </c>
      <c r="D1769" s="2" t="s">
        <v>3021</v>
      </c>
      <c r="E1769" s="3" t="s">
        <v>562</v>
      </c>
      <c r="G1769" s="4" t="s">
        <v>28</v>
      </c>
      <c r="H1769" s="22" t="s">
        <v>105</v>
      </c>
      <c r="I1769" s="22"/>
      <c r="J1769" s="22">
        <f>I1767*0.01</f>
        <v>46.069642857142853</v>
      </c>
      <c r="K1769" s="22">
        <f t="shared" si="20"/>
        <v>46.069642857142853</v>
      </c>
      <c r="L1769" s="17"/>
    </row>
    <row r="1770" spans="1:20" x14ac:dyDescent="0.25">
      <c r="A1770" s="10">
        <v>46135</v>
      </c>
      <c r="B1770" s="2" t="s">
        <v>3019</v>
      </c>
      <c r="C1770" s="2" t="s">
        <v>3020</v>
      </c>
      <c r="D1770" s="2" t="s">
        <v>3021</v>
      </c>
      <c r="E1770" s="3" t="s">
        <v>562</v>
      </c>
      <c r="G1770" s="3" t="s">
        <v>48</v>
      </c>
      <c r="H1770" s="22" t="s">
        <v>49</v>
      </c>
      <c r="I1770" s="22"/>
      <c r="J1770" s="22">
        <f>I1767+I1768-J1769</f>
        <v>5113.7303571428565</v>
      </c>
      <c r="K1770" s="22">
        <f t="shared" si="20"/>
        <v>5113.7303571428565</v>
      </c>
      <c r="L1770" s="17"/>
    </row>
    <row r="1771" spans="1:20" ht="24" x14ac:dyDescent="0.25">
      <c r="A1771" s="10">
        <v>46135</v>
      </c>
      <c r="B1771" s="2" t="s">
        <v>3023</v>
      </c>
      <c r="C1771" s="2" t="s">
        <v>3024</v>
      </c>
      <c r="D1771" s="2" t="s">
        <v>3025</v>
      </c>
      <c r="E1771" s="3" t="s">
        <v>455</v>
      </c>
      <c r="F1771" s="4">
        <f>(847/1.12)+(847/1.12*0.12)-(847/1.12*0.01)</f>
        <v>839.43749999999989</v>
      </c>
      <c r="G1771" s="4" t="s">
        <v>28</v>
      </c>
      <c r="H1771" s="22" t="s">
        <v>40</v>
      </c>
      <c r="I1771" s="22">
        <f>847/1.12</f>
        <v>756.24999999999989</v>
      </c>
      <c r="J1771" s="22"/>
      <c r="K1771" s="22">
        <f t="shared" si="20"/>
        <v>756.24999999999989</v>
      </c>
      <c r="L1771" s="32">
        <v>839.44</v>
      </c>
      <c r="M1771" s="6" t="s">
        <v>581</v>
      </c>
      <c r="N1771" s="1" t="s">
        <v>3026</v>
      </c>
    </row>
    <row r="1772" spans="1:20" x14ac:dyDescent="0.25">
      <c r="A1772" s="10">
        <v>46135</v>
      </c>
      <c r="B1772" s="2" t="s">
        <v>3023</v>
      </c>
      <c r="C1772" s="2" t="s">
        <v>3024</v>
      </c>
      <c r="D1772" s="2" t="s">
        <v>3025</v>
      </c>
      <c r="E1772" s="3" t="s">
        <v>455</v>
      </c>
      <c r="G1772" s="4" t="s">
        <v>28</v>
      </c>
      <c r="H1772" s="22" t="s">
        <v>104</v>
      </c>
      <c r="I1772" s="22">
        <f>I1771*0.12</f>
        <v>90.749999999999986</v>
      </c>
      <c r="J1772" s="22"/>
      <c r="K1772" s="22">
        <f t="shared" si="20"/>
        <v>90.749999999999986</v>
      </c>
      <c r="L1772" s="32"/>
    </row>
    <row r="1773" spans="1:20" x14ac:dyDescent="0.25">
      <c r="A1773" s="10">
        <v>46135</v>
      </c>
      <c r="B1773" s="2" t="s">
        <v>3023</v>
      </c>
      <c r="C1773" s="2" t="s">
        <v>3024</v>
      </c>
      <c r="D1773" s="2" t="s">
        <v>3025</v>
      </c>
      <c r="E1773" s="3" t="s">
        <v>455</v>
      </c>
      <c r="G1773" s="4" t="s">
        <v>28</v>
      </c>
      <c r="H1773" s="22" t="s">
        <v>105</v>
      </c>
      <c r="I1773" s="22"/>
      <c r="J1773" s="22">
        <f>I1771*0.01</f>
        <v>7.5624999999999991</v>
      </c>
      <c r="K1773" s="22">
        <f t="shared" si="20"/>
        <v>7.5624999999999991</v>
      </c>
      <c r="L1773" s="32"/>
    </row>
    <row r="1774" spans="1:20" x14ac:dyDescent="0.25">
      <c r="A1774" s="10">
        <v>46135</v>
      </c>
      <c r="B1774" s="2" t="s">
        <v>3023</v>
      </c>
      <c r="C1774" s="2" t="s">
        <v>3024</v>
      </c>
      <c r="D1774" s="2" t="s">
        <v>3025</v>
      </c>
      <c r="E1774" s="3" t="s">
        <v>455</v>
      </c>
      <c r="G1774" s="3" t="s">
        <v>48</v>
      </c>
      <c r="H1774" s="22" t="s">
        <v>49</v>
      </c>
      <c r="I1774" s="22"/>
      <c r="J1774" s="22">
        <f>I1771+I1772-J1773</f>
        <v>839.43749999999989</v>
      </c>
      <c r="K1774" s="22">
        <f t="shared" si="20"/>
        <v>839.43749999999989</v>
      </c>
      <c r="L1774" s="32"/>
    </row>
    <row r="1775" spans="1:20" ht="24" x14ac:dyDescent="0.25">
      <c r="A1775" s="10">
        <v>46135</v>
      </c>
      <c r="B1775" s="2" t="s">
        <v>3027</v>
      </c>
      <c r="C1775" s="2" t="s">
        <v>3028</v>
      </c>
      <c r="D1775" s="2" t="s">
        <v>3029</v>
      </c>
      <c r="E1775" s="3" t="s">
        <v>455</v>
      </c>
      <c r="F1775" s="4">
        <f>(4875/1.12)+(4875/1.12*0.12)-(4875/1.12*0.01)</f>
        <v>4831.4732142857138</v>
      </c>
      <c r="G1775" s="4" t="s">
        <v>28</v>
      </c>
      <c r="H1775" s="22" t="s">
        <v>40</v>
      </c>
      <c r="I1775" s="22">
        <f>4875/1.12</f>
        <v>4352.6785714285706</v>
      </c>
      <c r="J1775" s="22"/>
      <c r="K1775" s="22">
        <f t="shared" si="20"/>
        <v>4352.6785714285706</v>
      </c>
      <c r="L1775" s="17">
        <v>4831.47</v>
      </c>
      <c r="M1775" s="6" t="s">
        <v>581</v>
      </c>
      <c r="N1775" s="1" t="s">
        <v>3030</v>
      </c>
    </row>
    <row r="1776" spans="1:20" x14ac:dyDescent="0.25">
      <c r="A1776" s="10">
        <v>46135</v>
      </c>
      <c r="B1776" s="2" t="s">
        <v>3027</v>
      </c>
      <c r="C1776" s="2" t="s">
        <v>3028</v>
      </c>
      <c r="D1776" s="2" t="s">
        <v>3029</v>
      </c>
      <c r="E1776" s="3" t="s">
        <v>455</v>
      </c>
      <c r="G1776" s="4" t="s">
        <v>28</v>
      </c>
      <c r="H1776" s="22" t="s">
        <v>104</v>
      </c>
      <c r="I1776" s="22">
        <f>I1775*0.12</f>
        <v>522.32142857142844</v>
      </c>
      <c r="J1776" s="22"/>
      <c r="K1776" s="22">
        <f t="shared" si="20"/>
        <v>522.32142857142844</v>
      </c>
      <c r="L1776" s="17"/>
    </row>
    <row r="1777" spans="1:21" x14ac:dyDescent="0.25">
      <c r="A1777" s="10">
        <v>46135</v>
      </c>
      <c r="B1777" s="2" t="s">
        <v>3027</v>
      </c>
      <c r="C1777" s="2" t="s">
        <v>3028</v>
      </c>
      <c r="D1777" s="2" t="s">
        <v>3029</v>
      </c>
      <c r="E1777" s="3" t="s">
        <v>455</v>
      </c>
      <c r="G1777" s="4" t="s">
        <v>28</v>
      </c>
      <c r="H1777" s="22" t="s">
        <v>105</v>
      </c>
      <c r="I1777" s="22"/>
      <c r="J1777" s="22">
        <f>I1775*0.01</f>
        <v>43.526785714285708</v>
      </c>
      <c r="K1777" s="22">
        <f t="shared" si="20"/>
        <v>43.526785714285708</v>
      </c>
      <c r="L1777" s="17"/>
    </row>
    <row r="1778" spans="1:21" x14ac:dyDescent="0.25">
      <c r="A1778" s="10">
        <v>46135</v>
      </c>
      <c r="B1778" s="2" t="s">
        <v>3027</v>
      </c>
      <c r="C1778" s="2" t="s">
        <v>3028</v>
      </c>
      <c r="D1778" s="2" t="s">
        <v>3029</v>
      </c>
      <c r="E1778" s="3" t="s">
        <v>455</v>
      </c>
      <c r="G1778" s="3" t="s">
        <v>48</v>
      </c>
      <c r="H1778" s="22" t="s">
        <v>49</v>
      </c>
      <c r="I1778" s="22"/>
      <c r="J1778" s="22">
        <f>I1775+I1776-J1777</f>
        <v>4831.4732142857138</v>
      </c>
      <c r="K1778" s="22">
        <f t="shared" si="20"/>
        <v>4831.4732142857138</v>
      </c>
      <c r="L1778" s="17"/>
    </row>
    <row r="1779" spans="1:21" x14ac:dyDescent="0.25">
      <c r="A1779" s="10">
        <v>46135</v>
      </c>
      <c r="B1779" s="2" t="s">
        <v>3031</v>
      </c>
      <c r="C1779" s="2" t="s">
        <v>95</v>
      </c>
      <c r="D1779" s="2" t="s">
        <v>3032</v>
      </c>
      <c r="E1779" s="3" t="s">
        <v>76</v>
      </c>
      <c r="F1779" s="4">
        <v>6580</v>
      </c>
      <c r="G1779" s="4" t="s">
        <v>128</v>
      </c>
      <c r="H1779" s="22" t="s">
        <v>78</v>
      </c>
      <c r="I1779" s="22">
        <v>6580</v>
      </c>
      <c r="J1779" s="22"/>
      <c r="K1779" s="22">
        <f t="shared" si="20"/>
        <v>6580</v>
      </c>
      <c r="L1779" s="17">
        <v>6580</v>
      </c>
      <c r="M1779" s="23" t="s">
        <v>41</v>
      </c>
      <c r="N1779" s="8" t="s">
        <v>3033</v>
      </c>
      <c r="O1779" s="28" t="s">
        <v>80</v>
      </c>
      <c r="R1779" s="7" t="s">
        <v>2375</v>
      </c>
      <c r="S1779" s="3" t="s">
        <v>1087</v>
      </c>
      <c r="T1779" s="3" t="s">
        <v>1088</v>
      </c>
    </row>
    <row r="1780" spans="1:21" x14ac:dyDescent="0.25">
      <c r="A1780" s="10">
        <v>46135</v>
      </c>
      <c r="B1780" s="2" t="s">
        <v>3031</v>
      </c>
      <c r="C1780" s="2" t="s">
        <v>95</v>
      </c>
      <c r="D1780" s="2" t="s">
        <v>3032</v>
      </c>
      <c r="E1780" s="3" t="s">
        <v>76</v>
      </c>
      <c r="G1780" s="3" t="s">
        <v>48</v>
      </c>
      <c r="H1780" s="22" t="s">
        <v>49</v>
      </c>
      <c r="I1780" s="22"/>
      <c r="J1780" s="22">
        <f>I1779</f>
        <v>6580</v>
      </c>
      <c r="K1780" s="22">
        <f t="shared" si="20"/>
        <v>6580</v>
      </c>
      <c r="L1780" s="17"/>
      <c r="N1780" s="8"/>
    </row>
    <row r="1781" spans="1:21" x14ac:dyDescent="0.25">
      <c r="A1781" s="10">
        <v>46135</v>
      </c>
      <c r="B1781" s="2" t="s">
        <v>3034</v>
      </c>
      <c r="E1781" s="3" t="s">
        <v>3035</v>
      </c>
      <c r="F1781" s="4">
        <v>1000000</v>
      </c>
      <c r="G1781" s="3" t="s">
        <v>48</v>
      </c>
      <c r="H1781" s="34" t="s">
        <v>604</v>
      </c>
      <c r="I1781" s="22">
        <v>1000000</v>
      </c>
      <c r="J1781" s="34"/>
      <c r="K1781" s="22">
        <f t="shared" si="20"/>
        <v>1000000</v>
      </c>
      <c r="L1781" s="17">
        <v>1000000</v>
      </c>
      <c r="M1781" s="23" t="s">
        <v>41</v>
      </c>
      <c r="N1781" s="1" t="s">
        <v>3036</v>
      </c>
      <c r="O1781" s="7" t="s">
        <v>313</v>
      </c>
      <c r="P1781" s="7" t="s">
        <v>32</v>
      </c>
      <c r="Q1781" s="25" t="s">
        <v>3037</v>
      </c>
      <c r="R1781" s="7" t="s">
        <v>3038</v>
      </c>
      <c r="S1781" s="3" t="s">
        <v>145</v>
      </c>
      <c r="T1781" s="3" t="s">
        <v>324</v>
      </c>
    </row>
    <row r="1782" spans="1:21" x14ac:dyDescent="0.25">
      <c r="A1782" s="10">
        <v>46135</v>
      </c>
      <c r="B1782" s="2" t="s">
        <v>3034</v>
      </c>
      <c r="E1782" s="3" t="s">
        <v>3035</v>
      </c>
      <c r="G1782" s="3" t="s">
        <v>48</v>
      </c>
      <c r="H1782" s="22" t="s">
        <v>49</v>
      </c>
      <c r="I1782" s="34"/>
      <c r="J1782" s="35">
        <f>I1781</f>
        <v>1000000</v>
      </c>
      <c r="K1782" s="22">
        <f t="shared" si="20"/>
        <v>1000000</v>
      </c>
      <c r="L1782" s="17"/>
      <c r="M1782" s="23"/>
      <c r="Q1782" s="25"/>
    </row>
    <row r="1783" spans="1:21" ht="24" x14ac:dyDescent="0.25">
      <c r="A1783" s="10">
        <v>46136</v>
      </c>
      <c r="B1783" s="2" t="s">
        <v>3039</v>
      </c>
      <c r="E1783" s="3" t="s">
        <v>3040</v>
      </c>
      <c r="F1783" s="4">
        <f>900000-455862.84</f>
        <v>444137.16</v>
      </c>
      <c r="G1783" s="4" t="s">
        <v>488</v>
      </c>
      <c r="H1783" s="22" t="s">
        <v>406</v>
      </c>
      <c r="I1783" s="22">
        <v>444137.16</v>
      </c>
      <c r="J1783" s="22"/>
      <c r="K1783" s="22">
        <f t="shared" si="20"/>
        <v>444137.16</v>
      </c>
      <c r="L1783" s="17"/>
      <c r="M1783" s="6" t="s">
        <v>581</v>
      </c>
      <c r="N1783" s="1" t="s">
        <v>3041</v>
      </c>
    </row>
    <row r="1784" spans="1:21" x14ac:dyDescent="0.25">
      <c r="A1784" s="10">
        <v>46136</v>
      </c>
      <c r="B1784" s="2" t="s">
        <v>3039</v>
      </c>
      <c r="E1784" s="3" t="s">
        <v>3040</v>
      </c>
      <c r="G1784" s="3" t="s">
        <v>48</v>
      </c>
      <c r="H1784" s="22" t="s">
        <v>49</v>
      </c>
      <c r="I1784" s="22"/>
      <c r="J1784" s="22">
        <f>I1783</f>
        <v>444137.16</v>
      </c>
      <c r="K1784" s="22">
        <f t="shared" si="20"/>
        <v>444137.16</v>
      </c>
      <c r="L1784" s="17"/>
    </row>
    <row r="1785" spans="1:21" ht="36" x14ac:dyDescent="0.25">
      <c r="A1785" s="10">
        <v>46136</v>
      </c>
      <c r="B1785" s="2" t="s">
        <v>3042</v>
      </c>
      <c r="E1785" s="3" t="s">
        <v>3043</v>
      </c>
      <c r="F1785" s="4">
        <f>(179106.7-50000-20000-25000)+181322.54+190433.6</f>
        <v>455862.83999999997</v>
      </c>
      <c r="G1785" s="4" t="s">
        <v>3044</v>
      </c>
      <c r="H1785" s="22" t="s">
        <v>406</v>
      </c>
      <c r="I1785" s="22">
        <v>455862.84</v>
      </c>
      <c r="J1785" s="22"/>
      <c r="K1785" s="22">
        <f t="shared" ref="K1785:K1928" si="21">ABS(I1785-J1785)</f>
        <v>455862.84</v>
      </c>
      <c r="L1785" s="17"/>
      <c r="M1785" s="6" t="s">
        <v>581</v>
      </c>
      <c r="N1785" s="1" t="s">
        <v>3045</v>
      </c>
    </row>
    <row r="1786" spans="1:21" x14ac:dyDescent="0.25">
      <c r="A1786" s="10">
        <v>46136</v>
      </c>
      <c r="B1786" s="2" t="s">
        <v>3042</v>
      </c>
      <c r="E1786" s="3" t="s">
        <v>3043</v>
      </c>
      <c r="G1786" s="3" t="s">
        <v>48</v>
      </c>
      <c r="H1786" s="22" t="s">
        <v>49</v>
      </c>
      <c r="I1786" s="22"/>
      <c r="J1786" s="22">
        <f>I1785</f>
        <v>455862.84</v>
      </c>
      <c r="K1786" s="22">
        <f t="shared" si="21"/>
        <v>455862.84</v>
      </c>
      <c r="L1786" s="17"/>
    </row>
    <row r="1787" spans="1:21" x14ac:dyDescent="0.25">
      <c r="A1787" s="10">
        <v>46136</v>
      </c>
      <c r="B1787" s="2" t="s">
        <v>3046</v>
      </c>
      <c r="C1787" s="2" t="s">
        <v>95</v>
      </c>
      <c r="D1787" s="2" t="s">
        <v>3047</v>
      </c>
      <c r="E1787" s="3" t="s">
        <v>2126</v>
      </c>
      <c r="F1787" s="4">
        <v>14400</v>
      </c>
      <c r="G1787" s="3" t="s">
        <v>128</v>
      </c>
      <c r="H1787" s="34" t="s">
        <v>1916</v>
      </c>
      <c r="I1787" s="22">
        <v>14400</v>
      </c>
      <c r="J1787" s="22"/>
      <c r="K1787" s="22">
        <f t="shared" si="21"/>
        <v>14400</v>
      </c>
      <c r="L1787" s="17">
        <v>14400</v>
      </c>
      <c r="M1787" s="23" t="s">
        <v>41</v>
      </c>
      <c r="N1787" s="1" t="s">
        <v>3048</v>
      </c>
      <c r="O1787" s="7" t="s">
        <v>2263</v>
      </c>
      <c r="R1787" s="7" t="s">
        <v>3049</v>
      </c>
      <c r="S1787" s="3" t="s">
        <v>1087</v>
      </c>
      <c r="T1787" s="3" t="s">
        <v>1088</v>
      </c>
      <c r="U1787" s="8" t="s">
        <v>3050</v>
      </c>
    </row>
    <row r="1788" spans="1:21" x14ac:dyDescent="0.25">
      <c r="A1788" s="10">
        <v>46136</v>
      </c>
      <c r="B1788" s="2" t="s">
        <v>3046</v>
      </c>
      <c r="C1788" s="2" t="s">
        <v>95</v>
      </c>
      <c r="D1788" s="2" t="s">
        <v>3047</v>
      </c>
      <c r="E1788" s="3" t="s">
        <v>2126</v>
      </c>
      <c r="G1788" s="3" t="s">
        <v>48</v>
      </c>
      <c r="H1788" s="22" t="s">
        <v>49</v>
      </c>
      <c r="I1788" s="22"/>
      <c r="J1788" s="22">
        <f>I1787</f>
        <v>14400</v>
      </c>
      <c r="K1788" s="22">
        <f t="shared" si="21"/>
        <v>14400</v>
      </c>
      <c r="L1788" s="32"/>
    </row>
    <row r="1789" spans="1:21" ht="24" x14ac:dyDescent="0.25">
      <c r="A1789" s="10">
        <v>46136</v>
      </c>
      <c r="B1789" s="2" t="s">
        <v>3051</v>
      </c>
      <c r="C1789" s="2" t="s">
        <v>2402</v>
      </c>
      <c r="D1789" s="2" t="s">
        <v>55</v>
      </c>
      <c r="E1789" s="3" t="s">
        <v>56</v>
      </c>
      <c r="F1789" s="4">
        <v>200000</v>
      </c>
      <c r="G1789" s="4" t="s">
        <v>28</v>
      </c>
      <c r="H1789" s="22" t="s">
        <v>62</v>
      </c>
      <c r="I1789" s="22">
        <v>200000</v>
      </c>
      <c r="J1789" s="22"/>
      <c r="K1789" s="22">
        <f t="shared" si="21"/>
        <v>200000</v>
      </c>
      <c r="L1789" s="17"/>
      <c r="M1789" s="6" t="s">
        <v>581</v>
      </c>
      <c r="N1789" s="1" t="s">
        <v>3052</v>
      </c>
    </row>
    <row r="1790" spans="1:21" x14ac:dyDescent="0.25">
      <c r="A1790" s="10">
        <v>46136</v>
      </c>
      <c r="B1790" s="2" t="s">
        <v>3051</v>
      </c>
      <c r="C1790" s="2" t="s">
        <v>2402</v>
      </c>
      <c r="D1790" s="2" t="s">
        <v>55</v>
      </c>
      <c r="E1790" s="3" t="s">
        <v>56</v>
      </c>
      <c r="G1790" s="3" t="s">
        <v>48</v>
      </c>
      <c r="H1790" s="22" t="s">
        <v>49</v>
      </c>
      <c r="I1790" s="22"/>
      <c r="J1790" s="22">
        <f>I1789</f>
        <v>200000</v>
      </c>
      <c r="K1790" s="22">
        <f t="shared" si="21"/>
        <v>200000</v>
      </c>
      <c r="L1790" s="17"/>
    </row>
    <row r="1791" spans="1:21" ht="24" x14ac:dyDescent="0.25">
      <c r="A1791" s="10">
        <v>46136</v>
      </c>
      <c r="B1791" s="2" t="s">
        <v>3053</v>
      </c>
      <c r="C1791" s="2" t="s">
        <v>95</v>
      </c>
      <c r="D1791" s="2" t="s">
        <v>3054</v>
      </c>
      <c r="E1791" s="3" t="s">
        <v>76</v>
      </c>
      <c r="F1791" s="4">
        <v>8280</v>
      </c>
      <c r="G1791" s="4" t="s">
        <v>77</v>
      </c>
      <c r="H1791" s="22" t="s">
        <v>78</v>
      </c>
      <c r="I1791" s="22">
        <v>8280</v>
      </c>
      <c r="J1791" s="22"/>
      <c r="K1791" s="22">
        <f t="shared" si="21"/>
        <v>8280</v>
      </c>
      <c r="L1791" s="17">
        <v>8280</v>
      </c>
      <c r="M1791" s="23" t="s">
        <v>41</v>
      </c>
      <c r="N1791" s="1" t="s">
        <v>3055</v>
      </c>
    </row>
    <row r="1792" spans="1:21" x14ac:dyDescent="0.25">
      <c r="A1792" s="10">
        <v>46136</v>
      </c>
      <c r="B1792" s="2" t="s">
        <v>3053</v>
      </c>
      <c r="C1792" s="2" t="s">
        <v>95</v>
      </c>
      <c r="D1792" s="2" t="s">
        <v>3054</v>
      </c>
      <c r="E1792" s="3" t="s">
        <v>76</v>
      </c>
      <c r="G1792" s="3" t="s">
        <v>48</v>
      </c>
      <c r="H1792" s="22" t="s">
        <v>49</v>
      </c>
      <c r="I1792" s="22"/>
      <c r="J1792" s="22">
        <f>I1791</f>
        <v>8280</v>
      </c>
      <c r="K1792" s="22">
        <f t="shared" si="21"/>
        <v>8280</v>
      </c>
      <c r="L1792" s="17"/>
    </row>
    <row r="1793" spans="1:20" ht="24" x14ac:dyDescent="0.25">
      <c r="A1793" s="10">
        <v>46136</v>
      </c>
      <c r="B1793" s="2" t="s">
        <v>3056</v>
      </c>
      <c r="C1793" s="2" t="s">
        <v>95</v>
      </c>
      <c r="D1793" s="2" t="s">
        <v>2930</v>
      </c>
      <c r="E1793" s="3" t="s">
        <v>76</v>
      </c>
      <c r="F1793" s="4">
        <v>2500</v>
      </c>
      <c r="G1793" s="3" t="s">
        <v>48</v>
      </c>
      <c r="H1793" s="22" t="s">
        <v>78</v>
      </c>
      <c r="I1793" s="22">
        <v>2500</v>
      </c>
      <c r="J1793" s="22"/>
      <c r="K1793" s="22">
        <f t="shared" si="21"/>
        <v>2500</v>
      </c>
      <c r="L1793" s="17"/>
      <c r="M1793" s="6" t="s">
        <v>581</v>
      </c>
      <c r="N1793" s="1" t="s">
        <v>3057</v>
      </c>
    </row>
    <row r="1794" spans="1:20" x14ac:dyDescent="0.25">
      <c r="A1794" s="10">
        <v>46136</v>
      </c>
      <c r="B1794" s="2" t="s">
        <v>3056</v>
      </c>
      <c r="C1794" s="2" t="s">
        <v>95</v>
      </c>
      <c r="D1794" s="2" t="s">
        <v>2930</v>
      </c>
      <c r="E1794" s="3" t="s">
        <v>76</v>
      </c>
      <c r="G1794" s="3" t="s">
        <v>48</v>
      </c>
      <c r="H1794" s="22" t="s">
        <v>49</v>
      </c>
      <c r="I1794" s="22"/>
      <c r="J1794" s="22">
        <f>I1793</f>
        <v>2500</v>
      </c>
      <c r="K1794" s="22">
        <f t="shared" si="21"/>
        <v>2500</v>
      </c>
      <c r="L1794" s="17"/>
    </row>
    <row r="1795" spans="1:20" ht="24" x14ac:dyDescent="0.25">
      <c r="A1795" s="10">
        <v>46139</v>
      </c>
      <c r="B1795" s="2" t="s">
        <v>3058</v>
      </c>
      <c r="C1795" s="2" t="s">
        <v>95</v>
      </c>
      <c r="D1795" s="2" t="s">
        <v>3059</v>
      </c>
      <c r="E1795" s="3" t="s">
        <v>3060</v>
      </c>
      <c r="F1795" s="4">
        <v>1000000</v>
      </c>
      <c r="G1795" s="4" t="s">
        <v>2868</v>
      </c>
      <c r="H1795" s="22" t="s">
        <v>61</v>
      </c>
      <c r="I1795" s="22">
        <v>1000000</v>
      </c>
      <c r="J1795" s="22"/>
      <c r="K1795" s="22">
        <f t="shared" si="21"/>
        <v>1000000</v>
      </c>
      <c r="L1795" s="17">
        <v>500000</v>
      </c>
      <c r="M1795" s="58" t="s">
        <v>3061</v>
      </c>
      <c r="N1795" s="1" t="s">
        <v>3062</v>
      </c>
      <c r="O1795" s="7" t="s">
        <v>478</v>
      </c>
      <c r="P1795" s="7" t="s">
        <v>32</v>
      </c>
      <c r="Q1795" s="25" t="s">
        <v>3063</v>
      </c>
      <c r="R1795" s="7" t="s">
        <v>2455</v>
      </c>
      <c r="S1795" s="3" t="s">
        <v>145</v>
      </c>
      <c r="T1795" s="3" t="s">
        <v>324</v>
      </c>
    </row>
    <row r="1796" spans="1:20" x14ac:dyDescent="0.25">
      <c r="A1796" s="10">
        <v>46139</v>
      </c>
      <c r="B1796" s="2" t="s">
        <v>3058</v>
      </c>
      <c r="C1796" s="2" t="s">
        <v>95</v>
      </c>
      <c r="D1796" s="2" t="s">
        <v>3059</v>
      </c>
      <c r="E1796" s="3" t="s">
        <v>3060</v>
      </c>
      <c r="G1796" s="3" t="s">
        <v>48</v>
      </c>
      <c r="H1796" s="22" t="s">
        <v>49</v>
      </c>
      <c r="I1796" s="22"/>
      <c r="J1796" s="22">
        <f>I1795</f>
        <v>1000000</v>
      </c>
      <c r="K1796" s="22">
        <f t="shared" si="21"/>
        <v>1000000</v>
      </c>
      <c r="L1796" s="17"/>
    </row>
    <row r="1797" spans="1:20" ht="24" x14ac:dyDescent="0.25">
      <c r="A1797" s="10">
        <v>46139</v>
      </c>
      <c r="B1797" s="2" t="s">
        <v>3064</v>
      </c>
      <c r="C1797" s="2" t="s">
        <v>147</v>
      </c>
      <c r="D1797" s="2" t="s">
        <v>3065</v>
      </c>
      <c r="E1797" s="3" t="s">
        <v>3066</v>
      </c>
      <c r="F1797" s="4">
        <v>1000</v>
      </c>
      <c r="G1797" s="3" t="s">
        <v>2868</v>
      </c>
      <c r="H1797" s="34" t="s">
        <v>78</v>
      </c>
      <c r="I1797" s="22">
        <v>1000</v>
      </c>
      <c r="J1797" s="22"/>
      <c r="K1797" s="22">
        <f t="shared" si="21"/>
        <v>1000</v>
      </c>
      <c r="L1797" s="17">
        <v>1000</v>
      </c>
      <c r="M1797" s="23" t="s">
        <v>41</v>
      </c>
      <c r="N1797" s="1" t="s">
        <v>3067</v>
      </c>
      <c r="O1797" s="7" t="s">
        <v>2002</v>
      </c>
    </row>
    <row r="1798" spans="1:20" x14ac:dyDescent="0.25">
      <c r="A1798" s="10">
        <v>46139</v>
      </c>
      <c r="B1798" s="2" t="s">
        <v>3064</v>
      </c>
      <c r="C1798" s="2" t="s">
        <v>147</v>
      </c>
      <c r="D1798" s="2" t="s">
        <v>3065</v>
      </c>
      <c r="E1798" s="3" t="s">
        <v>3066</v>
      </c>
      <c r="G1798" s="3" t="s">
        <v>48</v>
      </c>
      <c r="H1798" s="22" t="s">
        <v>49</v>
      </c>
      <c r="I1798" s="22"/>
      <c r="J1798" s="22">
        <f>I1797</f>
        <v>1000</v>
      </c>
      <c r="K1798" s="22">
        <f t="shared" si="21"/>
        <v>1000</v>
      </c>
      <c r="L1798" s="32"/>
    </row>
    <row r="1799" spans="1:20" ht="36" x14ac:dyDescent="0.25">
      <c r="A1799" s="10">
        <v>46139</v>
      </c>
      <c r="B1799" s="2" t="s">
        <v>3068</v>
      </c>
      <c r="C1799" s="2" t="s">
        <v>95</v>
      </c>
      <c r="D1799" s="2" t="s">
        <v>3069</v>
      </c>
      <c r="E1799" s="3" t="s">
        <v>1404</v>
      </c>
      <c r="F1799" s="4">
        <v>5219.1000000000004</v>
      </c>
      <c r="G1799" s="4" t="s">
        <v>2304</v>
      </c>
      <c r="H1799" s="22" t="s">
        <v>817</v>
      </c>
      <c r="I1799" s="22"/>
      <c r="J1799" s="22"/>
      <c r="K1799" s="22">
        <f t="shared" si="21"/>
        <v>0</v>
      </c>
      <c r="L1799" s="17"/>
      <c r="M1799" s="6" t="s">
        <v>581</v>
      </c>
      <c r="N1799" s="1" t="s">
        <v>3070</v>
      </c>
    </row>
    <row r="1800" spans="1:20" ht="37.200000000000003" customHeight="1" x14ac:dyDescent="0.25">
      <c r="A1800" s="10">
        <v>46139</v>
      </c>
      <c r="B1800" s="2" t="s">
        <v>3071</v>
      </c>
      <c r="C1800" s="2" t="s">
        <v>95</v>
      </c>
      <c r="D1800" s="2" t="s">
        <v>3072</v>
      </c>
      <c r="E1800" s="3" t="s">
        <v>1404</v>
      </c>
      <c r="F1800" s="4">
        <v>3848.06</v>
      </c>
      <c r="G1800" s="4" t="s">
        <v>2866</v>
      </c>
      <c r="H1800" s="22"/>
      <c r="I1800" s="22"/>
      <c r="J1800" s="22"/>
      <c r="K1800" s="22">
        <f t="shared" si="21"/>
        <v>0</v>
      </c>
      <c r="L1800" s="17"/>
      <c r="M1800" s="6" t="s">
        <v>581</v>
      </c>
      <c r="N1800" s="44" t="s">
        <v>3073</v>
      </c>
    </row>
    <row r="1801" spans="1:20" ht="48" x14ac:dyDescent="0.25">
      <c r="A1801" s="10">
        <v>46139</v>
      </c>
      <c r="B1801" s="2" t="s">
        <v>3074</v>
      </c>
      <c r="C1801" s="2" t="s">
        <v>95</v>
      </c>
      <c r="D1801" s="2" t="s">
        <v>3075</v>
      </c>
      <c r="E1801" s="3" t="s">
        <v>1404</v>
      </c>
      <c r="F1801" s="4">
        <v>38347.050000000003</v>
      </c>
      <c r="G1801" s="4" t="s">
        <v>28</v>
      </c>
      <c r="H1801" s="22"/>
      <c r="I1801" s="22"/>
      <c r="J1801" s="22"/>
      <c r="K1801" s="22">
        <f t="shared" si="21"/>
        <v>0</v>
      </c>
      <c r="L1801" s="17"/>
      <c r="M1801" s="6" t="s">
        <v>581</v>
      </c>
      <c r="N1801" s="1" t="s">
        <v>3076</v>
      </c>
    </row>
    <row r="1802" spans="1:20" ht="24" x14ac:dyDescent="0.25">
      <c r="A1802" s="10">
        <v>46140</v>
      </c>
      <c r="B1802" s="2" t="s">
        <v>3077</v>
      </c>
      <c r="C1802" s="2" t="s">
        <v>1138</v>
      </c>
      <c r="D1802" s="2" t="s">
        <v>3078</v>
      </c>
      <c r="E1802" s="3" t="s">
        <v>833</v>
      </c>
      <c r="F1802" s="4">
        <f>2175.64-1157.34</f>
        <v>1018.3</v>
      </c>
      <c r="G1802" s="4" t="s">
        <v>1140</v>
      </c>
      <c r="H1802" s="22" t="s">
        <v>834</v>
      </c>
      <c r="I1802" s="22">
        <v>1018.3</v>
      </c>
      <c r="J1802" s="22"/>
      <c r="K1802" s="22">
        <f t="shared" si="21"/>
        <v>1018.3</v>
      </c>
      <c r="L1802" s="17"/>
      <c r="M1802" s="6" t="s">
        <v>581</v>
      </c>
      <c r="N1802" s="1" t="s">
        <v>3079</v>
      </c>
    </row>
    <row r="1803" spans="1:20" x14ac:dyDescent="0.25">
      <c r="A1803" s="10">
        <v>46140</v>
      </c>
      <c r="B1803" s="2" t="s">
        <v>3077</v>
      </c>
      <c r="C1803" s="2" t="s">
        <v>1138</v>
      </c>
      <c r="D1803" s="2" t="s">
        <v>3078</v>
      </c>
      <c r="E1803" s="3" t="s">
        <v>833</v>
      </c>
      <c r="G1803" s="4" t="s">
        <v>48</v>
      </c>
      <c r="H1803" s="22" t="s">
        <v>49</v>
      </c>
      <c r="I1803" s="22"/>
      <c r="J1803" s="22">
        <f>I1802</f>
        <v>1018.3</v>
      </c>
      <c r="K1803" s="22">
        <f t="shared" si="21"/>
        <v>1018.3</v>
      </c>
      <c r="L1803" s="17"/>
    </row>
    <row r="1804" spans="1:20" x14ac:dyDescent="0.25">
      <c r="A1804" s="10">
        <v>46140</v>
      </c>
      <c r="B1804" s="2" t="s">
        <v>3080</v>
      </c>
      <c r="C1804" s="2" t="s">
        <v>25</v>
      </c>
      <c r="E1804" s="3" t="s">
        <v>27</v>
      </c>
      <c r="F1804" s="4">
        <v>4682543.66</v>
      </c>
      <c r="G1804" s="4" t="s">
        <v>48</v>
      </c>
      <c r="H1804" s="22" t="s">
        <v>205</v>
      </c>
      <c r="I1804" s="22">
        <v>4682543.66</v>
      </c>
      <c r="J1804" s="22"/>
      <c r="K1804" s="22">
        <f t="shared" si="21"/>
        <v>4682543.66</v>
      </c>
      <c r="L1804" s="17">
        <v>4682543.66</v>
      </c>
      <c r="M1804" s="23" t="s">
        <v>41</v>
      </c>
      <c r="N1804" s="1" t="s">
        <v>3081</v>
      </c>
    </row>
    <row r="1805" spans="1:20" x14ac:dyDescent="0.25">
      <c r="A1805" s="10">
        <v>46140</v>
      </c>
      <c r="B1805" s="2" t="s">
        <v>3080</v>
      </c>
      <c r="C1805" s="2" t="s">
        <v>25</v>
      </c>
      <c r="E1805" s="3" t="s">
        <v>27</v>
      </c>
      <c r="G1805" s="4" t="s">
        <v>48</v>
      </c>
      <c r="H1805" s="22" t="s">
        <v>1894</v>
      </c>
      <c r="I1805" s="22"/>
      <c r="J1805" s="22">
        <f>I1804</f>
        <v>4682543.66</v>
      </c>
      <c r="K1805" s="22">
        <f t="shared" si="21"/>
        <v>4682543.66</v>
      </c>
      <c r="L1805" s="17"/>
      <c r="M1805" s="23"/>
    </row>
    <row r="1806" spans="1:20" ht="24" x14ac:dyDescent="0.25">
      <c r="A1806" s="10">
        <v>46140</v>
      </c>
      <c r="B1806" s="2" t="s">
        <v>3082</v>
      </c>
      <c r="C1806" s="2" t="s">
        <v>310</v>
      </c>
      <c r="E1806" s="3" t="s">
        <v>27</v>
      </c>
      <c r="F1806" s="4">
        <v>4500000</v>
      </c>
      <c r="G1806" s="4" t="s">
        <v>326</v>
      </c>
      <c r="H1806" s="22" t="s">
        <v>327</v>
      </c>
      <c r="I1806" s="22">
        <v>4500000</v>
      </c>
      <c r="J1806" s="22"/>
      <c r="K1806" s="22">
        <f t="shared" si="21"/>
        <v>4500000</v>
      </c>
      <c r="L1806" s="17">
        <v>4500000</v>
      </c>
      <c r="M1806" s="23" t="s">
        <v>41</v>
      </c>
      <c r="N1806" s="44" t="s">
        <v>3083</v>
      </c>
      <c r="O1806" s="24" t="s">
        <v>3084</v>
      </c>
      <c r="P1806" s="7" t="s">
        <v>2443</v>
      </c>
      <c r="Q1806" s="25" t="s">
        <v>3085</v>
      </c>
      <c r="R1806" s="7" t="s">
        <v>2715</v>
      </c>
      <c r="S1806" s="3" t="s">
        <v>343</v>
      </c>
      <c r="T1806" s="3" t="s">
        <v>3086</v>
      </c>
    </row>
    <row r="1807" spans="1:20" x14ac:dyDescent="0.25">
      <c r="A1807" s="10">
        <v>46140</v>
      </c>
      <c r="B1807" s="2" t="s">
        <v>3082</v>
      </c>
      <c r="C1807" s="2" t="s">
        <v>310</v>
      </c>
      <c r="E1807" s="3" t="s">
        <v>27</v>
      </c>
      <c r="G1807" s="4" t="s">
        <v>48</v>
      </c>
      <c r="H1807" s="22" t="s">
        <v>205</v>
      </c>
      <c r="I1807" s="22"/>
      <c r="J1807" s="22">
        <f>I1806</f>
        <v>4500000</v>
      </c>
      <c r="K1807" s="22">
        <f t="shared" si="21"/>
        <v>4500000</v>
      </c>
      <c r="L1807" s="17"/>
      <c r="M1807" s="23"/>
      <c r="Q1807" s="25"/>
    </row>
    <row r="1808" spans="1:20" ht="24" x14ac:dyDescent="0.25">
      <c r="A1808" s="10">
        <v>46140</v>
      </c>
      <c r="B1808" s="2" t="s">
        <v>3087</v>
      </c>
      <c r="C1808" s="2" t="s">
        <v>259</v>
      </c>
      <c r="D1808" s="2" t="s">
        <v>3088</v>
      </c>
      <c r="E1808" s="3" t="s">
        <v>498</v>
      </c>
      <c r="F1808" s="4">
        <f>180954.17-2942.35</f>
        <v>178011.82</v>
      </c>
      <c r="G1808" s="4" t="s">
        <v>48</v>
      </c>
      <c r="H1808" s="22" t="s">
        <v>973</v>
      </c>
      <c r="I1808" s="22">
        <v>180954.17</v>
      </c>
      <c r="J1808" s="22"/>
      <c r="K1808" s="22">
        <f t="shared" si="21"/>
        <v>180954.17</v>
      </c>
      <c r="L1808" s="17">
        <v>178011.82</v>
      </c>
      <c r="M1808" s="23" t="s">
        <v>41</v>
      </c>
      <c r="N1808" s="1" t="s">
        <v>3089</v>
      </c>
      <c r="O1808" s="24" t="s">
        <v>3090</v>
      </c>
      <c r="P1808" s="7" t="s">
        <v>81</v>
      </c>
      <c r="R1808" s="7" t="s">
        <v>2885</v>
      </c>
      <c r="S1808" s="3" t="s">
        <v>83</v>
      </c>
    </row>
    <row r="1809" spans="1:19" x14ac:dyDescent="0.25">
      <c r="A1809" s="10">
        <v>46140</v>
      </c>
      <c r="B1809" s="2" t="s">
        <v>3087</v>
      </c>
      <c r="C1809" s="2" t="s">
        <v>259</v>
      </c>
      <c r="D1809" s="2" t="s">
        <v>3088</v>
      </c>
      <c r="E1809" s="3" t="s">
        <v>498</v>
      </c>
      <c r="G1809" s="4" t="s">
        <v>48</v>
      </c>
      <c r="H1809" s="22" t="s">
        <v>3091</v>
      </c>
      <c r="I1809" s="22"/>
      <c r="J1809" s="22">
        <v>325</v>
      </c>
      <c r="K1809" s="22">
        <f t="shared" si="21"/>
        <v>325</v>
      </c>
      <c r="L1809" s="17"/>
    </row>
    <row r="1810" spans="1:19" x14ac:dyDescent="0.25">
      <c r="A1810" s="10">
        <v>46140</v>
      </c>
      <c r="B1810" s="2" t="s">
        <v>3087</v>
      </c>
      <c r="C1810" s="2" t="s">
        <v>259</v>
      </c>
      <c r="D1810" s="2" t="s">
        <v>3088</v>
      </c>
      <c r="E1810" s="3" t="s">
        <v>498</v>
      </c>
      <c r="G1810" s="4" t="s">
        <v>48</v>
      </c>
      <c r="H1810" s="22" t="s">
        <v>976</v>
      </c>
      <c r="I1810" s="22"/>
      <c r="J1810" s="22">
        <v>1367.35</v>
      </c>
      <c r="K1810" s="22">
        <f t="shared" si="21"/>
        <v>1367.35</v>
      </c>
      <c r="L1810" s="17"/>
    </row>
    <row r="1811" spans="1:19" x14ac:dyDescent="0.25">
      <c r="A1811" s="10">
        <v>46140</v>
      </c>
      <c r="B1811" s="2" t="s">
        <v>3087</v>
      </c>
      <c r="C1811" s="2" t="s">
        <v>259</v>
      </c>
      <c r="D1811" s="2" t="s">
        <v>3088</v>
      </c>
      <c r="E1811" s="3" t="s">
        <v>498</v>
      </c>
      <c r="G1811" s="4" t="s">
        <v>48</v>
      </c>
      <c r="H1811" s="22" t="s">
        <v>979</v>
      </c>
      <c r="I1811" s="22"/>
      <c r="J1811" s="22">
        <v>625</v>
      </c>
      <c r="K1811" s="22">
        <f t="shared" si="21"/>
        <v>625</v>
      </c>
      <c r="L1811" s="17"/>
    </row>
    <row r="1812" spans="1:19" x14ac:dyDescent="0.25">
      <c r="A1812" s="10">
        <v>46140</v>
      </c>
      <c r="B1812" s="2" t="s">
        <v>3087</v>
      </c>
      <c r="C1812" s="2" t="s">
        <v>259</v>
      </c>
      <c r="D1812" s="2" t="s">
        <v>3088</v>
      </c>
      <c r="E1812" s="3" t="s">
        <v>498</v>
      </c>
      <c r="G1812" s="4" t="s">
        <v>48</v>
      </c>
      <c r="H1812" s="22" t="s">
        <v>3092</v>
      </c>
      <c r="I1812" s="22"/>
      <c r="J1812" s="22">
        <v>625</v>
      </c>
      <c r="K1812" s="22">
        <f t="shared" si="21"/>
        <v>625</v>
      </c>
      <c r="L1812" s="17"/>
    </row>
    <row r="1813" spans="1:19" x14ac:dyDescent="0.25">
      <c r="A1813" s="10">
        <v>46140</v>
      </c>
      <c r="B1813" s="2" t="s">
        <v>3087</v>
      </c>
      <c r="C1813" s="2" t="s">
        <v>259</v>
      </c>
      <c r="D1813" s="2" t="s">
        <v>3088</v>
      </c>
      <c r="E1813" s="3" t="s">
        <v>498</v>
      </c>
      <c r="G1813" s="4" t="s">
        <v>48</v>
      </c>
      <c r="H1813" s="22" t="s">
        <v>49</v>
      </c>
      <c r="I1813" s="22"/>
      <c r="J1813" s="22">
        <f>I1808-J1809-J1810-J1811-J1812</f>
        <v>178011.82</v>
      </c>
      <c r="K1813" s="22">
        <f t="shared" si="21"/>
        <v>178011.82</v>
      </c>
      <c r="L1813" s="17"/>
    </row>
    <row r="1814" spans="1:19" x14ac:dyDescent="0.25">
      <c r="A1814" s="10">
        <v>46140</v>
      </c>
      <c r="B1814" s="2" t="s">
        <v>3093</v>
      </c>
      <c r="C1814" s="2" t="s">
        <v>259</v>
      </c>
      <c r="D1814" s="2" t="s">
        <v>3088</v>
      </c>
      <c r="E1814" s="3" t="s">
        <v>2563</v>
      </c>
      <c r="F1814" s="4">
        <f>26925+7507.49+6835.94+5250+43629.53+30973.44+15343.75+9360.16</f>
        <v>145825.31</v>
      </c>
      <c r="G1814" s="4" t="s">
        <v>262</v>
      </c>
      <c r="H1814" s="22" t="s">
        <v>263</v>
      </c>
      <c r="I1814" s="22">
        <v>26925</v>
      </c>
      <c r="J1814" s="22"/>
      <c r="K1814" s="22">
        <f t="shared" si="21"/>
        <v>26925</v>
      </c>
      <c r="L1814" s="17">
        <v>145825.31</v>
      </c>
      <c r="M1814" s="23" t="s">
        <v>41</v>
      </c>
      <c r="N1814" s="1" t="s">
        <v>3094</v>
      </c>
      <c r="O1814" s="7" t="s">
        <v>913</v>
      </c>
      <c r="P1814" s="7" t="s">
        <v>81</v>
      </c>
      <c r="R1814" s="7" t="s">
        <v>2885</v>
      </c>
      <c r="S1814" s="3" t="s">
        <v>83</v>
      </c>
    </row>
    <row r="1815" spans="1:19" x14ac:dyDescent="0.25">
      <c r="A1815" s="10">
        <v>46140</v>
      </c>
      <c r="B1815" s="2" t="s">
        <v>3093</v>
      </c>
      <c r="C1815" s="2" t="s">
        <v>259</v>
      </c>
      <c r="D1815" s="2" t="s">
        <v>3088</v>
      </c>
      <c r="E1815" s="3" t="s">
        <v>2563</v>
      </c>
      <c r="G1815" s="4" t="s">
        <v>265</v>
      </c>
      <c r="H1815" s="22" t="s">
        <v>266</v>
      </c>
      <c r="I1815" s="22">
        <v>7507.49</v>
      </c>
      <c r="J1815" s="22"/>
      <c r="K1815" s="22">
        <f t="shared" si="21"/>
        <v>7507.49</v>
      </c>
      <c r="L1815" s="17"/>
    </row>
    <row r="1816" spans="1:19" x14ac:dyDescent="0.25">
      <c r="A1816" s="10">
        <v>46140</v>
      </c>
      <c r="B1816" s="2" t="s">
        <v>3093</v>
      </c>
      <c r="C1816" s="2" t="s">
        <v>259</v>
      </c>
      <c r="D1816" s="2" t="s">
        <v>3088</v>
      </c>
      <c r="E1816" s="3" t="s">
        <v>2563</v>
      </c>
      <c r="G1816" s="4" t="s">
        <v>28</v>
      </c>
      <c r="H1816" s="22" t="s">
        <v>3095</v>
      </c>
      <c r="I1816" s="22">
        <v>6835.94</v>
      </c>
      <c r="J1816" s="22"/>
      <c r="K1816" s="22">
        <f t="shared" si="21"/>
        <v>6835.94</v>
      </c>
      <c r="L1816" s="17"/>
    </row>
    <row r="1817" spans="1:19" x14ac:dyDescent="0.25">
      <c r="A1817" s="10">
        <v>46140</v>
      </c>
      <c r="B1817" s="2" t="s">
        <v>3093</v>
      </c>
      <c r="C1817" s="2" t="s">
        <v>259</v>
      </c>
      <c r="D1817" s="2" t="s">
        <v>3088</v>
      </c>
      <c r="E1817" s="3" t="s">
        <v>2563</v>
      </c>
      <c r="G1817" s="4" t="s">
        <v>268</v>
      </c>
      <c r="H1817" s="22" t="s">
        <v>267</v>
      </c>
      <c r="I1817" s="22">
        <v>5250</v>
      </c>
      <c r="J1817" s="22"/>
      <c r="K1817" s="22">
        <f t="shared" si="21"/>
        <v>5250</v>
      </c>
      <c r="L1817" s="17"/>
    </row>
    <row r="1818" spans="1:19" x14ac:dyDescent="0.25">
      <c r="A1818" s="10">
        <v>46140</v>
      </c>
      <c r="B1818" s="2" t="s">
        <v>3093</v>
      </c>
      <c r="C1818" s="2" t="s">
        <v>259</v>
      </c>
      <c r="D1818" s="2" t="s">
        <v>3088</v>
      </c>
      <c r="E1818" s="3" t="s">
        <v>2563</v>
      </c>
      <c r="G1818" s="4" t="s">
        <v>77</v>
      </c>
      <c r="H1818" s="22" t="s">
        <v>269</v>
      </c>
      <c r="I1818" s="22">
        <v>43629.53</v>
      </c>
      <c r="J1818" s="22"/>
      <c r="K1818" s="22">
        <f t="shared" si="21"/>
        <v>43629.53</v>
      </c>
      <c r="L1818" s="17"/>
    </row>
    <row r="1819" spans="1:19" x14ac:dyDescent="0.25">
      <c r="A1819" s="10">
        <v>46140</v>
      </c>
      <c r="B1819" s="2" t="s">
        <v>3093</v>
      </c>
      <c r="C1819" s="2" t="s">
        <v>259</v>
      </c>
      <c r="D1819" s="2" t="s">
        <v>3088</v>
      </c>
      <c r="E1819" s="3" t="s">
        <v>2563</v>
      </c>
      <c r="G1819" s="4" t="s">
        <v>28</v>
      </c>
      <c r="H1819" s="22" t="s">
        <v>267</v>
      </c>
      <c r="I1819" s="22">
        <v>30973.439999999999</v>
      </c>
      <c r="J1819" s="22"/>
      <c r="K1819" s="22">
        <f t="shared" si="21"/>
        <v>30973.439999999999</v>
      </c>
      <c r="L1819" s="17"/>
    </row>
    <row r="1820" spans="1:19" x14ac:dyDescent="0.25">
      <c r="A1820" s="10">
        <v>46140</v>
      </c>
      <c r="B1820" s="2" t="s">
        <v>3093</v>
      </c>
      <c r="C1820" s="2" t="s">
        <v>259</v>
      </c>
      <c r="D1820" s="2" t="s">
        <v>3088</v>
      </c>
      <c r="E1820" s="3" t="s">
        <v>2563</v>
      </c>
      <c r="G1820" s="4" t="s">
        <v>28</v>
      </c>
      <c r="H1820" s="22" t="s">
        <v>270</v>
      </c>
      <c r="I1820" s="22">
        <f>15343.75/2</f>
        <v>7671.875</v>
      </c>
      <c r="J1820" s="22"/>
      <c r="K1820" s="22">
        <f t="shared" si="21"/>
        <v>7671.875</v>
      </c>
      <c r="L1820" s="17"/>
    </row>
    <row r="1821" spans="1:19" x14ac:dyDescent="0.25">
      <c r="A1821" s="10">
        <v>46140</v>
      </c>
      <c r="B1821" s="2" t="s">
        <v>3093</v>
      </c>
      <c r="C1821" s="2" t="s">
        <v>259</v>
      </c>
      <c r="D1821" s="2" t="s">
        <v>3088</v>
      </c>
      <c r="E1821" s="3" t="s">
        <v>2563</v>
      </c>
      <c r="G1821" s="4" t="s">
        <v>268</v>
      </c>
      <c r="H1821" s="22" t="s">
        <v>270</v>
      </c>
      <c r="I1821" s="22">
        <f>15343.75/2</f>
        <v>7671.875</v>
      </c>
      <c r="J1821" s="22"/>
      <c r="K1821" s="22">
        <f t="shared" si="21"/>
        <v>7671.875</v>
      </c>
      <c r="L1821" s="17"/>
    </row>
    <row r="1822" spans="1:19" x14ac:dyDescent="0.25">
      <c r="A1822" s="10">
        <v>46140</v>
      </c>
      <c r="B1822" s="2" t="s">
        <v>3093</v>
      </c>
      <c r="C1822" s="2" t="s">
        <v>259</v>
      </c>
      <c r="D1822" s="2" t="s">
        <v>3088</v>
      </c>
      <c r="E1822" s="3" t="s">
        <v>2563</v>
      </c>
      <c r="G1822" s="4" t="s">
        <v>28</v>
      </c>
      <c r="H1822" s="22" t="s">
        <v>271</v>
      </c>
      <c r="I1822" s="22">
        <v>9360.16</v>
      </c>
      <c r="J1822" s="22"/>
      <c r="K1822" s="22">
        <f t="shared" si="21"/>
        <v>9360.16</v>
      </c>
      <c r="L1822" s="17"/>
    </row>
    <row r="1823" spans="1:19" x14ac:dyDescent="0.25">
      <c r="A1823" s="10">
        <v>46140</v>
      </c>
      <c r="B1823" s="2" t="s">
        <v>3093</v>
      </c>
      <c r="C1823" s="2" t="s">
        <v>259</v>
      </c>
      <c r="D1823" s="2" t="s">
        <v>3088</v>
      </c>
      <c r="E1823" s="3" t="s">
        <v>2563</v>
      </c>
      <c r="G1823" s="4" t="s">
        <v>48</v>
      </c>
      <c r="H1823" s="22" t="s">
        <v>49</v>
      </c>
      <c r="I1823" s="22"/>
      <c r="J1823" s="22">
        <f>SUM(I1814:I1822)</f>
        <v>145825.31</v>
      </c>
      <c r="K1823" s="22">
        <f t="shared" si="21"/>
        <v>145825.31</v>
      </c>
      <c r="L1823" s="17"/>
    </row>
    <row r="1824" spans="1:19" x14ac:dyDescent="0.25">
      <c r="A1824" s="10">
        <v>46140</v>
      </c>
      <c r="B1824" s="2" t="s">
        <v>3096</v>
      </c>
      <c r="C1824" s="2" t="s">
        <v>259</v>
      </c>
      <c r="D1824" s="2" t="s">
        <v>3088</v>
      </c>
      <c r="E1824" s="3" t="s">
        <v>2563</v>
      </c>
      <c r="F1824" s="4">
        <v>65665.63</v>
      </c>
      <c r="G1824" s="4" t="s">
        <v>128</v>
      </c>
      <c r="H1824" s="22" t="s">
        <v>3097</v>
      </c>
      <c r="I1824" s="22">
        <v>65665.63</v>
      </c>
      <c r="J1824" s="22"/>
      <c r="K1824" s="22">
        <f t="shared" si="21"/>
        <v>65665.63</v>
      </c>
      <c r="L1824" s="17">
        <v>65665.63</v>
      </c>
      <c r="M1824" s="23" t="s">
        <v>41</v>
      </c>
      <c r="N1824" s="1" t="s">
        <v>3098</v>
      </c>
      <c r="O1824" s="7" t="s">
        <v>913</v>
      </c>
      <c r="P1824" s="7" t="s">
        <v>81</v>
      </c>
      <c r="R1824" s="7" t="s">
        <v>2885</v>
      </c>
      <c r="S1824" s="3" t="s">
        <v>83</v>
      </c>
    </row>
    <row r="1825" spans="1:19" x14ac:dyDescent="0.25">
      <c r="A1825" s="10">
        <v>46140</v>
      </c>
      <c r="B1825" s="2" t="s">
        <v>3096</v>
      </c>
      <c r="C1825" s="2" t="s">
        <v>259</v>
      </c>
      <c r="D1825" s="2" t="s">
        <v>3088</v>
      </c>
      <c r="E1825" s="3" t="s">
        <v>2563</v>
      </c>
      <c r="G1825" s="4" t="s">
        <v>48</v>
      </c>
      <c r="H1825" s="22" t="s">
        <v>49</v>
      </c>
      <c r="I1825" s="22"/>
      <c r="J1825" s="22">
        <f>I1824</f>
        <v>65665.63</v>
      </c>
      <c r="K1825" s="22">
        <f t="shared" si="21"/>
        <v>65665.63</v>
      </c>
      <c r="L1825" s="17"/>
    </row>
    <row r="1826" spans="1:19" ht="24" x14ac:dyDescent="0.25">
      <c r="A1826" s="10">
        <v>46140</v>
      </c>
      <c r="B1826" s="2" t="s">
        <v>3099</v>
      </c>
      <c r="C1826" s="2" t="s">
        <v>259</v>
      </c>
      <c r="D1826" s="2" t="s">
        <v>3088</v>
      </c>
      <c r="E1826" s="3" t="s">
        <v>2563</v>
      </c>
      <c r="F1826" s="4">
        <f>35015.626+42502.965+79708.539</f>
        <v>157227.13</v>
      </c>
      <c r="G1826" s="4" t="s">
        <v>326</v>
      </c>
      <c r="H1826" s="22" t="s">
        <v>3100</v>
      </c>
      <c r="I1826" s="22">
        <v>35015.625999999997</v>
      </c>
      <c r="J1826" s="22"/>
      <c r="K1826" s="22">
        <f t="shared" si="21"/>
        <v>35015.625999999997</v>
      </c>
      <c r="L1826" s="17">
        <f>157227.13+50</f>
        <v>157277.13</v>
      </c>
      <c r="M1826" s="23" t="s">
        <v>41</v>
      </c>
      <c r="N1826" s="1" t="s">
        <v>3101</v>
      </c>
      <c r="O1826" s="24" t="s">
        <v>3102</v>
      </c>
      <c r="P1826" s="7" t="s">
        <v>81</v>
      </c>
      <c r="R1826" s="7" t="s">
        <v>2885</v>
      </c>
      <c r="S1826" s="3" t="s">
        <v>83</v>
      </c>
    </row>
    <row r="1827" spans="1:19" x14ac:dyDescent="0.25">
      <c r="A1827" s="10">
        <v>46140</v>
      </c>
      <c r="B1827" s="2" t="s">
        <v>3099</v>
      </c>
      <c r="C1827" s="2" t="s">
        <v>259</v>
      </c>
      <c r="D1827" s="2" t="s">
        <v>3088</v>
      </c>
      <c r="E1827" s="3" t="s">
        <v>2563</v>
      </c>
      <c r="G1827" s="4" t="s">
        <v>326</v>
      </c>
      <c r="H1827" s="22" t="s">
        <v>3103</v>
      </c>
      <c r="I1827" s="22">
        <v>42502.964999999997</v>
      </c>
      <c r="J1827" s="22"/>
      <c r="K1827" s="22">
        <f t="shared" si="21"/>
        <v>42502.964999999997</v>
      </c>
      <c r="L1827" s="17"/>
    </row>
    <row r="1828" spans="1:19" x14ac:dyDescent="0.25">
      <c r="A1828" s="10">
        <v>46140</v>
      </c>
      <c r="B1828" s="2" t="s">
        <v>3099</v>
      </c>
      <c r="C1828" s="2" t="s">
        <v>259</v>
      </c>
      <c r="D1828" s="2" t="s">
        <v>3088</v>
      </c>
      <c r="E1828" s="3" t="s">
        <v>2563</v>
      </c>
      <c r="G1828" s="4" t="s">
        <v>326</v>
      </c>
      <c r="H1828" s="22" t="s">
        <v>3104</v>
      </c>
      <c r="I1828" s="22">
        <v>79708.539999999994</v>
      </c>
      <c r="J1828" s="22"/>
      <c r="K1828" s="22">
        <f t="shared" si="21"/>
        <v>79708.539999999994</v>
      </c>
      <c r="L1828" s="17"/>
    </row>
    <row r="1829" spans="1:19" x14ac:dyDescent="0.25">
      <c r="A1829" s="10">
        <v>46140</v>
      </c>
      <c r="B1829" s="2" t="s">
        <v>3099</v>
      </c>
      <c r="C1829" s="2" t="s">
        <v>259</v>
      </c>
      <c r="D1829" s="2" t="s">
        <v>3088</v>
      </c>
      <c r="E1829" s="3" t="s">
        <v>2563</v>
      </c>
      <c r="G1829" s="4" t="s">
        <v>48</v>
      </c>
      <c r="H1829" s="22" t="s">
        <v>49</v>
      </c>
      <c r="I1829" s="22"/>
      <c r="J1829" s="22">
        <f>I1826+I1827+I1828</f>
        <v>157227.13099999999</v>
      </c>
      <c r="K1829" s="22">
        <f t="shared" si="21"/>
        <v>157227.13099999999</v>
      </c>
      <c r="L1829" s="17"/>
    </row>
    <row r="1830" spans="1:19" ht="24" x14ac:dyDescent="0.25">
      <c r="A1830" s="10">
        <v>46140</v>
      </c>
      <c r="B1830" s="2" t="s">
        <v>3105</v>
      </c>
      <c r="C1830" s="2" t="s">
        <v>259</v>
      </c>
      <c r="D1830" s="31" t="s">
        <v>3106</v>
      </c>
      <c r="E1830" s="3" t="s">
        <v>614</v>
      </c>
      <c r="F1830" s="4">
        <v>459552.71</v>
      </c>
      <c r="G1830" s="4" t="s">
        <v>167</v>
      </c>
      <c r="H1830" s="22" t="s">
        <v>973</v>
      </c>
      <c r="I1830" s="22">
        <v>459552.71</v>
      </c>
      <c r="J1830" s="22"/>
      <c r="K1830" s="22">
        <f t="shared" si="21"/>
        <v>459552.71</v>
      </c>
      <c r="L1830" s="17">
        <v>459552.71</v>
      </c>
      <c r="M1830" s="23" t="s">
        <v>41</v>
      </c>
      <c r="N1830" s="1" t="s">
        <v>3107</v>
      </c>
      <c r="O1830" s="59" t="s">
        <v>3090</v>
      </c>
      <c r="P1830" s="50" t="s">
        <v>81</v>
      </c>
      <c r="R1830" s="7" t="s">
        <v>2885</v>
      </c>
      <c r="S1830" s="3" t="s">
        <v>83</v>
      </c>
    </row>
    <row r="1831" spans="1:19" x14ac:dyDescent="0.25">
      <c r="A1831" s="10">
        <v>46140</v>
      </c>
      <c r="B1831" s="2" t="s">
        <v>3105</v>
      </c>
      <c r="C1831" s="2" t="s">
        <v>259</v>
      </c>
      <c r="D1831" s="31" t="s">
        <v>3106</v>
      </c>
      <c r="E1831" s="3" t="s">
        <v>614</v>
      </c>
      <c r="G1831" s="4" t="s">
        <v>48</v>
      </c>
      <c r="H1831" s="22" t="s">
        <v>49</v>
      </c>
      <c r="I1831" s="22"/>
      <c r="J1831" s="22">
        <f>I1830</f>
        <v>459552.71</v>
      </c>
      <c r="K1831" s="22">
        <f t="shared" si="21"/>
        <v>459552.71</v>
      </c>
      <c r="L1831" s="17"/>
      <c r="O1831" s="50"/>
      <c r="P1831" s="50"/>
    </row>
    <row r="1832" spans="1:19" x14ac:dyDescent="0.25">
      <c r="A1832" s="10">
        <v>46140</v>
      </c>
      <c r="B1832" s="2" t="s">
        <v>3108</v>
      </c>
      <c r="C1832" s="2" t="s">
        <v>506</v>
      </c>
      <c r="D1832" s="2" t="s">
        <v>3109</v>
      </c>
      <c r="E1832" s="3" t="s">
        <v>398</v>
      </c>
      <c r="F1832" s="4">
        <v>50000</v>
      </c>
      <c r="G1832" s="4" t="s">
        <v>262</v>
      </c>
      <c r="H1832" s="22" t="s">
        <v>168</v>
      </c>
      <c r="I1832" s="22">
        <v>50000</v>
      </c>
      <c r="J1832" s="22"/>
      <c r="K1832" s="22">
        <f t="shared" si="21"/>
        <v>50000</v>
      </c>
      <c r="L1832" s="17">
        <v>50000</v>
      </c>
      <c r="M1832" s="23" t="s">
        <v>41</v>
      </c>
      <c r="N1832" s="1" t="s">
        <v>3110</v>
      </c>
      <c r="O1832" s="50" t="s">
        <v>3111</v>
      </c>
      <c r="P1832" s="50" t="s">
        <v>81</v>
      </c>
      <c r="Q1832" s="25"/>
      <c r="R1832" s="7" t="s">
        <v>2885</v>
      </c>
      <c r="S1832" s="3" t="s">
        <v>83</v>
      </c>
    </row>
    <row r="1833" spans="1:19" x14ac:dyDescent="0.25">
      <c r="A1833" s="10">
        <v>46140</v>
      </c>
      <c r="B1833" s="2" t="s">
        <v>3108</v>
      </c>
      <c r="C1833" s="2" t="s">
        <v>506</v>
      </c>
      <c r="D1833" s="2" t="s">
        <v>3109</v>
      </c>
      <c r="E1833" s="3" t="s">
        <v>398</v>
      </c>
      <c r="G1833" s="4" t="s">
        <v>48</v>
      </c>
      <c r="H1833" s="22" t="s">
        <v>49</v>
      </c>
      <c r="I1833" s="22"/>
      <c r="J1833" s="22">
        <f>I1832</f>
        <v>50000</v>
      </c>
      <c r="K1833" s="22">
        <f t="shared" si="21"/>
        <v>50000</v>
      </c>
      <c r="L1833" s="17"/>
      <c r="M1833" s="26"/>
      <c r="O1833" s="50"/>
      <c r="P1833" s="50"/>
      <c r="Q1833" s="25"/>
    </row>
    <row r="1834" spans="1:19" ht="24" x14ac:dyDescent="0.25">
      <c r="A1834" s="10">
        <v>46140</v>
      </c>
      <c r="B1834" s="2" t="s">
        <v>3112</v>
      </c>
      <c r="C1834" s="2" t="s">
        <v>376</v>
      </c>
      <c r="D1834" s="31" t="s">
        <v>3106</v>
      </c>
      <c r="E1834" s="3" t="s">
        <v>1103</v>
      </c>
      <c r="F1834" s="4">
        <v>50000</v>
      </c>
      <c r="G1834" s="4" t="s">
        <v>48</v>
      </c>
      <c r="H1834" s="22" t="s">
        <v>379</v>
      </c>
      <c r="I1834" s="22">
        <v>50000</v>
      </c>
      <c r="J1834" s="22"/>
      <c r="K1834" s="22">
        <f t="shared" si="21"/>
        <v>50000</v>
      </c>
      <c r="L1834" s="17"/>
      <c r="M1834" s="26" t="s">
        <v>581</v>
      </c>
      <c r="N1834" s="1" t="s">
        <v>3113</v>
      </c>
    </row>
    <row r="1835" spans="1:19" x14ac:dyDescent="0.25">
      <c r="A1835" s="10">
        <v>46140</v>
      </c>
      <c r="B1835" s="2" t="s">
        <v>3112</v>
      </c>
      <c r="C1835" s="2" t="s">
        <v>376</v>
      </c>
      <c r="D1835" s="31" t="s">
        <v>3106</v>
      </c>
      <c r="E1835" s="3" t="s">
        <v>1103</v>
      </c>
      <c r="G1835" s="4" t="s">
        <v>48</v>
      </c>
      <c r="H1835" s="22" t="s">
        <v>49</v>
      </c>
      <c r="I1835" s="22"/>
      <c r="J1835" s="22">
        <f>I1834</f>
        <v>50000</v>
      </c>
      <c r="K1835" s="22">
        <f t="shared" si="21"/>
        <v>50000</v>
      </c>
      <c r="L1835" s="17"/>
      <c r="M1835" s="26"/>
    </row>
    <row r="1836" spans="1:19" ht="24" x14ac:dyDescent="0.25">
      <c r="A1836" s="10">
        <v>46140</v>
      </c>
      <c r="B1836" s="2" t="s">
        <v>3114</v>
      </c>
      <c r="C1836" s="2" t="s">
        <v>376</v>
      </c>
      <c r="D1836" s="31" t="s">
        <v>3106</v>
      </c>
      <c r="E1836" s="3" t="s">
        <v>1881</v>
      </c>
      <c r="F1836" s="4">
        <v>30000</v>
      </c>
      <c r="G1836" s="4" t="s">
        <v>48</v>
      </c>
      <c r="H1836" s="22" t="s">
        <v>379</v>
      </c>
      <c r="I1836" s="22">
        <v>30000</v>
      </c>
      <c r="J1836" s="22"/>
      <c r="K1836" s="22">
        <f t="shared" si="21"/>
        <v>30000</v>
      </c>
      <c r="L1836" s="17"/>
      <c r="M1836" s="23" t="s">
        <v>41</v>
      </c>
      <c r="N1836" s="1" t="s">
        <v>3115</v>
      </c>
    </row>
    <row r="1837" spans="1:19" x14ac:dyDescent="0.25">
      <c r="A1837" s="10">
        <v>46140</v>
      </c>
      <c r="B1837" s="2" t="s">
        <v>3114</v>
      </c>
      <c r="C1837" s="2" t="s">
        <v>376</v>
      </c>
      <c r="D1837" s="31" t="s">
        <v>3106</v>
      </c>
      <c r="E1837" s="3" t="s">
        <v>1881</v>
      </c>
      <c r="G1837" s="4" t="s">
        <v>48</v>
      </c>
      <c r="H1837" s="22" t="s">
        <v>49</v>
      </c>
      <c r="I1837" s="22"/>
      <c r="J1837" s="22">
        <f>I1836</f>
        <v>30000</v>
      </c>
      <c r="K1837" s="22">
        <f t="shared" si="21"/>
        <v>30000</v>
      </c>
      <c r="L1837" s="17"/>
      <c r="M1837" s="26"/>
    </row>
    <row r="1838" spans="1:19" ht="24" x14ac:dyDescent="0.25">
      <c r="A1838" s="10">
        <v>46140</v>
      </c>
      <c r="B1838" s="2" t="s">
        <v>3116</v>
      </c>
      <c r="C1838" s="2" t="s">
        <v>376</v>
      </c>
      <c r="D1838" s="31" t="s">
        <v>3106</v>
      </c>
      <c r="E1838" s="3" t="s">
        <v>2577</v>
      </c>
      <c r="F1838" s="4">
        <v>30000</v>
      </c>
      <c r="G1838" s="4" t="s">
        <v>48</v>
      </c>
      <c r="H1838" s="22" t="s">
        <v>379</v>
      </c>
      <c r="I1838" s="22">
        <v>30000</v>
      </c>
      <c r="J1838" s="22"/>
      <c r="K1838" s="22">
        <f t="shared" si="21"/>
        <v>30000</v>
      </c>
      <c r="L1838" s="17"/>
      <c r="M1838" s="23" t="s">
        <v>41</v>
      </c>
      <c r="N1838" s="1" t="s">
        <v>3117</v>
      </c>
    </row>
    <row r="1839" spans="1:19" x14ac:dyDescent="0.25">
      <c r="A1839" s="10">
        <v>46140</v>
      </c>
      <c r="B1839" s="2" t="s">
        <v>3116</v>
      </c>
      <c r="C1839" s="2" t="s">
        <v>376</v>
      </c>
      <c r="D1839" s="31" t="s">
        <v>3106</v>
      </c>
      <c r="E1839" s="3" t="s">
        <v>2577</v>
      </c>
      <c r="G1839" s="4" t="s">
        <v>48</v>
      </c>
      <c r="H1839" s="22" t="s">
        <v>49</v>
      </c>
      <c r="I1839" s="22"/>
      <c r="J1839" s="22">
        <f>I1838</f>
        <v>30000</v>
      </c>
      <c r="K1839" s="22">
        <f t="shared" si="21"/>
        <v>30000</v>
      </c>
      <c r="L1839" s="17"/>
      <c r="M1839" s="26"/>
    </row>
    <row r="1840" spans="1:19" ht="24" x14ac:dyDescent="0.25">
      <c r="A1840" s="10">
        <v>46140</v>
      </c>
      <c r="B1840" s="2" t="s">
        <v>3118</v>
      </c>
      <c r="C1840" s="2" t="s">
        <v>376</v>
      </c>
      <c r="D1840" s="31" t="s">
        <v>3106</v>
      </c>
      <c r="E1840" s="3" t="s">
        <v>387</v>
      </c>
      <c r="F1840" s="4">
        <v>5600</v>
      </c>
      <c r="G1840" s="4" t="s">
        <v>48</v>
      </c>
      <c r="H1840" s="22" t="s">
        <v>379</v>
      </c>
      <c r="I1840" s="22">
        <v>5600</v>
      </c>
      <c r="J1840" s="22"/>
      <c r="K1840" s="22">
        <f t="shared" si="21"/>
        <v>5600</v>
      </c>
      <c r="L1840" s="17"/>
      <c r="M1840" s="23" t="s">
        <v>41</v>
      </c>
      <c r="N1840" s="1" t="s">
        <v>3119</v>
      </c>
    </row>
    <row r="1841" spans="1:21" x14ac:dyDescent="0.25">
      <c r="A1841" s="10">
        <v>46140</v>
      </c>
      <c r="B1841" s="2" t="s">
        <v>3118</v>
      </c>
      <c r="C1841" s="2" t="s">
        <v>376</v>
      </c>
      <c r="D1841" s="31" t="s">
        <v>3106</v>
      </c>
      <c r="E1841" s="3" t="s">
        <v>387</v>
      </c>
      <c r="G1841" s="4" t="s">
        <v>48</v>
      </c>
      <c r="H1841" s="22" t="s">
        <v>49</v>
      </c>
      <c r="I1841" s="22"/>
      <c r="J1841" s="22">
        <f>I1840</f>
        <v>5600</v>
      </c>
      <c r="K1841" s="22">
        <f t="shared" si="21"/>
        <v>5600</v>
      </c>
      <c r="L1841" s="17"/>
      <c r="M1841" s="26"/>
    </row>
    <row r="1842" spans="1:21" ht="24" x14ac:dyDescent="0.25">
      <c r="A1842" s="10">
        <v>46140</v>
      </c>
      <c r="B1842" s="2" t="s">
        <v>3120</v>
      </c>
      <c r="C1842" s="2" t="s">
        <v>376</v>
      </c>
      <c r="D1842" s="31" t="s">
        <v>3106</v>
      </c>
      <c r="E1842" s="3" t="s">
        <v>387</v>
      </c>
      <c r="F1842" s="4">
        <v>5600</v>
      </c>
      <c r="G1842" s="4" t="s">
        <v>392</v>
      </c>
      <c r="H1842" s="22" t="s">
        <v>379</v>
      </c>
      <c r="I1842" s="22">
        <v>5600</v>
      </c>
      <c r="J1842" s="22"/>
      <c r="K1842" s="22">
        <f t="shared" si="21"/>
        <v>5600</v>
      </c>
      <c r="L1842" s="17"/>
      <c r="M1842" s="23" t="s">
        <v>41</v>
      </c>
      <c r="N1842" s="1" t="s">
        <v>3121</v>
      </c>
    </row>
    <row r="1843" spans="1:21" x14ac:dyDescent="0.25">
      <c r="A1843" s="10">
        <v>46140</v>
      </c>
      <c r="B1843" s="2" t="s">
        <v>3120</v>
      </c>
      <c r="C1843" s="2" t="s">
        <v>376</v>
      </c>
      <c r="D1843" s="31" t="s">
        <v>3106</v>
      </c>
      <c r="E1843" s="3" t="s">
        <v>387</v>
      </c>
      <c r="G1843" s="4" t="s">
        <v>48</v>
      </c>
      <c r="H1843" s="22" t="s">
        <v>49</v>
      </c>
      <c r="I1843" s="22"/>
      <c r="J1843" s="22">
        <f>I1842</f>
        <v>5600</v>
      </c>
      <c r="K1843" s="22">
        <f t="shared" si="21"/>
        <v>5600</v>
      </c>
      <c r="L1843" s="17"/>
      <c r="M1843" s="26"/>
    </row>
    <row r="1844" spans="1:21" ht="24" x14ac:dyDescent="0.25">
      <c r="A1844" s="10">
        <v>46140</v>
      </c>
      <c r="B1844" s="2" t="s">
        <v>3122</v>
      </c>
      <c r="C1844" s="2" t="s">
        <v>376</v>
      </c>
      <c r="D1844" s="31" t="s">
        <v>3106</v>
      </c>
      <c r="E1844" s="3" t="s">
        <v>387</v>
      </c>
      <c r="F1844" s="4">
        <v>5376</v>
      </c>
      <c r="G1844" s="4" t="s">
        <v>3123</v>
      </c>
      <c r="H1844" s="22" t="s">
        <v>379</v>
      </c>
      <c r="I1844" s="22">
        <v>5376</v>
      </c>
      <c r="J1844" s="22"/>
      <c r="K1844" s="22">
        <f t="shared" si="21"/>
        <v>5376</v>
      </c>
      <c r="L1844" s="17"/>
      <c r="M1844" s="23" t="s">
        <v>41</v>
      </c>
      <c r="N1844" s="1" t="s">
        <v>3124</v>
      </c>
    </row>
    <row r="1845" spans="1:21" x14ac:dyDescent="0.25">
      <c r="A1845" s="10">
        <v>46140</v>
      </c>
      <c r="B1845" s="2" t="s">
        <v>3122</v>
      </c>
      <c r="C1845" s="2" t="s">
        <v>376</v>
      </c>
      <c r="D1845" s="31" t="s">
        <v>3106</v>
      </c>
      <c r="E1845" s="3" t="s">
        <v>387</v>
      </c>
      <c r="G1845" s="4" t="s">
        <v>48</v>
      </c>
      <c r="H1845" s="22" t="s">
        <v>49</v>
      </c>
      <c r="I1845" s="22"/>
      <c r="J1845" s="22">
        <f>I1844</f>
        <v>5376</v>
      </c>
      <c r="K1845" s="22">
        <f t="shared" si="21"/>
        <v>5376</v>
      </c>
      <c r="L1845" s="17"/>
      <c r="M1845" s="26"/>
    </row>
    <row r="1846" spans="1:21" ht="24" x14ac:dyDescent="0.25">
      <c r="A1846" s="10">
        <v>46140</v>
      </c>
      <c r="B1846" s="2" t="s">
        <v>3125</v>
      </c>
      <c r="C1846" s="2" t="s">
        <v>376</v>
      </c>
      <c r="D1846" s="31" t="s">
        <v>3106</v>
      </c>
      <c r="E1846" s="3" t="s">
        <v>377</v>
      </c>
      <c r="F1846" s="4">
        <v>5000</v>
      </c>
      <c r="G1846" s="4" t="s">
        <v>378</v>
      </c>
      <c r="H1846" s="22" t="s">
        <v>379</v>
      </c>
      <c r="I1846" s="22">
        <v>5000</v>
      </c>
      <c r="J1846" s="22"/>
      <c r="K1846" s="22">
        <f t="shared" si="21"/>
        <v>5000</v>
      </c>
      <c r="L1846" s="17"/>
      <c r="M1846" s="23" t="s">
        <v>41</v>
      </c>
      <c r="N1846" s="1" t="s">
        <v>3126</v>
      </c>
    </row>
    <row r="1847" spans="1:21" x14ac:dyDescent="0.25">
      <c r="A1847" s="10">
        <v>46140</v>
      </c>
      <c r="B1847" s="2" t="s">
        <v>3125</v>
      </c>
      <c r="C1847" s="2" t="s">
        <v>376</v>
      </c>
      <c r="D1847" s="31" t="s">
        <v>3106</v>
      </c>
      <c r="E1847" s="3" t="s">
        <v>377</v>
      </c>
      <c r="G1847" s="4" t="s">
        <v>48</v>
      </c>
      <c r="H1847" s="22" t="s">
        <v>49</v>
      </c>
      <c r="I1847" s="22"/>
      <c r="J1847" s="22">
        <f>I1846</f>
        <v>5000</v>
      </c>
      <c r="K1847" s="22">
        <f t="shared" si="21"/>
        <v>5000</v>
      </c>
      <c r="L1847" s="17"/>
      <c r="M1847" s="26"/>
    </row>
    <row r="1848" spans="1:21" ht="24" x14ac:dyDescent="0.25">
      <c r="A1848" s="10">
        <v>46140</v>
      </c>
      <c r="B1848" s="2" t="s">
        <v>3127</v>
      </c>
      <c r="C1848" s="2" t="s">
        <v>376</v>
      </c>
      <c r="D1848" s="31" t="s">
        <v>3106</v>
      </c>
      <c r="E1848" s="3" t="s">
        <v>377</v>
      </c>
      <c r="F1848" s="4">
        <v>5000</v>
      </c>
      <c r="G1848" s="4" t="s">
        <v>383</v>
      </c>
      <c r="H1848" s="22" t="s">
        <v>379</v>
      </c>
      <c r="I1848" s="22">
        <v>5000</v>
      </c>
      <c r="J1848" s="22"/>
      <c r="K1848" s="22">
        <f t="shared" si="21"/>
        <v>5000</v>
      </c>
      <c r="L1848" s="17"/>
      <c r="M1848" s="23" t="s">
        <v>41</v>
      </c>
      <c r="N1848" s="1" t="s">
        <v>3128</v>
      </c>
    </row>
    <row r="1849" spans="1:21" x14ac:dyDescent="0.25">
      <c r="A1849" s="10">
        <v>46140</v>
      </c>
      <c r="B1849" s="2" t="s">
        <v>3127</v>
      </c>
      <c r="C1849" s="2" t="s">
        <v>376</v>
      </c>
      <c r="D1849" s="31" t="s">
        <v>3106</v>
      </c>
      <c r="E1849" s="3" t="s">
        <v>377</v>
      </c>
      <c r="G1849" s="4" t="s">
        <v>48</v>
      </c>
      <c r="H1849" s="22" t="s">
        <v>49</v>
      </c>
      <c r="I1849" s="22"/>
      <c r="J1849" s="22">
        <f>I1848</f>
        <v>5000</v>
      </c>
      <c r="K1849" s="22">
        <f t="shared" si="21"/>
        <v>5000</v>
      </c>
      <c r="L1849" s="17"/>
      <c r="M1849" s="26"/>
    </row>
    <row r="1850" spans="1:21" x14ac:dyDescent="0.25">
      <c r="A1850" s="10">
        <v>46140</v>
      </c>
      <c r="B1850" s="2" t="s">
        <v>3129</v>
      </c>
      <c r="C1850" s="2" t="s">
        <v>376</v>
      </c>
      <c r="D1850" s="31" t="s">
        <v>3106</v>
      </c>
      <c r="E1850" s="3" t="s">
        <v>1891</v>
      </c>
      <c r="F1850" s="4">
        <v>15000</v>
      </c>
      <c r="G1850" s="4" t="s">
        <v>48</v>
      </c>
      <c r="H1850" s="22" t="s">
        <v>379</v>
      </c>
      <c r="I1850" s="22">
        <v>15000</v>
      </c>
      <c r="J1850" s="22"/>
      <c r="K1850" s="22">
        <f t="shared" si="21"/>
        <v>15000</v>
      </c>
      <c r="L1850" s="17"/>
      <c r="M1850" s="23" t="s">
        <v>41</v>
      </c>
      <c r="N1850" s="1" t="s">
        <v>3130</v>
      </c>
    </row>
    <row r="1851" spans="1:21" x14ac:dyDescent="0.25">
      <c r="A1851" s="10">
        <v>46140</v>
      </c>
      <c r="B1851" s="2" t="s">
        <v>3129</v>
      </c>
      <c r="C1851" s="2" t="s">
        <v>376</v>
      </c>
      <c r="D1851" s="31" t="s">
        <v>3106</v>
      </c>
      <c r="E1851" s="3" t="s">
        <v>1891</v>
      </c>
      <c r="G1851" s="4" t="s">
        <v>48</v>
      </c>
      <c r="H1851" s="22" t="s">
        <v>49</v>
      </c>
      <c r="I1851" s="22"/>
      <c r="J1851" s="22">
        <f>I1850</f>
        <v>15000</v>
      </c>
      <c r="K1851" s="22">
        <f t="shared" si="21"/>
        <v>15000</v>
      </c>
      <c r="L1851" s="17"/>
      <c r="M1851" s="26"/>
    </row>
    <row r="1852" spans="1:21" ht="24" x14ac:dyDescent="0.25">
      <c r="A1852" s="10">
        <v>46140</v>
      </c>
      <c r="B1852" s="2" t="s">
        <v>3131</v>
      </c>
      <c r="D1852" s="31" t="s">
        <v>2859</v>
      </c>
      <c r="E1852" s="3" t="s">
        <v>1109</v>
      </c>
      <c r="F1852" s="4">
        <f>8000+125</f>
        <v>8125</v>
      </c>
      <c r="G1852" s="4" t="s">
        <v>1110</v>
      </c>
      <c r="H1852" s="22" t="s">
        <v>973</v>
      </c>
      <c r="I1852" s="22">
        <v>8000</v>
      </c>
      <c r="J1852" s="22"/>
      <c r="K1852" s="22">
        <f t="shared" si="21"/>
        <v>8000</v>
      </c>
      <c r="L1852" s="17">
        <v>8125</v>
      </c>
      <c r="M1852" s="23" t="s">
        <v>41</v>
      </c>
      <c r="N1852" s="1" t="s">
        <v>3132</v>
      </c>
      <c r="O1852" s="24" t="s">
        <v>3133</v>
      </c>
      <c r="P1852" s="7" t="s">
        <v>81</v>
      </c>
      <c r="R1852" s="7" t="s">
        <v>2455</v>
      </c>
      <c r="S1852" s="3" t="s">
        <v>83</v>
      </c>
      <c r="U1852" s="8" t="s">
        <v>3134</v>
      </c>
    </row>
    <row r="1853" spans="1:21" x14ac:dyDescent="0.25">
      <c r="A1853" s="10">
        <v>46140</v>
      </c>
      <c r="B1853" s="2" t="s">
        <v>3131</v>
      </c>
      <c r="D1853" s="31" t="s">
        <v>2859</v>
      </c>
      <c r="E1853" s="3" t="s">
        <v>1109</v>
      </c>
      <c r="G1853" s="4" t="s">
        <v>1110</v>
      </c>
      <c r="H1853" s="22" t="s">
        <v>47</v>
      </c>
      <c r="I1853" s="22">
        <v>125</v>
      </c>
      <c r="J1853" s="22"/>
      <c r="K1853" s="22">
        <f t="shared" si="21"/>
        <v>125</v>
      </c>
      <c r="L1853" s="17"/>
    </row>
    <row r="1854" spans="1:21" x14ac:dyDescent="0.25">
      <c r="A1854" s="10">
        <v>46140</v>
      </c>
      <c r="B1854" s="2" t="s">
        <v>3131</v>
      </c>
      <c r="D1854" s="31" t="s">
        <v>2859</v>
      </c>
      <c r="E1854" s="3" t="s">
        <v>1109</v>
      </c>
      <c r="G1854" s="4" t="s">
        <v>48</v>
      </c>
      <c r="H1854" s="22" t="s">
        <v>49</v>
      </c>
      <c r="I1854" s="22"/>
      <c r="J1854" s="22">
        <f>I1852+I1853</f>
        <v>8125</v>
      </c>
      <c r="K1854" s="22">
        <f t="shared" si="21"/>
        <v>8125</v>
      </c>
      <c r="L1854" s="17"/>
    </row>
    <row r="1855" spans="1:21" ht="24" x14ac:dyDescent="0.25">
      <c r="A1855" s="10">
        <v>46140</v>
      </c>
      <c r="B1855" s="2" t="s">
        <v>3135</v>
      </c>
      <c r="C1855" s="2" t="s">
        <v>259</v>
      </c>
      <c r="D1855" s="2" t="s">
        <v>3088</v>
      </c>
      <c r="E1855" s="3" t="s">
        <v>498</v>
      </c>
      <c r="F1855" s="4">
        <f>218592.8-11749.99-2500</f>
        <v>204342.81</v>
      </c>
      <c r="G1855" s="4" t="s">
        <v>326</v>
      </c>
      <c r="H1855" s="22" t="s">
        <v>973</v>
      </c>
      <c r="I1855" s="22">
        <v>218592.8</v>
      </c>
      <c r="J1855" s="22"/>
      <c r="K1855" s="22">
        <f t="shared" si="21"/>
        <v>218592.8</v>
      </c>
      <c r="L1855" s="17">
        <v>204342.81</v>
      </c>
      <c r="M1855" s="23" t="s">
        <v>41</v>
      </c>
      <c r="N1855" s="1" t="s">
        <v>3136</v>
      </c>
      <c r="O1855" s="24" t="s">
        <v>3137</v>
      </c>
      <c r="P1855" s="7" t="s">
        <v>81</v>
      </c>
      <c r="R1855" s="7" t="s">
        <v>2885</v>
      </c>
      <c r="S1855" s="3" t="s">
        <v>83</v>
      </c>
    </row>
    <row r="1856" spans="1:21" x14ac:dyDescent="0.25">
      <c r="A1856" s="10">
        <v>46140</v>
      </c>
      <c r="B1856" s="2" t="s">
        <v>3135</v>
      </c>
      <c r="C1856" s="2" t="s">
        <v>259</v>
      </c>
      <c r="D1856" s="2" t="s">
        <v>3088</v>
      </c>
      <c r="E1856" s="3" t="s">
        <v>498</v>
      </c>
      <c r="G1856" s="4" t="s">
        <v>326</v>
      </c>
      <c r="H1856" s="22" t="s">
        <v>3138</v>
      </c>
      <c r="I1856" s="22"/>
      <c r="J1856" s="22">
        <v>2208.33</v>
      </c>
      <c r="K1856" s="22">
        <f t="shared" si="21"/>
        <v>2208.33</v>
      </c>
      <c r="L1856" s="17"/>
    </row>
    <row r="1857" spans="1:20" x14ac:dyDescent="0.25">
      <c r="A1857" s="10">
        <v>46140</v>
      </c>
      <c r="B1857" s="2" t="s">
        <v>3135</v>
      </c>
      <c r="C1857" s="2" t="s">
        <v>259</v>
      </c>
      <c r="D1857" s="2" t="s">
        <v>3088</v>
      </c>
      <c r="E1857" s="3" t="s">
        <v>498</v>
      </c>
      <c r="G1857" s="4" t="s">
        <v>326</v>
      </c>
      <c r="H1857" s="22" t="s">
        <v>3139</v>
      </c>
      <c r="I1857" s="22"/>
      <c r="J1857" s="22">
        <v>625</v>
      </c>
      <c r="K1857" s="22">
        <f t="shared" si="21"/>
        <v>625</v>
      </c>
      <c r="L1857" s="17"/>
    </row>
    <row r="1858" spans="1:20" x14ac:dyDescent="0.25">
      <c r="A1858" s="10">
        <v>46140</v>
      </c>
      <c r="B1858" s="2" t="s">
        <v>3135</v>
      </c>
      <c r="C1858" s="2" t="s">
        <v>259</v>
      </c>
      <c r="D1858" s="2" t="s">
        <v>3088</v>
      </c>
      <c r="E1858" s="3" t="s">
        <v>498</v>
      </c>
      <c r="G1858" s="4" t="s">
        <v>326</v>
      </c>
      <c r="H1858" s="22" t="s">
        <v>3140</v>
      </c>
      <c r="I1858" s="22"/>
      <c r="J1858" s="22">
        <v>3208.33</v>
      </c>
      <c r="K1858" s="22">
        <f t="shared" si="21"/>
        <v>3208.33</v>
      </c>
      <c r="L1858" s="17"/>
    </row>
    <row r="1859" spans="1:20" x14ac:dyDescent="0.25">
      <c r="A1859" s="10">
        <v>46140</v>
      </c>
      <c r="B1859" s="2" t="s">
        <v>3135</v>
      </c>
      <c r="C1859" s="2" t="s">
        <v>259</v>
      </c>
      <c r="D1859" s="2" t="s">
        <v>3088</v>
      </c>
      <c r="E1859" s="3" t="s">
        <v>498</v>
      </c>
      <c r="G1859" s="4" t="s">
        <v>326</v>
      </c>
      <c r="H1859" s="22" t="s">
        <v>3141</v>
      </c>
      <c r="I1859" s="22"/>
      <c r="J1859" s="22">
        <v>1075</v>
      </c>
      <c r="K1859" s="22">
        <f t="shared" si="21"/>
        <v>1075</v>
      </c>
      <c r="L1859" s="17"/>
    </row>
    <row r="1860" spans="1:20" x14ac:dyDescent="0.25">
      <c r="A1860" s="10">
        <v>46140</v>
      </c>
      <c r="B1860" s="2" t="s">
        <v>3135</v>
      </c>
      <c r="C1860" s="2" t="s">
        <v>259</v>
      </c>
      <c r="D1860" s="2" t="s">
        <v>3088</v>
      </c>
      <c r="E1860" s="3" t="s">
        <v>498</v>
      </c>
      <c r="G1860" s="4" t="s">
        <v>326</v>
      </c>
      <c r="H1860" s="22" t="s">
        <v>3142</v>
      </c>
      <c r="I1860" s="22"/>
      <c r="J1860" s="22">
        <v>625</v>
      </c>
      <c r="K1860" s="22">
        <f t="shared" si="21"/>
        <v>625</v>
      </c>
      <c r="L1860" s="17"/>
    </row>
    <row r="1861" spans="1:20" x14ac:dyDescent="0.25">
      <c r="A1861" s="10">
        <v>46140</v>
      </c>
      <c r="B1861" s="2" t="s">
        <v>3135</v>
      </c>
      <c r="C1861" s="2" t="s">
        <v>259</v>
      </c>
      <c r="D1861" s="2" t="s">
        <v>3088</v>
      </c>
      <c r="E1861" s="3" t="s">
        <v>498</v>
      </c>
      <c r="G1861" s="4" t="s">
        <v>326</v>
      </c>
      <c r="H1861" s="22" t="s">
        <v>3143</v>
      </c>
      <c r="I1861" s="22"/>
      <c r="J1861" s="22">
        <v>625</v>
      </c>
      <c r="K1861" s="22">
        <f t="shared" si="21"/>
        <v>625</v>
      </c>
      <c r="L1861" s="17"/>
    </row>
    <row r="1862" spans="1:20" x14ac:dyDescent="0.25">
      <c r="A1862" s="10">
        <v>46140</v>
      </c>
      <c r="B1862" s="2" t="s">
        <v>3135</v>
      </c>
      <c r="C1862" s="2" t="s">
        <v>259</v>
      </c>
      <c r="D1862" s="2" t="s">
        <v>3088</v>
      </c>
      <c r="E1862" s="3" t="s">
        <v>498</v>
      </c>
      <c r="G1862" s="4" t="s">
        <v>326</v>
      </c>
      <c r="H1862" s="22" t="s">
        <v>3144</v>
      </c>
      <c r="I1862" s="22"/>
      <c r="J1862" s="22">
        <v>3208.33</v>
      </c>
      <c r="K1862" s="22">
        <f t="shared" si="21"/>
        <v>3208.33</v>
      </c>
      <c r="L1862" s="17"/>
    </row>
    <row r="1863" spans="1:20" x14ac:dyDescent="0.25">
      <c r="A1863" s="10">
        <v>46140</v>
      </c>
      <c r="B1863" s="2" t="s">
        <v>3135</v>
      </c>
      <c r="C1863" s="2" t="s">
        <v>259</v>
      </c>
      <c r="D1863" s="2" t="s">
        <v>3088</v>
      </c>
      <c r="E1863" s="3" t="s">
        <v>498</v>
      </c>
      <c r="G1863" s="4" t="s">
        <v>326</v>
      </c>
      <c r="H1863" s="22" t="s">
        <v>991</v>
      </c>
      <c r="I1863" s="22"/>
      <c r="J1863" s="22">
        <v>175</v>
      </c>
      <c r="K1863" s="22">
        <f t="shared" si="21"/>
        <v>175</v>
      </c>
      <c r="L1863" s="17"/>
    </row>
    <row r="1864" spans="1:20" x14ac:dyDescent="0.25">
      <c r="A1864" s="10">
        <v>46140</v>
      </c>
      <c r="B1864" s="2" t="s">
        <v>3135</v>
      </c>
      <c r="C1864" s="2" t="s">
        <v>259</v>
      </c>
      <c r="D1864" s="2" t="s">
        <v>3088</v>
      </c>
      <c r="E1864" s="3" t="s">
        <v>498</v>
      </c>
      <c r="G1864" s="4" t="s">
        <v>326</v>
      </c>
      <c r="H1864" s="22" t="s">
        <v>994</v>
      </c>
      <c r="I1864" s="22"/>
      <c r="J1864" s="22">
        <v>1000</v>
      </c>
      <c r="K1864" s="22">
        <f t="shared" si="21"/>
        <v>1000</v>
      </c>
      <c r="L1864" s="17"/>
    </row>
    <row r="1865" spans="1:20" x14ac:dyDescent="0.25">
      <c r="A1865" s="10">
        <v>46140</v>
      </c>
      <c r="B1865" s="2" t="s">
        <v>3135</v>
      </c>
      <c r="C1865" s="2" t="s">
        <v>259</v>
      </c>
      <c r="D1865" s="2" t="s">
        <v>3088</v>
      </c>
      <c r="E1865" s="3" t="s">
        <v>498</v>
      </c>
      <c r="G1865" s="4" t="s">
        <v>326</v>
      </c>
      <c r="H1865" s="22" t="s">
        <v>995</v>
      </c>
      <c r="I1865" s="22"/>
      <c r="J1865" s="22">
        <v>1500</v>
      </c>
      <c r="K1865" s="22">
        <f t="shared" si="21"/>
        <v>1500</v>
      </c>
      <c r="L1865" s="17"/>
    </row>
    <row r="1866" spans="1:20" x14ac:dyDescent="0.25">
      <c r="A1866" s="10">
        <v>46140</v>
      </c>
      <c r="B1866" s="2" t="s">
        <v>3135</v>
      </c>
      <c r="C1866" s="2" t="s">
        <v>259</v>
      </c>
      <c r="D1866" s="2" t="s">
        <v>3088</v>
      </c>
      <c r="E1866" s="3" t="s">
        <v>498</v>
      </c>
      <c r="G1866" s="4" t="s">
        <v>48</v>
      </c>
      <c r="H1866" s="22" t="s">
        <v>49</v>
      </c>
      <c r="I1866" s="22"/>
      <c r="J1866" s="22">
        <f>I1855-SUM(J1856:J1865)</f>
        <v>204342.81</v>
      </c>
      <c r="K1866" s="22">
        <f t="shared" si="21"/>
        <v>204342.81</v>
      </c>
      <c r="L1866" s="17"/>
    </row>
    <row r="1867" spans="1:20" ht="24" x14ac:dyDescent="0.25">
      <c r="A1867" s="10">
        <v>46141</v>
      </c>
      <c r="B1867" s="2" t="s">
        <v>3145</v>
      </c>
      <c r="C1867" s="2" t="s">
        <v>86</v>
      </c>
      <c r="D1867" s="2" t="s">
        <v>3146</v>
      </c>
      <c r="E1867" s="3" t="s">
        <v>3147</v>
      </c>
      <c r="F1867" s="4">
        <v>23779.18</v>
      </c>
      <c r="G1867" s="4" t="s">
        <v>167</v>
      </c>
      <c r="H1867" s="22" t="s">
        <v>809</v>
      </c>
      <c r="I1867" s="22">
        <v>21231.41</v>
      </c>
      <c r="J1867" s="22"/>
      <c r="K1867" s="22">
        <f t="shared" si="21"/>
        <v>21231.41</v>
      </c>
      <c r="L1867" s="17"/>
      <c r="M1867" s="26" t="s">
        <v>581</v>
      </c>
      <c r="N1867" s="1" t="s">
        <v>3148</v>
      </c>
    </row>
    <row r="1868" spans="1:20" x14ac:dyDescent="0.25">
      <c r="A1868" s="10">
        <v>46141</v>
      </c>
      <c r="B1868" s="2" t="s">
        <v>3145</v>
      </c>
      <c r="C1868" s="2" t="s">
        <v>86</v>
      </c>
      <c r="D1868" s="2" t="s">
        <v>3146</v>
      </c>
      <c r="E1868" s="3" t="s">
        <v>3147</v>
      </c>
      <c r="G1868" s="4" t="s">
        <v>167</v>
      </c>
      <c r="H1868" s="22" t="s">
        <v>239</v>
      </c>
      <c r="I1868" s="22">
        <v>2547.77</v>
      </c>
      <c r="J1868" s="22"/>
      <c r="K1868" s="22">
        <f t="shared" si="21"/>
        <v>2547.77</v>
      </c>
      <c r="L1868" s="17"/>
      <c r="M1868" s="26"/>
    </row>
    <row r="1869" spans="1:20" x14ac:dyDescent="0.25">
      <c r="A1869" s="10">
        <v>46141</v>
      </c>
      <c r="B1869" s="2" t="s">
        <v>3145</v>
      </c>
      <c r="C1869" s="2" t="s">
        <v>86</v>
      </c>
      <c r="D1869" s="2" t="s">
        <v>3146</v>
      </c>
      <c r="E1869" s="3" t="s">
        <v>3147</v>
      </c>
      <c r="G1869" s="4" t="s">
        <v>48</v>
      </c>
      <c r="H1869" s="22" t="s">
        <v>49</v>
      </c>
      <c r="I1869" s="22"/>
      <c r="J1869" s="22">
        <f>I1867+I1868</f>
        <v>23779.18</v>
      </c>
      <c r="K1869" s="22">
        <f t="shared" si="21"/>
        <v>23779.18</v>
      </c>
      <c r="L1869" s="17"/>
      <c r="M1869" s="26"/>
    </row>
    <row r="1870" spans="1:20" ht="36" x14ac:dyDescent="0.25">
      <c r="A1870" s="10">
        <v>46141</v>
      </c>
      <c r="B1870" s="2" t="s">
        <v>3149</v>
      </c>
      <c r="C1870" s="2" t="s">
        <v>396</v>
      </c>
      <c r="E1870" s="3" t="s">
        <v>498</v>
      </c>
      <c r="F1870" s="4">
        <v>261</v>
      </c>
      <c r="G1870" s="4" t="s">
        <v>128</v>
      </c>
      <c r="H1870" s="22" t="s">
        <v>3150</v>
      </c>
      <c r="I1870" s="22">
        <v>261</v>
      </c>
      <c r="J1870" s="22"/>
      <c r="K1870" s="22">
        <f t="shared" si="21"/>
        <v>261</v>
      </c>
      <c r="L1870" s="17">
        <v>261</v>
      </c>
      <c r="M1870" s="23" t="s">
        <v>41</v>
      </c>
      <c r="N1870" s="1" t="s">
        <v>3151</v>
      </c>
      <c r="O1870" s="7" t="s">
        <v>3152</v>
      </c>
      <c r="P1870" s="7" t="s">
        <v>784</v>
      </c>
      <c r="S1870" s="3" t="s">
        <v>1087</v>
      </c>
      <c r="T1870" s="3" t="s">
        <v>1088</v>
      </c>
    </row>
    <row r="1871" spans="1:20" x14ac:dyDescent="0.25">
      <c r="A1871" s="10">
        <v>46141</v>
      </c>
      <c r="B1871" s="2" t="s">
        <v>3149</v>
      </c>
      <c r="C1871" s="2" t="s">
        <v>396</v>
      </c>
      <c r="E1871" s="3" t="s">
        <v>498</v>
      </c>
      <c r="G1871" s="4" t="s">
        <v>48</v>
      </c>
      <c r="H1871" s="22" t="s">
        <v>49</v>
      </c>
      <c r="I1871" s="22"/>
      <c r="J1871" s="22">
        <f>I1870</f>
        <v>261</v>
      </c>
      <c r="K1871" s="22">
        <f t="shared" si="21"/>
        <v>261</v>
      </c>
      <c r="L1871" s="17"/>
    </row>
    <row r="1872" spans="1:20" ht="24" x14ac:dyDescent="0.25">
      <c r="A1872" s="10">
        <v>46141</v>
      </c>
      <c r="B1872" s="2" t="s">
        <v>3153</v>
      </c>
      <c r="C1872" s="2" t="s">
        <v>95</v>
      </c>
      <c r="D1872" s="2" t="s">
        <v>3154</v>
      </c>
      <c r="E1872" s="3" t="s">
        <v>76</v>
      </c>
      <c r="F1872" s="4">
        <f>1720+3160+3440+3160+1500+1000</f>
        <v>13980</v>
      </c>
      <c r="G1872" s="4" t="s">
        <v>77</v>
      </c>
      <c r="H1872" s="22" t="s">
        <v>78</v>
      </c>
      <c r="I1872" s="22">
        <v>13980</v>
      </c>
      <c r="J1872" s="22"/>
      <c r="K1872" s="22">
        <f t="shared" si="21"/>
        <v>13980</v>
      </c>
      <c r="L1872" s="17">
        <v>13980</v>
      </c>
      <c r="M1872" s="23" t="s">
        <v>41</v>
      </c>
      <c r="N1872" s="1" t="s">
        <v>3155</v>
      </c>
    </row>
    <row r="1873" spans="1:20" x14ac:dyDescent="0.25">
      <c r="A1873" s="10">
        <v>46141</v>
      </c>
      <c r="B1873" s="2" t="s">
        <v>3153</v>
      </c>
      <c r="C1873" s="2" t="s">
        <v>95</v>
      </c>
      <c r="D1873" s="2" t="s">
        <v>3154</v>
      </c>
      <c r="E1873" s="3" t="s">
        <v>76</v>
      </c>
      <c r="G1873" s="4" t="s">
        <v>48</v>
      </c>
      <c r="H1873" s="22" t="s">
        <v>49</v>
      </c>
      <c r="I1873" s="22"/>
      <c r="J1873" s="22">
        <f>I1872</f>
        <v>13980</v>
      </c>
      <c r="K1873" s="22">
        <f t="shared" si="21"/>
        <v>13980</v>
      </c>
      <c r="L1873" s="17"/>
    </row>
    <row r="1874" spans="1:20" x14ac:dyDescent="0.25">
      <c r="A1874" s="10">
        <v>46141</v>
      </c>
      <c r="B1874" s="2" t="s">
        <v>3156</v>
      </c>
      <c r="C1874" s="2" t="s">
        <v>3157</v>
      </c>
      <c r="D1874" s="2" t="s">
        <v>3158</v>
      </c>
      <c r="E1874" s="3" t="s">
        <v>548</v>
      </c>
      <c r="F1874" s="4">
        <f>35440+20</f>
        <v>35460</v>
      </c>
      <c r="G1874" s="4" t="s">
        <v>110</v>
      </c>
      <c r="H1874" s="22" t="s">
        <v>1901</v>
      </c>
      <c r="I1874" s="22">
        <v>35440</v>
      </c>
      <c r="J1874" s="22"/>
      <c r="K1874" s="22">
        <f t="shared" si="21"/>
        <v>35440</v>
      </c>
      <c r="L1874" s="17">
        <v>35460</v>
      </c>
      <c r="M1874" s="23" t="s">
        <v>41</v>
      </c>
      <c r="N1874" s="1" t="s">
        <v>3159</v>
      </c>
      <c r="O1874" s="7" t="s">
        <v>3152</v>
      </c>
      <c r="P1874" s="7" t="s">
        <v>784</v>
      </c>
      <c r="R1874" s="7" t="s">
        <v>1762</v>
      </c>
      <c r="S1874" s="3" t="s">
        <v>1087</v>
      </c>
      <c r="T1874" s="3" t="s">
        <v>1088</v>
      </c>
    </row>
    <row r="1875" spans="1:20" x14ac:dyDescent="0.25">
      <c r="A1875" s="10">
        <v>46141</v>
      </c>
      <c r="B1875" s="2" t="s">
        <v>3156</v>
      </c>
      <c r="C1875" s="2" t="s">
        <v>3157</v>
      </c>
      <c r="D1875" s="2" t="s">
        <v>3158</v>
      </c>
      <c r="E1875" s="3" t="s">
        <v>548</v>
      </c>
      <c r="G1875" s="4" t="s">
        <v>110</v>
      </c>
      <c r="H1875" s="22" t="s">
        <v>47</v>
      </c>
      <c r="I1875" s="22">
        <v>20</v>
      </c>
      <c r="J1875" s="22"/>
      <c r="K1875" s="22">
        <f t="shared" si="21"/>
        <v>20</v>
      </c>
      <c r="L1875" s="17"/>
    </row>
    <row r="1876" spans="1:20" x14ac:dyDescent="0.25">
      <c r="A1876" s="10">
        <v>46141</v>
      </c>
      <c r="B1876" s="2" t="s">
        <v>3156</v>
      </c>
      <c r="C1876" s="2" t="s">
        <v>3157</v>
      </c>
      <c r="D1876" s="2" t="s">
        <v>3158</v>
      </c>
      <c r="E1876" s="3" t="s">
        <v>548</v>
      </c>
      <c r="G1876" s="4" t="s">
        <v>48</v>
      </c>
      <c r="H1876" s="22" t="s">
        <v>49</v>
      </c>
      <c r="I1876" s="22"/>
      <c r="J1876" s="22">
        <f>I1874+I1875</f>
        <v>35460</v>
      </c>
      <c r="K1876" s="22">
        <f t="shared" si="21"/>
        <v>35460</v>
      </c>
      <c r="L1876" s="17"/>
    </row>
    <row r="1877" spans="1:20" ht="24" x14ac:dyDescent="0.25">
      <c r="A1877" s="10">
        <v>46141</v>
      </c>
      <c r="B1877" s="2" t="s">
        <v>3160</v>
      </c>
      <c r="C1877" s="2" t="s">
        <v>95</v>
      </c>
      <c r="D1877" s="2" t="s">
        <v>3161</v>
      </c>
      <c r="E1877" s="3" t="s">
        <v>76</v>
      </c>
      <c r="F1877" s="4">
        <f>4000+2400</f>
        <v>6400</v>
      </c>
      <c r="G1877" s="4" t="s">
        <v>128</v>
      </c>
      <c r="H1877" s="22" t="s">
        <v>78</v>
      </c>
      <c r="I1877" s="22">
        <v>6400</v>
      </c>
      <c r="J1877" s="22"/>
      <c r="K1877" s="22">
        <f t="shared" si="21"/>
        <v>6400</v>
      </c>
      <c r="L1877" s="17">
        <v>6400</v>
      </c>
      <c r="M1877" s="23" t="s">
        <v>41</v>
      </c>
      <c r="N1877" s="1" t="s">
        <v>3162</v>
      </c>
      <c r="O1877" s="28" t="s">
        <v>80</v>
      </c>
      <c r="P1877" s="7" t="s">
        <v>784</v>
      </c>
      <c r="R1877" s="7" t="s">
        <v>1762</v>
      </c>
      <c r="S1877" s="3" t="s">
        <v>1087</v>
      </c>
      <c r="T1877" s="3" t="s">
        <v>1088</v>
      </c>
    </row>
    <row r="1878" spans="1:20" x14ac:dyDescent="0.25">
      <c r="A1878" s="10">
        <v>46141</v>
      </c>
      <c r="B1878" s="2" t="s">
        <v>3160</v>
      </c>
      <c r="C1878" s="2" t="s">
        <v>95</v>
      </c>
      <c r="D1878" s="2" t="s">
        <v>3161</v>
      </c>
      <c r="E1878" s="3" t="s">
        <v>76</v>
      </c>
      <c r="G1878" s="4" t="s">
        <v>48</v>
      </c>
      <c r="H1878" s="22" t="s">
        <v>49</v>
      </c>
      <c r="I1878" s="22"/>
      <c r="J1878" s="22">
        <f>I1877</f>
        <v>6400</v>
      </c>
      <c r="K1878" s="22">
        <f t="shared" si="21"/>
        <v>6400</v>
      </c>
      <c r="L1878" s="17"/>
      <c r="M1878" s="23"/>
      <c r="O1878" s="28"/>
    </row>
    <row r="1879" spans="1:20" x14ac:dyDescent="0.25">
      <c r="A1879" s="10">
        <v>46141</v>
      </c>
      <c r="B1879" s="2" t="s">
        <v>3163</v>
      </c>
      <c r="E1879" s="3" t="s">
        <v>398</v>
      </c>
      <c r="F1879" s="4">
        <v>25000</v>
      </c>
      <c r="G1879" s="4" t="s">
        <v>167</v>
      </c>
      <c r="H1879" s="22" t="s">
        <v>168</v>
      </c>
      <c r="I1879" s="22">
        <v>25000</v>
      </c>
      <c r="J1879" s="22"/>
      <c r="K1879" s="22">
        <f t="shared" si="21"/>
        <v>25000</v>
      </c>
      <c r="L1879" s="17">
        <v>25000</v>
      </c>
      <c r="M1879" s="23" t="s">
        <v>41</v>
      </c>
      <c r="N1879" s="1" t="s">
        <v>3164</v>
      </c>
      <c r="O1879" s="7" t="s">
        <v>313</v>
      </c>
      <c r="P1879" s="7" t="s">
        <v>32</v>
      </c>
      <c r="Q1879" s="25" t="s">
        <v>3165</v>
      </c>
      <c r="R1879" s="7" t="s">
        <v>1762</v>
      </c>
      <c r="S1879" s="3" t="s">
        <v>145</v>
      </c>
      <c r="T1879" s="3" t="s">
        <v>324</v>
      </c>
    </row>
    <row r="1880" spans="1:20" x14ac:dyDescent="0.25">
      <c r="A1880" s="10">
        <v>46141</v>
      </c>
      <c r="B1880" s="2" t="s">
        <v>3163</v>
      </c>
      <c r="E1880" s="3" t="s">
        <v>398</v>
      </c>
      <c r="G1880" s="4" t="s">
        <v>48</v>
      </c>
      <c r="H1880" s="22" t="s">
        <v>49</v>
      </c>
      <c r="I1880" s="22"/>
      <c r="J1880" s="22">
        <f>I1879</f>
        <v>25000</v>
      </c>
      <c r="K1880" s="22">
        <f t="shared" si="21"/>
        <v>25000</v>
      </c>
      <c r="L1880" s="17"/>
      <c r="M1880" s="23"/>
      <c r="Q1880" s="25"/>
    </row>
    <row r="1881" spans="1:20" x14ac:dyDescent="0.25">
      <c r="A1881" s="10">
        <v>46141</v>
      </c>
      <c r="B1881" s="2" t="s">
        <v>3166</v>
      </c>
      <c r="D1881" s="31" t="s">
        <v>194</v>
      </c>
      <c r="E1881" s="3" t="s">
        <v>195</v>
      </c>
      <c r="F1881" s="4">
        <v>120000</v>
      </c>
      <c r="G1881" s="4" t="s">
        <v>167</v>
      </c>
      <c r="H1881" s="22" t="s">
        <v>168</v>
      </c>
      <c r="I1881" s="22">
        <v>120000</v>
      </c>
      <c r="J1881" s="22"/>
      <c r="K1881" s="22">
        <f t="shared" si="21"/>
        <v>120000</v>
      </c>
      <c r="L1881" s="17">
        <v>120000</v>
      </c>
      <c r="M1881" s="23" t="s">
        <v>41</v>
      </c>
      <c r="N1881" s="1" t="s">
        <v>3167</v>
      </c>
      <c r="O1881" s="7" t="s">
        <v>313</v>
      </c>
      <c r="P1881" s="7" t="s">
        <v>32</v>
      </c>
      <c r="Q1881" s="25" t="s">
        <v>3168</v>
      </c>
      <c r="R1881" s="7" t="s">
        <v>1762</v>
      </c>
      <c r="S1881" s="3" t="s">
        <v>145</v>
      </c>
      <c r="T1881" s="3" t="s">
        <v>324</v>
      </c>
    </row>
    <row r="1882" spans="1:20" x14ac:dyDescent="0.25">
      <c r="A1882" s="10">
        <v>46141</v>
      </c>
      <c r="B1882" s="2" t="s">
        <v>3166</v>
      </c>
      <c r="D1882" s="31" t="s">
        <v>194</v>
      </c>
      <c r="E1882" s="3" t="s">
        <v>195</v>
      </c>
      <c r="G1882" s="4" t="s">
        <v>48</v>
      </c>
      <c r="H1882" s="22" t="s">
        <v>49</v>
      </c>
      <c r="I1882" s="22"/>
      <c r="J1882" s="22">
        <f>I1881</f>
        <v>120000</v>
      </c>
      <c r="K1882" s="22">
        <f t="shared" si="21"/>
        <v>120000</v>
      </c>
      <c r="L1882" s="17"/>
      <c r="M1882" s="23"/>
      <c r="Q1882" s="25"/>
    </row>
    <row r="1883" spans="1:20" ht="26.4" customHeight="1" x14ac:dyDescent="0.25">
      <c r="A1883" s="10">
        <v>46141</v>
      </c>
      <c r="B1883" s="2" t="s">
        <v>3169</v>
      </c>
      <c r="C1883" s="2" t="s">
        <v>141</v>
      </c>
      <c r="E1883" s="3" t="s">
        <v>27</v>
      </c>
      <c r="F1883" s="4">
        <v>925216.78</v>
      </c>
      <c r="G1883" s="4" t="s">
        <v>48</v>
      </c>
      <c r="H1883" s="22" t="s">
        <v>3012</v>
      </c>
      <c r="I1883" s="22">
        <v>925216.78</v>
      </c>
      <c r="J1883" s="22"/>
      <c r="K1883" s="22">
        <f t="shared" si="21"/>
        <v>925216.78</v>
      </c>
      <c r="L1883" s="17">
        <v>925216.78</v>
      </c>
      <c r="M1883" s="23" t="s">
        <v>41</v>
      </c>
      <c r="N1883" s="44" t="s">
        <v>3170</v>
      </c>
      <c r="O1883" s="7" t="s">
        <v>143</v>
      </c>
      <c r="P1883" s="7" t="s">
        <v>32</v>
      </c>
      <c r="Q1883" s="25" t="s">
        <v>3171</v>
      </c>
      <c r="R1883" s="7" t="s">
        <v>1762</v>
      </c>
      <c r="S1883" s="3" t="s">
        <v>145</v>
      </c>
      <c r="T1883" s="3" t="s">
        <v>324</v>
      </c>
    </row>
    <row r="1884" spans="1:20" ht="26.4" customHeight="1" x14ac:dyDescent="0.25">
      <c r="A1884" s="10">
        <v>46141</v>
      </c>
      <c r="B1884" s="2" t="s">
        <v>3169</v>
      </c>
      <c r="C1884" s="2" t="s">
        <v>141</v>
      </c>
      <c r="E1884" s="3" t="s">
        <v>27</v>
      </c>
      <c r="G1884" s="4" t="s">
        <v>48</v>
      </c>
      <c r="H1884" s="22" t="s">
        <v>334</v>
      </c>
      <c r="I1884" s="22"/>
      <c r="J1884" s="22">
        <f>I1883</f>
        <v>925216.78</v>
      </c>
      <c r="K1884" s="22">
        <f t="shared" si="21"/>
        <v>925216.78</v>
      </c>
      <c r="L1884" s="17"/>
      <c r="M1884" s="23"/>
      <c r="N1884" s="44"/>
      <c r="Q1884" s="25"/>
    </row>
    <row r="1885" spans="1:20" x14ac:dyDescent="0.25">
      <c r="A1885" s="10">
        <v>46142</v>
      </c>
      <c r="B1885" s="2" t="s">
        <v>3172</v>
      </c>
      <c r="C1885" s="2" t="s">
        <v>310</v>
      </c>
      <c r="E1885" s="3" t="s">
        <v>27</v>
      </c>
      <c r="F1885" s="4">
        <v>240000</v>
      </c>
      <c r="G1885" s="4" t="s">
        <v>326</v>
      </c>
      <c r="H1885" s="22" t="s">
        <v>731</v>
      </c>
      <c r="I1885" s="22">
        <v>240000</v>
      </c>
      <c r="J1885" s="22"/>
      <c r="K1885" s="22">
        <f t="shared" si="21"/>
        <v>240000</v>
      </c>
      <c r="L1885" s="17">
        <v>240000</v>
      </c>
      <c r="M1885" s="23" t="s">
        <v>41</v>
      </c>
      <c r="N1885" s="1" t="s">
        <v>3173</v>
      </c>
      <c r="O1885" s="7" t="s">
        <v>313</v>
      </c>
      <c r="P1885" s="7" t="s">
        <v>32</v>
      </c>
      <c r="Q1885" s="25" t="s">
        <v>3174</v>
      </c>
      <c r="R1885" s="7" t="s">
        <v>2885</v>
      </c>
      <c r="S1885" s="3" t="s">
        <v>1630</v>
      </c>
      <c r="T1885" s="3" t="s">
        <v>3175</v>
      </c>
    </row>
    <row r="1886" spans="1:20" x14ac:dyDescent="0.25">
      <c r="A1886" s="10">
        <v>46142</v>
      </c>
      <c r="B1886" s="2" t="s">
        <v>3172</v>
      </c>
      <c r="C1886" s="2" t="s">
        <v>310</v>
      </c>
      <c r="E1886" s="3" t="s">
        <v>27</v>
      </c>
      <c r="G1886" s="4" t="s">
        <v>326</v>
      </c>
      <c r="H1886" s="22" t="s">
        <v>327</v>
      </c>
      <c r="I1886" s="22"/>
      <c r="J1886" s="22">
        <f>I1885</f>
        <v>240000</v>
      </c>
      <c r="K1886" s="22">
        <f t="shared" si="21"/>
        <v>240000</v>
      </c>
      <c r="L1886" s="17"/>
      <c r="M1886" s="23"/>
      <c r="Q1886" s="25"/>
    </row>
    <row r="1887" spans="1:20" ht="24" x14ac:dyDescent="0.25">
      <c r="A1887" s="10">
        <v>46142</v>
      </c>
      <c r="B1887" s="2" t="s">
        <v>3176</v>
      </c>
      <c r="C1887" s="31" t="s">
        <v>997</v>
      </c>
      <c r="D1887" s="2" t="s">
        <v>3177</v>
      </c>
      <c r="E1887" s="3" t="s">
        <v>833</v>
      </c>
      <c r="F1887" s="4">
        <v>1797.01</v>
      </c>
      <c r="G1887" s="4" t="s">
        <v>265</v>
      </c>
      <c r="H1887" s="22" t="s">
        <v>834</v>
      </c>
      <c r="I1887" s="22">
        <v>1797.01</v>
      </c>
      <c r="J1887" s="22"/>
      <c r="K1887" s="22">
        <f t="shared" si="21"/>
        <v>1797.01</v>
      </c>
      <c r="L1887" s="17"/>
      <c r="M1887" s="6" t="s">
        <v>581</v>
      </c>
      <c r="N1887" s="1" t="s">
        <v>3178</v>
      </c>
    </row>
    <row r="1888" spans="1:20" x14ac:dyDescent="0.25">
      <c r="A1888" s="10">
        <v>46142</v>
      </c>
      <c r="B1888" s="2" t="s">
        <v>3176</v>
      </c>
      <c r="C1888" s="31" t="s">
        <v>997</v>
      </c>
      <c r="D1888" s="2" t="s">
        <v>3177</v>
      </c>
      <c r="E1888" s="3" t="s">
        <v>833</v>
      </c>
      <c r="G1888" s="4" t="s">
        <v>48</v>
      </c>
      <c r="H1888" s="22" t="s">
        <v>49</v>
      </c>
      <c r="I1888" s="22"/>
      <c r="J1888" s="22">
        <f>I1887</f>
        <v>1797.01</v>
      </c>
      <c r="K1888" s="22">
        <f t="shared" si="21"/>
        <v>1797.01</v>
      </c>
      <c r="L1888" s="17"/>
    </row>
    <row r="1889" spans="1:21" ht="24" x14ac:dyDescent="0.25">
      <c r="A1889" s="10">
        <v>46142</v>
      </c>
      <c r="B1889" s="2" t="s">
        <v>3179</v>
      </c>
      <c r="C1889" s="2" t="s">
        <v>3180</v>
      </c>
      <c r="D1889" s="2" t="s">
        <v>3078</v>
      </c>
      <c r="E1889" s="3" t="s">
        <v>833</v>
      </c>
      <c r="F1889" s="4">
        <v>2488.42</v>
      </c>
      <c r="G1889" s="3" t="s">
        <v>110</v>
      </c>
      <c r="H1889" s="34"/>
      <c r="I1889" s="34"/>
      <c r="J1889" s="34"/>
      <c r="K1889" s="22">
        <f t="shared" si="21"/>
        <v>0</v>
      </c>
      <c r="L1889" s="32"/>
      <c r="M1889" s="6" t="s">
        <v>581</v>
      </c>
      <c r="N1889" s="1" t="s">
        <v>3181</v>
      </c>
    </row>
    <row r="1890" spans="1:21" x14ac:dyDescent="0.25">
      <c r="A1890" s="10">
        <v>46142</v>
      </c>
      <c r="B1890" s="2" t="s">
        <v>3182</v>
      </c>
      <c r="C1890" s="2" t="s">
        <v>141</v>
      </c>
      <c r="E1890" s="3" t="s">
        <v>27</v>
      </c>
      <c r="F1890" s="4">
        <v>1330000</v>
      </c>
      <c r="G1890" s="4" t="s">
        <v>48</v>
      </c>
      <c r="H1890" s="22"/>
      <c r="I1890" s="22"/>
      <c r="J1890" s="22"/>
      <c r="K1890" s="22">
        <f t="shared" si="21"/>
        <v>0</v>
      </c>
      <c r="L1890" s="17"/>
      <c r="M1890" s="23" t="s">
        <v>41</v>
      </c>
      <c r="N1890" s="1" t="s">
        <v>3183</v>
      </c>
      <c r="O1890" s="7" t="s">
        <v>143</v>
      </c>
      <c r="P1890" s="7" t="s">
        <v>32</v>
      </c>
      <c r="Q1890" s="25" t="s">
        <v>3184</v>
      </c>
      <c r="R1890" s="7" t="s">
        <v>2885</v>
      </c>
      <c r="S1890" s="3" t="s">
        <v>1630</v>
      </c>
      <c r="T1890" s="3" t="s">
        <v>3175</v>
      </c>
    </row>
    <row r="1891" spans="1:21" x14ac:dyDescent="0.25">
      <c r="A1891" s="10">
        <v>46142</v>
      </c>
      <c r="B1891" s="2" t="s">
        <v>3185</v>
      </c>
      <c r="C1891" s="2" t="s">
        <v>141</v>
      </c>
      <c r="E1891" s="3" t="s">
        <v>27</v>
      </c>
      <c r="F1891" s="4">
        <v>215000</v>
      </c>
      <c r="G1891" s="4" t="s">
        <v>48</v>
      </c>
      <c r="H1891" s="22"/>
      <c r="I1891" s="22"/>
      <c r="J1891" s="22"/>
      <c r="K1891" s="22">
        <f t="shared" si="21"/>
        <v>0</v>
      </c>
      <c r="L1891" s="17"/>
      <c r="M1891" s="23" t="s">
        <v>41</v>
      </c>
      <c r="N1891" s="1" t="s">
        <v>3183</v>
      </c>
      <c r="O1891" s="7" t="s">
        <v>143</v>
      </c>
      <c r="P1891" s="7" t="s">
        <v>32</v>
      </c>
      <c r="Q1891" s="25" t="s">
        <v>3186</v>
      </c>
      <c r="R1891" s="7" t="s">
        <v>2885</v>
      </c>
      <c r="S1891" s="3" t="s">
        <v>1630</v>
      </c>
      <c r="T1891" s="3" t="s">
        <v>3175</v>
      </c>
    </row>
    <row r="1892" spans="1:21" ht="24" x14ac:dyDescent="0.25">
      <c r="A1892" s="10">
        <v>46142</v>
      </c>
      <c r="B1892" s="2" t="s">
        <v>3187</v>
      </c>
      <c r="E1892" s="3" t="s">
        <v>398</v>
      </c>
      <c r="F1892" s="4">
        <v>48591.62</v>
      </c>
      <c r="G1892" s="3" t="s">
        <v>167</v>
      </c>
      <c r="H1892" s="34" t="s">
        <v>168</v>
      </c>
      <c r="I1892" s="22">
        <v>48591.62</v>
      </c>
      <c r="J1892" s="22"/>
      <c r="K1892" s="22">
        <f t="shared" si="21"/>
        <v>48591.62</v>
      </c>
      <c r="L1892" s="17">
        <v>48591.62</v>
      </c>
      <c r="M1892" s="23" t="s">
        <v>41</v>
      </c>
      <c r="N1892" s="1" t="s">
        <v>3188</v>
      </c>
      <c r="O1892" s="7" t="s">
        <v>3111</v>
      </c>
      <c r="P1892" s="7" t="s">
        <v>81</v>
      </c>
      <c r="R1892" s="7" t="s">
        <v>2885</v>
      </c>
      <c r="S1892" s="3" t="s">
        <v>83</v>
      </c>
      <c r="T1892" s="3" t="s">
        <v>3189</v>
      </c>
    </row>
    <row r="1893" spans="1:21" x14ac:dyDescent="0.25">
      <c r="A1893" s="10">
        <v>46142</v>
      </c>
      <c r="B1893" s="2" t="s">
        <v>3187</v>
      </c>
      <c r="E1893" s="3" t="s">
        <v>398</v>
      </c>
      <c r="G1893" s="4" t="s">
        <v>48</v>
      </c>
      <c r="H1893" s="34" t="s">
        <v>49</v>
      </c>
      <c r="I1893" s="22"/>
      <c r="J1893" s="22">
        <f>I1892</f>
        <v>48591.62</v>
      </c>
      <c r="K1893" s="22">
        <f t="shared" si="21"/>
        <v>48591.62</v>
      </c>
      <c r="L1893" s="32"/>
      <c r="M1893" s="23"/>
    </row>
    <row r="1894" spans="1:21" ht="24" x14ac:dyDescent="0.25">
      <c r="A1894" s="10">
        <v>46142</v>
      </c>
      <c r="B1894" s="2" t="s">
        <v>3190</v>
      </c>
      <c r="C1894" s="2" t="s">
        <v>95</v>
      </c>
      <c r="D1894" s="2" t="s">
        <v>3191</v>
      </c>
      <c r="E1894" s="3" t="s">
        <v>76</v>
      </c>
      <c r="F1894" s="4">
        <v>5600</v>
      </c>
      <c r="G1894" s="4" t="s">
        <v>128</v>
      </c>
      <c r="H1894" s="22" t="s">
        <v>78</v>
      </c>
      <c r="I1894" s="22">
        <v>5600</v>
      </c>
      <c r="J1894" s="22"/>
      <c r="K1894" s="22">
        <f t="shared" si="21"/>
        <v>5600</v>
      </c>
      <c r="L1894" s="17">
        <v>5600</v>
      </c>
      <c r="M1894" s="23" t="s">
        <v>41</v>
      </c>
      <c r="N1894" s="1" t="s">
        <v>3192</v>
      </c>
      <c r="O1894" s="46" t="s">
        <v>1596</v>
      </c>
      <c r="R1894" s="7" t="s">
        <v>1762</v>
      </c>
      <c r="S1894" s="3" t="s">
        <v>1087</v>
      </c>
      <c r="T1894" s="3" t="s">
        <v>1088</v>
      </c>
      <c r="U1894" s="8" t="s">
        <v>3193</v>
      </c>
    </row>
    <row r="1895" spans="1:21" x14ac:dyDescent="0.25">
      <c r="A1895" s="10">
        <v>46142</v>
      </c>
      <c r="B1895" s="2" t="s">
        <v>3190</v>
      </c>
      <c r="C1895" s="2" t="s">
        <v>95</v>
      </c>
      <c r="D1895" s="2" t="s">
        <v>3191</v>
      </c>
      <c r="E1895" s="3" t="s">
        <v>76</v>
      </c>
      <c r="G1895" s="4" t="s">
        <v>48</v>
      </c>
      <c r="H1895" s="22" t="s">
        <v>49</v>
      </c>
      <c r="I1895" s="22"/>
      <c r="J1895" s="22">
        <f>I1894</f>
        <v>5600</v>
      </c>
      <c r="K1895" s="22">
        <f t="shared" si="21"/>
        <v>5600</v>
      </c>
      <c r="L1895" s="17"/>
      <c r="M1895" s="23"/>
      <c r="O1895" s="28"/>
    </row>
    <row r="1896" spans="1:21" ht="24" x14ac:dyDescent="0.25">
      <c r="A1896" s="10">
        <v>46146</v>
      </c>
      <c r="B1896" s="2" t="s">
        <v>3194</v>
      </c>
      <c r="C1896" s="2" t="s">
        <v>259</v>
      </c>
      <c r="D1896" s="2" t="s">
        <v>3088</v>
      </c>
      <c r="E1896" s="3" t="s">
        <v>2563</v>
      </c>
      <c r="F1896" s="4">
        <v>24700</v>
      </c>
      <c r="G1896" s="4" t="s">
        <v>326</v>
      </c>
      <c r="H1896" s="22" t="s">
        <v>3104</v>
      </c>
      <c r="I1896" s="22">
        <v>24700</v>
      </c>
      <c r="J1896" s="22"/>
      <c r="K1896" s="22">
        <f t="shared" si="21"/>
        <v>24700</v>
      </c>
      <c r="L1896" s="17">
        <f>24700+50</f>
        <v>24750</v>
      </c>
      <c r="M1896" s="23" t="s">
        <v>41</v>
      </c>
      <c r="N1896" s="1" t="s">
        <v>3101</v>
      </c>
      <c r="O1896" s="24" t="s">
        <v>3195</v>
      </c>
      <c r="P1896" s="7" t="s">
        <v>81</v>
      </c>
      <c r="R1896" s="7" t="s">
        <v>2310</v>
      </c>
      <c r="S1896" s="3" t="s">
        <v>83</v>
      </c>
    </row>
    <row r="1897" spans="1:21" x14ac:dyDescent="0.25">
      <c r="A1897" s="10">
        <v>46146</v>
      </c>
      <c r="B1897" s="2" t="s">
        <v>3194</v>
      </c>
      <c r="C1897" s="2" t="s">
        <v>259</v>
      </c>
      <c r="D1897" s="2" t="s">
        <v>3088</v>
      </c>
      <c r="E1897" s="3" t="s">
        <v>2563</v>
      </c>
      <c r="G1897" s="4" t="s">
        <v>48</v>
      </c>
      <c r="H1897" s="22" t="s">
        <v>49</v>
      </c>
      <c r="I1897" s="22"/>
      <c r="J1897" s="22">
        <f>I1896</f>
        <v>24700</v>
      </c>
      <c r="K1897" s="22">
        <f t="shared" si="21"/>
        <v>24700</v>
      </c>
      <c r="L1897" s="17"/>
    </row>
    <row r="1898" spans="1:21" x14ac:dyDescent="0.25">
      <c r="A1898" s="10">
        <v>46146</v>
      </c>
      <c r="B1898" s="2" t="s">
        <v>3196</v>
      </c>
      <c r="C1898" s="2" t="s">
        <v>396</v>
      </c>
      <c r="D1898" s="2" t="s">
        <v>3197</v>
      </c>
      <c r="E1898" s="3" t="s">
        <v>467</v>
      </c>
      <c r="F1898" s="4">
        <v>12275</v>
      </c>
      <c r="G1898" s="4" t="s">
        <v>167</v>
      </c>
      <c r="H1898" s="22" t="s">
        <v>899</v>
      </c>
      <c r="I1898" s="22">
        <v>12275</v>
      </c>
      <c r="J1898" s="22"/>
      <c r="K1898" s="22">
        <f t="shared" si="21"/>
        <v>12275</v>
      </c>
      <c r="L1898" s="17">
        <v>12275</v>
      </c>
      <c r="M1898" s="23" t="s">
        <v>41</v>
      </c>
      <c r="N1898" s="1" t="s">
        <v>3198</v>
      </c>
      <c r="O1898" s="7" t="s">
        <v>278</v>
      </c>
      <c r="P1898" s="7" t="s">
        <v>81</v>
      </c>
      <c r="R1898" s="7" t="s">
        <v>1962</v>
      </c>
      <c r="S1898" s="3" t="s">
        <v>83</v>
      </c>
      <c r="T1898" s="3" t="s">
        <v>1963</v>
      </c>
    </row>
    <row r="1899" spans="1:21" x14ac:dyDescent="0.25">
      <c r="A1899" s="10">
        <v>46146</v>
      </c>
      <c r="B1899" s="2" t="s">
        <v>3196</v>
      </c>
      <c r="C1899" s="2" t="s">
        <v>396</v>
      </c>
      <c r="D1899" s="2" t="s">
        <v>3197</v>
      </c>
      <c r="E1899" s="3" t="s">
        <v>467</v>
      </c>
      <c r="G1899" s="4" t="s">
        <v>48</v>
      </c>
      <c r="H1899" s="22" t="s">
        <v>49</v>
      </c>
      <c r="I1899" s="22"/>
      <c r="J1899" s="22">
        <f>I1898</f>
        <v>12275</v>
      </c>
      <c r="K1899" s="22">
        <f t="shared" si="21"/>
        <v>12275</v>
      </c>
      <c r="L1899" s="17"/>
    </row>
    <row r="1900" spans="1:21" ht="24" x14ac:dyDescent="0.25">
      <c r="A1900" s="10">
        <v>46146</v>
      </c>
      <c r="B1900" s="2" t="s">
        <v>3199</v>
      </c>
      <c r="C1900" s="2" t="s">
        <v>3200</v>
      </c>
      <c r="D1900" s="2" t="s">
        <v>3201</v>
      </c>
      <c r="E1900" s="3" t="s">
        <v>1826</v>
      </c>
      <c r="F1900" s="4">
        <v>9000</v>
      </c>
      <c r="G1900" s="4" t="s">
        <v>48</v>
      </c>
      <c r="H1900" s="22" t="s">
        <v>1827</v>
      </c>
      <c r="I1900" s="22">
        <v>9000</v>
      </c>
      <c r="J1900" s="22"/>
      <c r="K1900" s="22">
        <f t="shared" si="21"/>
        <v>9000</v>
      </c>
      <c r="L1900" s="17"/>
      <c r="M1900" s="6" t="s">
        <v>581</v>
      </c>
      <c r="N1900" s="1" t="s">
        <v>3202</v>
      </c>
    </row>
    <row r="1901" spans="1:21" x14ac:dyDescent="0.25">
      <c r="A1901" s="10">
        <v>46146</v>
      </c>
      <c r="B1901" s="2" t="s">
        <v>3199</v>
      </c>
      <c r="C1901" s="2" t="s">
        <v>3200</v>
      </c>
      <c r="D1901" s="2" t="s">
        <v>3201</v>
      </c>
      <c r="E1901" s="3" t="s">
        <v>1826</v>
      </c>
      <c r="G1901" s="4" t="s">
        <v>48</v>
      </c>
      <c r="H1901" s="22" t="s">
        <v>49</v>
      </c>
      <c r="I1901" s="22"/>
      <c r="J1901" s="22">
        <f>I1900</f>
        <v>9000</v>
      </c>
      <c r="K1901" s="22">
        <f t="shared" si="21"/>
        <v>9000</v>
      </c>
      <c r="L1901" s="17"/>
    </row>
    <row r="1902" spans="1:21" ht="24" x14ac:dyDescent="0.25">
      <c r="A1902" s="10">
        <v>46146</v>
      </c>
      <c r="B1902" s="2" t="s">
        <v>3203</v>
      </c>
      <c r="C1902" s="2" t="s">
        <v>3204</v>
      </c>
      <c r="D1902" s="2" t="s">
        <v>3205</v>
      </c>
      <c r="E1902" s="3" t="s">
        <v>1826</v>
      </c>
      <c r="F1902" s="4">
        <v>9000</v>
      </c>
      <c r="G1902" s="4" t="s">
        <v>48</v>
      </c>
      <c r="H1902" s="22" t="s">
        <v>1827</v>
      </c>
      <c r="I1902" s="22">
        <v>9000</v>
      </c>
      <c r="J1902" s="22"/>
      <c r="K1902" s="22">
        <f t="shared" si="21"/>
        <v>9000</v>
      </c>
      <c r="L1902" s="32"/>
      <c r="M1902" s="6" t="s">
        <v>581</v>
      </c>
      <c r="N1902" s="1" t="s">
        <v>3206</v>
      </c>
    </row>
    <row r="1903" spans="1:21" x14ac:dyDescent="0.25">
      <c r="A1903" s="10">
        <v>46146</v>
      </c>
      <c r="B1903" s="2" t="s">
        <v>3203</v>
      </c>
      <c r="C1903" s="2" t="s">
        <v>3204</v>
      </c>
      <c r="D1903" s="2" t="s">
        <v>3205</v>
      </c>
      <c r="E1903" s="3" t="s">
        <v>1826</v>
      </c>
      <c r="G1903" s="4" t="s">
        <v>48</v>
      </c>
      <c r="H1903" s="22" t="s">
        <v>49</v>
      </c>
      <c r="I1903" s="22"/>
      <c r="J1903" s="22">
        <f>I1902</f>
        <v>9000</v>
      </c>
      <c r="K1903" s="22">
        <f t="shared" si="21"/>
        <v>9000</v>
      </c>
      <c r="L1903" s="32"/>
    </row>
    <row r="1904" spans="1:21" x14ac:dyDescent="0.25">
      <c r="A1904" s="10">
        <v>46146</v>
      </c>
      <c r="B1904" s="2" t="s">
        <v>3207</v>
      </c>
      <c r="C1904" s="2" t="s">
        <v>310</v>
      </c>
      <c r="E1904" s="3" t="s">
        <v>27</v>
      </c>
      <c r="F1904" s="4">
        <v>1110000</v>
      </c>
      <c r="G1904" s="4" t="s">
        <v>326</v>
      </c>
      <c r="H1904" s="22" t="s">
        <v>731</v>
      </c>
      <c r="I1904" s="22">
        <v>1110000</v>
      </c>
      <c r="J1904" s="22"/>
      <c r="K1904" s="22">
        <f t="shared" si="21"/>
        <v>1110000</v>
      </c>
      <c r="L1904" s="17">
        <v>1110000</v>
      </c>
      <c r="M1904" s="23" t="s">
        <v>41</v>
      </c>
      <c r="N1904" s="1" t="s">
        <v>3208</v>
      </c>
      <c r="O1904" s="7" t="s">
        <v>313</v>
      </c>
      <c r="P1904" s="7" t="s">
        <v>32</v>
      </c>
      <c r="Q1904" s="25" t="s">
        <v>3209</v>
      </c>
      <c r="R1904" s="7" t="s">
        <v>3210</v>
      </c>
      <c r="S1904" s="3" t="s">
        <v>1630</v>
      </c>
      <c r="T1904" s="3" t="s">
        <v>3175</v>
      </c>
    </row>
    <row r="1905" spans="1:20" x14ac:dyDescent="0.25">
      <c r="A1905" s="10">
        <v>46146</v>
      </c>
      <c r="B1905" s="2" t="s">
        <v>3207</v>
      </c>
      <c r="C1905" s="2" t="s">
        <v>310</v>
      </c>
      <c r="E1905" s="3" t="s">
        <v>27</v>
      </c>
      <c r="G1905" s="4" t="s">
        <v>326</v>
      </c>
      <c r="H1905" s="22" t="s">
        <v>327</v>
      </c>
      <c r="I1905" s="22"/>
      <c r="J1905" s="22">
        <f>I1904</f>
        <v>1110000</v>
      </c>
      <c r="K1905" s="22">
        <f t="shared" si="21"/>
        <v>1110000</v>
      </c>
      <c r="L1905" s="17"/>
    </row>
    <row r="1906" spans="1:20" x14ac:dyDescent="0.25">
      <c r="A1906" s="10">
        <v>46146</v>
      </c>
      <c r="B1906" s="2" t="s">
        <v>3211</v>
      </c>
      <c r="D1906" s="2" t="s">
        <v>3212</v>
      </c>
      <c r="E1906" s="3" t="s">
        <v>195</v>
      </c>
      <c r="F1906" s="4">
        <v>740000</v>
      </c>
      <c r="G1906" s="4" t="s">
        <v>167</v>
      </c>
      <c r="H1906" s="22" t="s">
        <v>3213</v>
      </c>
      <c r="I1906" s="22">
        <v>740000</v>
      </c>
      <c r="J1906" s="22"/>
      <c r="K1906" s="22">
        <f t="shared" si="21"/>
        <v>740000</v>
      </c>
      <c r="L1906" s="17">
        <v>740000</v>
      </c>
      <c r="M1906" s="23" t="s">
        <v>41</v>
      </c>
      <c r="N1906" s="1" t="s">
        <v>3214</v>
      </c>
      <c r="O1906" s="7" t="s">
        <v>313</v>
      </c>
      <c r="P1906" s="7" t="s">
        <v>32</v>
      </c>
      <c r="Q1906" s="25" t="s">
        <v>3215</v>
      </c>
      <c r="R1906" s="7" t="s">
        <v>3210</v>
      </c>
      <c r="S1906" s="3" t="s">
        <v>3216</v>
      </c>
      <c r="T1906" s="3" t="s">
        <v>3217</v>
      </c>
    </row>
    <row r="1907" spans="1:20" x14ac:dyDescent="0.25">
      <c r="A1907" s="10">
        <v>46146</v>
      </c>
      <c r="B1907" s="2" t="s">
        <v>3211</v>
      </c>
      <c r="D1907" s="2" t="s">
        <v>3212</v>
      </c>
      <c r="E1907" s="3" t="s">
        <v>195</v>
      </c>
      <c r="G1907" s="4" t="s">
        <v>167</v>
      </c>
      <c r="H1907" s="22" t="s">
        <v>3218</v>
      </c>
      <c r="I1907" s="22"/>
      <c r="J1907" s="22">
        <f>I1906</f>
        <v>740000</v>
      </c>
      <c r="K1907" s="22">
        <f t="shared" si="21"/>
        <v>740000</v>
      </c>
      <c r="L1907" s="17"/>
      <c r="M1907" s="23"/>
      <c r="Q1907" s="25"/>
    </row>
    <row r="1908" spans="1:20" x14ac:dyDescent="0.25">
      <c r="A1908" s="10">
        <v>46146</v>
      </c>
      <c r="B1908" s="2" t="s">
        <v>3219</v>
      </c>
      <c r="C1908" s="2" t="s">
        <v>141</v>
      </c>
      <c r="E1908" s="3" t="s">
        <v>195</v>
      </c>
      <c r="F1908" s="4">
        <v>740000</v>
      </c>
      <c r="G1908" s="4" t="s">
        <v>167</v>
      </c>
      <c r="H1908" s="34" t="s">
        <v>81</v>
      </c>
      <c r="I1908" s="22">
        <v>740000</v>
      </c>
      <c r="J1908" s="22"/>
      <c r="K1908" s="22">
        <f t="shared" si="21"/>
        <v>740000</v>
      </c>
      <c r="L1908" s="17">
        <v>740000</v>
      </c>
      <c r="M1908" s="23" t="s">
        <v>41</v>
      </c>
      <c r="N1908" s="1" t="s">
        <v>3220</v>
      </c>
      <c r="O1908" s="7" t="s">
        <v>143</v>
      </c>
      <c r="P1908" s="7" t="s">
        <v>32</v>
      </c>
      <c r="R1908" s="7" t="s">
        <v>3210</v>
      </c>
      <c r="S1908" s="3" t="s">
        <v>3221</v>
      </c>
      <c r="T1908" s="3" t="s">
        <v>3217</v>
      </c>
    </row>
    <row r="1909" spans="1:20" x14ac:dyDescent="0.25">
      <c r="A1909" s="10">
        <v>46146</v>
      </c>
      <c r="B1909" s="2" t="s">
        <v>3219</v>
      </c>
      <c r="C1909" s="2" t="s">
        <v>141</v>
      </c>
      <c r="E1909" s="3" t="s">
        <v>195</v>
      </c>
      <c r="G1909" s="4" t="s">
        <v>167</v>
      </c>
      <c r="H1909" s="34" t="s">
        <v>3213</v>
      </c>
      <c r="I1909" s="22"/>
      <c r="J1909" s="22">
        <f>I1908</f>
        <v>740000</v>
      </c>
      <c r="K1909" s="22">
        <f t="shared" si="21"/>
        <v>740000</v>
      </c>
      <c r="L1909" s="32"/>
      <c r="M1909" s="23"/>
    </row>
    <row r="1910" spans="1:20" ht="24" x14ac:dyDescent="0.25">
      <c r="A1910" s="10">
        <v>46146</v>
      </c>
      <c r="B1910" s="2" t="s">
        <v>3222</v>
      </c>
      <c r="C1910" s="2" t="s">
        <v>2698</v>
      </c>
      <c r="E1910" s="3" t="s">
        <v>3223</v>
      </c>
      <c r="F1910" s="4">
        <v>4037.5</v>
      </c>
      <c r="G1910" s="4" t="s">
        <v>326</v>
      </c>
      <c r="H1910" s="22" t="s">
        <v>2153</v>
      </c>
      <c r="I1910" s="22">
        <v>4037.5</v>
      </c>
      <c r="J1910" s="22"/>
      <c r="K1910" s="22">
        <f t="shared" si="21"/>
        <v>4037.5</v>
      </c>
      <c r="L1910" s="17">
        <v>4037.5</v>
      </c>
      <c r="M1910" s="23" t="s">
        <v>41</v>
      </c>
      <c r="N1910" s="1" t="s">
        <v>3224</v>
      </c>
      <c r="O1910" s="24" t="s">
        <v>3225</v>
      </c>
      <c r="P1910" s="7" t="s">
        <v>81</v>
      </c>
      <c r="R1910" s="7" t="s">
        <v>1962</v>
      </c>
      <c r="S1910" s="3" t="s">
        <v>83</v>
      </c>
    </row>
    <row r="1911" spans="1:20" x14ac:dyDescent="0.25">
      <c r="A1911" s="10">
        <v>46146</v>
      </c>
      <c r="B1911" s="2" t="s">
        <v>3222</v>
      </c>
      <c r="C1911" s="2" t="s">
        <v>2698</v>
      </c>
      <c r="E1911" s="3" t="s">
        <v>3223</v>
      </c>
      <c r="G1911" s="4" t="s">
        <v>48</v>
      </c>
      <c r="H1911" s="22" t="s">
        <v>49</v>
      </c>
      <c r="I1911" s="22"/>
      <c r="J1911" s="22">
        <f>I1910</f>
        <v>4037.5</v>
      </c>
      <c r="K1911" s="22">
        <f t="shared" si="21"/>
        <v>4037.5</v>
      </c>
      <c r="L1911" s="17"/>
    </row>
    <row r="1912" spans="1:20" x14ac:dyDescent="0.25">
      <c r="A1912" s="10">
        <v>46146</v>
      </c>
      <c r="B1912" s="2" t="s">
        <v>3226</v>
      </c>
      <c r="E1912" s="3" t="s">
        <v>398</v>
      </c>
      <c r="F1912" s="4">
        <v>500000</v>
      </c>
      <c r="G1912" s="4" t="s">
        <v>167</v>
      </c>
      <c r="H1912" s="22" t="s">
        <v>168</v>
      </c>
      <c r="I1912" s="22">
        <v>500000</v>
      </c>
      <c r="J1912" s="22"/>
      <c r="K1912" s="22">
        <f t="shared" si="21"/>
        <v>500000</v>
      </c>
      <c r="L1912" s="17">
        <v>500000</v>
      </c>
      <c r="M1912" s="23" t="s">
        <v>41</v>
      </c>
      <c r="N1912" s="1" t="s">
        <v>3227</v>
      </c>
      <c r="O1912" s="7" t="s">
        <v>3228</v>
      </c>
      <c r="P1912" s="7" t="s">
        <v>81</v>
      </c>
      <c r="R1912" s="7" t="s">
        <v>3210</v>
      </c>
      <c r="S1912" s="3" t="s">
        <v>83</v>
      </c>
      <c r="T1912" s="3" t="s">
        <v>3229</v>
      </c>
    </row>
    <row r="1913" spans="1:20" x14ac:dyDescent="0.25">
      <c r="A1913" s="10">
        <v>46146</v>
      </c>
      <c r="B1913" s="2" t="s">
        <v>3226</v>
      </c>
      <c r="E1913" s="3" t="s">
        <v>398</v>
      </c>
      <c r="G1913" s="4" t="s">
        <v>167</v>
      </c>
      <c r="H1913" s="22" t="s">
        <v>81</v>
      </c>
      <c r="I1913" s="22"/>
      <c r="J1913" s="22">
        <f>I1912</f>
        <v>500000</v>
      </c>
      <c r="K1913" s="22">
        <f t="shared" si="21"/>
        <v>500000</v>
      </c>
      <c r="L1913" s="17"/>
    </row>
    <row r="1914" spans="1:20" ht="24" x14ac:dyDescent="0.25">
      <c r="A1914" s="10">
        <v>46146</v>
      </c>
      <c r="B1914" s="2" t="s">
        <v>3230</v>
      </c>
      <c r="E1914" s="3" t="s">
        <v>398</v>
      </c>
      <c r="F1914" s="4">
        <v>240000</v>
      </c>
      <c r="G1914" s="4" t="s">
        <v>167</v>
      </c>
      <c r="H1914" s="22" t="s">
        <v>3231</v>
      </c>
      <c r="I1914" s="22">
        <v>240000</v>
      </c>
      <c r="J1914" s="22"/>
      <c r="K1914" s="22">
        <f t="shared" si="21"/>
        <v>240000</v>
      </c>
      <c r="L1914" s="17">
        <v>240000</v>
      </c>
      <c r="M1914" s="23" t="s">
        <v>41</v>
      </c>
      <c r="N1914" s="1" t="s">
        <v>3232</v>
      </c>
      <c r="O1914" s="7" t="s">
        <v>116</v>
      </c>
      <c r="P1914" s="7" t="s">
        <v>81</v>
      </c>
      <c r="R1914" s="7" t="s">
        <v>3210</v>
      </c>
      <c r="S1914" s="3" t="s">
        <v>83</v>
      </c>
      <c r="T1914" s="3" t="s">
        <v>3229</v>
      </c>
    </row>
    <row r="1915" spans="1:20" x14ac:dyDescent="0.25">
      <c r="A1915" s="10">
        <v>46146</v>
      </c>
      <c r="B1915" s="2" t="s">
        <v>3230</v>
      </c>
      <c r="E1915" s="3" t="s">
        <v>398</v>
      </c>
      <c r="G1915" s="4" t="s">
        <v>167</v>
      </c>
      <c r="H1915" s="22" t="s">
        <v>81</v>
      </c>
      <c r="I1915" s="22"/>
      <c r="J1915" s="22">
        <f>I1914</f>
        <v>240000</v>
      </c>
      <c r="K1915" s="22">
        <f t="shared" si="21"/>
        <v>240000</v>
      </c>
      <c r="L1915" s="17"/>
    </row>
    <row r="1916" spans="1:20" x14ac:dyDescent="0.25">
      <c r="A1916" s="10">
        <v>46146</v>
      </c>
      <c r="B1916" s="2" t="s">
        <v>3233</v>
      </c>
      <c r="C1916" s="2" t="s">
        <v>141</v>
      </c>
      <c r="E1916" s="3" t="s">
        <v>27</v>
      </c>
      <c r="F1916" s="4">
        <v>1578000</v>
      </c>
      <c r="G1916" s="4" t="s">
        <v>326</v>
      </c>
      <c r="H1916" s="22" t="s">
        <v>81</v>
      </c>
      <c r="I1916" s="22">
        <v>1578000</v>
      </c>
      <c r="J1916" s="22"/>
      <c r="K1916" s="22">
        <f t="shared" si="21"/>
        <v>1578000</v>
      </c>
      <c r="L1916" s="17">
        <v>1578000</v>
      </c>
      <c r="M1916" s="23" t="s">
        <v>41</v>
      </c>
      <c r="N1916" s="1" t="s">
        <v>3234</v>
      </c>
      <c r="O1916" s="7" t="s">
        <v>3235</v>
      </c>
      <c r="P1916" s="7" t="s">
        <v>32</v>
      </c>
      <c r="R1916" s="7" t="s">
        <v>3210</v>
      </c>
      <c r="S1916" s="3" t="s">
        <v>3221</v>
      </c>
      <c r="T1916" s="3" t="s">
        <v>3236</v>
      </c>
    </row>
    <row r="1917" spans="1:20" x14ac:dyDescent="0.25">
      <c r="A1917" s="10">
        <v>46146</v>
      </c>
      <c r="B1917" s="2" t="s">
        <v>3233</v>
      </c>
      <c r="C1917" s="2" t="s">
        <v>141</v>
      </c>
      <c r="E1917" s="3" t="s">
        <v>27</v>
      </c>
      <c r="G1917" s="4" t="s">
        <v>167</v>
      </c>
      <c r="H1917" s="22" t="s">
        <v>3213</v>
      </c>
      <c r="I1917" s="22"/>
      <c r="J1917" s="22">
        <f>I1916</f>
        <v>1578000</v>
      </c>
      <c r="K1917" s="22">
        <f t="shared" si="21"/>
        <v>1578000</v>
      </c>
      <c r="L1917" s="17"/>
      <c r="M1917" s="23"/>
    </row>
    <row r="1918" spans="1:20" x14ac:dyDescent="0.25">
      <c r="A1918" s="10">
        <v>46146</v>
      </c>
      <c r="B1918" s="2" t="s">
        <v>3237</v>
      </c>
      <c r="C1918" s="2" t="s">
        <v>3238</v>
      </c>
      <c r="E1918" s="3" t="s">
        <v>27</v>
      </c>
      <c r="F1918" s="4">
        <v>1578000</v>
      </c>
      <c r="G1918" s="4" t="s">
        <v>326</v>
      </c>
      <c r="H1918" s="34" t="s">
        <v>366</v>
      </c>
      <c r="I1918" s="22">
        <v>1578000</v>
      </c>
      <c r="J1918" s="34"/>
      <c r="K1918" s="22">
        <f t="shared" si="21"/>
        <v>1578000</v>
      </c>
      <c r="L1918" s="17">
        <v>1578000</v>
      </c>
      <c r="M1918" s="23" t="s">
        <v>41</v>
      </c>
      <c r="N1918" s="1" t="s">
        <v>3239</v>
      </c>
      <c r="O1918" s="7" t="s">
        <v>3240</v>
      </c>
      <c r="P1918" s="7" t="s">
        <v>81</v>
      </c>
      <c r="R1918" s="7" t="s">
        <v>3210</v>
      </c>
      <c r="S1918" s="3" t="s">
        <v>83</v>
      </c>
      <c r="T1918" s="3" t="s">
        <v>3241</v>
      </c>
    </row>
    <row r="1919" spans="1:20" x14ac:dyDescent="0.25">
      <c r="A1919" s="10">
        <v>46146</v>
      </c>
      <c r="B1919" s="2" t="s">
        <v>3237</v>
      </c>
      <c r="C1919" s="2" t="s">
        <v>3238</v>
      </c>
      <c r="E1919" s="3" t="s">
        <v>27</v>
      </c>
      <c r="G1919" s="4" t="s">
        <v>326</v>
      </c>
      <c r="H1919" s="22" t="s">
        <v>81</v>
      </c>
      <c r="I1919" s="34"/>
      <c r="J1919" s="22">
        <f>I1918</f>
        <v>1578000</v>
      </c>
      <c r="K1919" s="22">
        <f t="shared" si="21"/>
        <v>1578000</v>
      </c>
      <c r="L1919" s="32"/>
      <c r="M1919" s="23"/>
    </row>
    <row r="1920" spans="1:20" ht="24" x14ac:dyDescent="0.25">
      <c r="A1920" s="10">
        <v>46146</v>
      </c>
      <c r="B1920" s="2" t="s">
        <v>3242</v>
      </c>
      <c r="C1920" s="2" t="s">
        <v>95</v>
      </c>
      <c r="D1920" s="2" t="s">
        <v>3243</v>
      </c>
      <c r="E1920" s="3" t="s">
        <v>233</v>
      </c>
      <c r="F1920" s="4">
        <v>2947.74</v>
      </c>
      <c r="G1920" s="4" t="s">
        <v>28</v>
      </c>
      <c r="H1920" s="22" t="s">
        <v>78</v>
      </c>
      <c r="I1920" s="22">
        <v>2947.74</v>
      </c>
      <c r="J1920" s="22"/>
      <c r="K1920" s="22">
        <f t="shared" si="21"/>
        <v>2947.74</v>
      </c>
      <c r="L1920" s="17">
        <v>2947.74</v>
      </c>
      <c r="M1920" s="23" t="s">
        <v>41</v>
      </c>
      <c r="N1920" s="1" t="s">
        <v>3244</v>
      </c>
      <c r="O1920" s="24" t="s">
        <v>2884</v>
      </c>
      <c r="P1920" s="7" t="s">
        <v>81</v>
      </c>
      <c r="R1920" s="7" t="s">
        <v>2455</v>
      </c>
      <c r="S1920" s="3" t="s">
        <v>83</v>
      </c>
      <c r="T1920" s="3" t="s">
        <v>3245</v>
      </c>
    </row>
    <row r="1921" spans="1:20" x14ac:dyDescent="0.25">
      <c r="A1921" s="10">
        <v>46146</v>
      </c>
      <c r="B1921" s="2" t="s">
        <v>3242</v>
      </c>
      <c r="C1921" s="2" t="s">
        <v>95</v>
      </c>
      <c r="D1921" s="2" t="s">
        <v>3243</v>
      </c>
      <c r="E1921" s="3" t="s">
        <v>233</v>
      </c>
      <c r="G1921" s="4" t="s">
        <v>48</v>
      </c>
      <c r="H1921" s="22" t="s">
        <v>49</v>
      </c>
      <c r="I1921" s="22"/>
      <c r="J1921" s="22">
        <f>I1920</f>
        <v>2947.74</v>
      </c>
      <c r="K1921" s="22">
        <f t="shared" si="21"/>
        <v>2947.74</v>
      </c>
      <c r="L1921" s="17"/>
    </row>
    <row r="1922" spans="1:20" ht="24" x14ac:dyDescent="0.25">
      <c r="A1922" s="10">
        <v>46146</v>
      </c>
      <c r="B1922" s="2" t="s">
        <v>3246</v>
      </c>
      <c r="C1922" s="2" t="s">
        <v>3247</v>
      </c>
      <c r="D1922" s="2" t="s">
        <v>3248</v>
      </c>
      <c r="E1922" s="3" t="s">
        <v>2760</v>
      </c>
      <c r="F1922" s="4">
        <v>38120</v>
      </c>
      <c r="G1922" s="4" t="s">
        <v>128</v>
      </c>
      <c r="H1922" s="34" t="s">
        <v>1916</v>
      </c>
      <c r="I1922" s="22">
        <v>38120</v>
      </c>
      <c r="J1922" s="22"/>
      <c r="K1922" s="22">
        <f t="shared" si="21"/>
        <v>38120</v>
      </c>
      <c r="L1922" s="17"/>
      <c r="M1922" s="23" t="s">
        <v>41</v>
      </c>
      <c r="N1922" s="1" t="s">
        <v>3249</v>
      </c>
    </row>
    <row r="1923" spans="1:20" x14ac:dyDescent="0.25">
      <c r="A1923" s="10">
        <v>46146</v>
      </c>
      <c r="B1923" s="2" t="s">
        <v>3246</v>
      </c>
      <c r="C1923" s="2" t="s">
        <v>3247</v>
      </c>
      <c r="D1923" s="2" t="s">
        <v>3248</v>
      </c>
      <c r="E1923" s="3" t="s">
        <v>2760</v>
      </c>
      <c r="G1923" s="4" t="s">
        <v>48</v>
      </c>
      <c r="H1923" s="22" t="s">
        <v>49</v>
      </c>
      <c r="I1923" s="22"/>
      <c r="J1923" s="22">
        <f>I1922</f>
        <v>38120</v>
      </c>
      <c r="K1923" s="22">
        <f t="shared" si="21"/>
        <v>38120</v>
      </c>
      <c r="L1923" s="17"/>
    </row>
    <row r="1924" spans="1:20" ht="24" x14ac:dyDescent="0.25">
      <c r="A1924" s="10">
        <v>46146</v>
      </c>
      <c r="B1924" s="2" t="s">
        <v>3250</v>
      </c>
      <c r="C1924" s="2" t="s">
        <v>3251</v>
      </c>
      <c r="D1924" s="2" t="s">
        <v>3248</v>
      </c>
      <c r="E1924" s="3" t="s">
        <v>553</v>
      </c>
      <c r="F1924" s="4">
        <v>2185</v>
      </c>
      <c r="G1924" s="4" t="s">
        <v>128</v>
      </c>
      <c r="H1924" s="34" t="s">
        <v>1916</v>
      </c>
      <c r="I1924" s="22">
        <v>2185</v>
      </c>
      <c r="J1924" s="22"/>
      <c r="K1924" s="22">
        <f t="shared" si="21"/>
        <v>2185</v>
      </c>
      <c r="L1924" s="32"/>
      <c r="M1924" s="23" t="s">
        <v>41</v>
      </c>
      <c r="N1924" s="1" t="s">
        <v>3252</v>
      </c>
    </row>
    <row r="1925" spans="1:20" x14ac:dyDescent="0.25">
      <c r="A1925" s="10">
        <v>46146</v>
      </c>
      <c r="B1925" s="2" t="s">
        <v>3250</v>
      </c>
      <c r="C1925" s="2" t="s">
        <v>3251</v>
      </c>
      <c r="D1925" s="2" t="s">
        <v>3248</v>
      </c>
      <c r="E1925" s="3" t="s">
        <v>553</v>
      </c>
      <c r="G1925" s="4" t="s">
        <v>48</v>
      </c>
      <c r="H1925" s="22" t="s">
        <v>49</v>
      </c>
      <c r="I1925" s="22"/>
      <c r="J1925" s="22">
        <f>I1924</f>
        <v>2185</v>
      </c>
      <c r="K1925" s="22">
        <f t="shared" si="21"/>
        <v>2185</v>
      </c>
      <c r="L1925" s="32"/>
    </row>
    <row r="1926" spans="1:20" x14ac:dyDescent="0.25">
      <c r="A1926" s="10">
        <v>46147</v>
      </c>
      <c r="B1926" s="2" t="s">
        <v>3253</v>
      </c>
      <c r="C1926" s="2" t="s">
        <v>3254</v>
      </c>
      <c r="D1926" s="2" t="s">
        <v>3255</v>
      </c>
      <c r="E1926" s="3" t="s">
        <v>553</v>
      </c>
      <c r="F1926" s="4">
        <v>3180</v>
      </c>
      <c r="G1926" s="4" t="s">
        <v>128</v>
      </c>
      <c r="H1926" s="34" t="s">
        <v>1916</v>
      </c>
      <c r="I1926" s="22">
        <v>3180</v>
      </c>
      <c r="J1926" s="22"/>
      <c r="K1926" s="22">
        <f t="shared" si="21"/>
        <v>3180</v>
      </c>
      <c r="L1926" s="17"/>
      <c r="M1926" s="23" t="s">
        <v>41</v>
      </c>
      <c r="N1926" s="1" t="s">
        <v>3256</v>
      </c>
    </row>
    <row r="1927" spans="1:20" x14ac:dyDescent="0.25">
      <c r="A1927" s="10">
        <v>46147</v>
      </c>
      <c r="B1927" s="2" t="s">
        <v>3253</v>
      </c>
      <c r="C1927" s="2" t="s">
        <v>3254</v>
      </c>
      <c r="D1927" s="2" t="s">
        <v>3255</v>
      </c>
      <c r="E1927" s="3" t="s">
        <v>553</v>
      </c>
      <c r="G1927" s="4" t="s">
        <v>48</v>
      </c>
      <c r="H1927" s="22" t="s">
        <v>49</v>
      </c>
      <c r="I1927" s="22"/>
      <c r="J1927" s="22">
        <f>I1926</f>
        <v>3180</v>
      </c>
      <c r="K1927" s="22">
        <f t="shared" si="21"/>
        <v>3180</v>
      </c>
      <c r="L1927" s="17"/>
    </row>
    <row r="1928" spans="1:20" ht="24" x14ac:dyDescent="0.25">
      <c r="A1928" s="10">
        <v>46147</v>
      </c>
      <c r="B1928" s="2" t="s">
        <v>3257</v>
      </c>
      <c r="C1928" s="2" t="s">
        <v>3258</v>
      </c>
      <c r="D1928" s="2" t="s">
        <v>3259</v>
      </c>
      <c r="E1928" s="3" t="s">
        <v>3260</v>
      </c>
      <c r="F1928" s="4">
        <v>37200</v>
      </c>
      <c r="G1928" s="4" t="s">
        <v>128</v>
      </c>
      <c r="H1928" s="34" t="s">
        <v>1916</v>
      </c>
      <c r="I1928" s="22">
        <v>37200</v>
      </c>
      <c r="J1928" s="22"/>
      <c r="K1928" s="22">
        <f t="shared" si="21"/>
        <v>37200</v>
      </c>
      <c r="L1928" s="17"/>
      <c r="M1928" s="23" t="s">
        <v>41</v>
      </c>
      <c r="N1928" s="1" t="s">
        <v>3261</v>
      </c>
    </row>
    <row r="1929" spans="1:20" x14ac:dyDescent="0.25">
      <c r="A1929" s="10">
        <v>46147</v>
      </c>
      <c r="B1929" s="2" t="s">
        <v>3257</v>
      </c>
      <c r="C1929" s="2" t="s">
        <v>3258</v>
      </c>
      <c r="D1929" s="2" t="s">
        <v>3259</v>
      </c>
      <c r="E1929" s="3" t="s">
        <v>3260</v>
      </c>
      <c r="G1929" s="4" t="s">
        <v>48</v>
      </c>
      <c r="H1929" s="22" t="s">
        <v>49</v>
      </c>
      <c r="I1929" s="22"/>
      <c r="J1929" s="22">
        <f>I1928</f>
        <v>37200</v>
      </c>
      <c r="K1929" s="22">
        <f t="shared" ref="K1929:K1992" si="22">ABS(I1929-J1929)</f>
        <v>37200</v>
      </c>
      <c r="L1929" s="17"/>
    </row>
    <row r="1930" spans="1:20" ht="24" x14ac:dyDescent="0.25">
      <c r="A1930" s="10">
        <v>46147</v>
      </c>
      <c r="B1930" s="2" t="s">
        <v>3262</v>
      </c>
      <c r="C1930" s="2" t="s">
        <v>3263</v>
      </c>
      <c r="D1930" s="2" t="s">
        <v>3264</v>
      </c>
      <c r="E1930" s="3" t="s">
        <v>562</v>
      </c>
      <c r="F1930" s="4">
        <f>(2310/1.12)+(2310/1.12*0.12)-(2310/1.12*0.01)</f>
        <v>2289.375</v>
      </c>
      <c r="G1930" s="3" t="s">
        <v>28</v>
      </c>
      <c r="H1930" s="34" t="s">
        <v>40</v>
      </c>
      <c r="I1930" s="22">
        <f>2310/1.12</f>
        <v>2062.5</v>
      </c>
      <c r="J1930" s="34"/>
      <c r="K1930" s="22">
        <f t="shared" si="22"/>
        <v>2062.5</v>
      </c>
      <c r="L1930" s="17">
        <v>2289.38</v>
      </c>
      <c r="M1930" s="23" t="s">
        <v>41</v>
      </c>
      <c r="N1930" s="1" t="s">
        <v>3265</v>
      </c>
      <c r="O1930" s="7" t="s">
        <v>116</v>
      </c>
      <c r="P1930" s="7" t="s">
        <v>81</v>
      </c>
      <c r="R1930" s="7" t="s">
        <v>279</v>
      </c>
      <c r="S1930" s="3" t="s">
        <v>83</v>
      </c>
      <c r="T1930" s="3" t="s">
        <v>3266</v>
      </c>
    </row>
    <row r="1931" spans="1:20" x14ac:dyDescent="0.25">
      <c r="A1931" s="10">
        <v>46147</v>
      </c>
      <c r="B1931" s="2" t="s">
        <v>3262</v>
      </c>
      <c r="C1931" s="2" t="s">
        <v>3263</v>
      </c>
      <c r="D1931" s="2" t="s">
        <v>3264</v>
      </c>
      <c r="E1931" s="3" t="s">
        <v>562</v>
      </c>
      <c r="G1931" s="3" t="s">
        <v>28</v>
      </c>
      <c r="H1931" s="34" t="s">
        <v>104</v>
      </c>
      <c r="I1931" s="41">
        <f>I1930*0.12</f>
        <v>247.5</v>
      </c>
      <c r="J1931" s="34"/>
      <c r="K1931" s="22">
        <f t="shared" si="22"/>
        <v>247.5</v>
      </c>
      <c r="L1931" s="32"/>
    </row>
    <row r="1932" spans="1:20" x14ac:dyDescent="0.25">
      <c r="A1932" s="10">
        <v>46147</v>
      </c>
      <c r="B1932" s="2" t="s">
        <v>3262</v>
      </c>
      <c r="C1932" s="2" t="s">
        <v>3263</v>
      </c>
      <c r="D1932" s="2" t="s">
        <v>3264</v>
      </c>
      <c r="E1932" s="3" t="s">
        <v>562</v>
      </c>
      <c r="G1932" s="3" t="s">
        <v>28</v>
      </c>
      <c r="H1932" s="34" t="s">
        <v>105</v>
      </c>
      <c r="I1932" s="34"/>
      <c r="J1932" s="41">
        <f>I1930*0.01</f>
        <v>20.625</v>
      </c>
      <c r="K1932" s="22">
        <f t="shared" si="22"/>
        <v>20.625</v>
      </c>
      <c r="L1932" s="32"/>
    </row>
    <row r="1933" spans="1:20" x14ac:dyDescent="0.25">
      <c r="A1933" s="10">
        <v>46147</v>
      </c>
      <c r="B1933" s="2" t="s">
        <v>3262</v>
      </c>
      <c r="C1933" s="2" t="s">
        <v>3263</v>
      </c>
      <c r="D1933" s="2" t="s">
        <v>3264</v>
      </c>
      <c r="E1933" s="3" t="s">
        <v>562</v>
      </c>
      <c r="G1933" s="4" t="s">
        <v>48</v>
      </c>
      <c r="H1933" s="22" t="s">
        <v>49</v>
      </c>
      <c r="I1933" s="34"/>
      <c r="J1933" s="41">
        <f>I1930+I1931-J1932</f>
        <v>2289.375</v>
      </c>
      <c r="K1933" s="22">
        <f t="shared" si="22"/>
        <v>2289.375</v>
      </c>
      <c r="L1933" s="32"/>
    </row>
    <row r="1934" spans="1:20" ht="24" x14ac:dyDescent="0.25">
      <c r="A1934" s="10">
        <v>46147</v>
      </c>
      <c r="B1934" s="2" t="s">
        <v>3267</v>
      </c>
      <c r="C1934" s="2" t="s">
        <v>3268</v>
      </c>
      <c r="D1934" s="2" t="s">
        <v>3264</v>
      </c>
      <c r="E1934" s="44" t="s">
        <v>553</v>
      </c>
      <c r="F1934" s="4">
        <f>(3030/1.12)+(3030/1.12*0.12)-(3030/1.12*0.01)</f>
        <v>3002.9464285714284</v>
      </c>
      <c r="G1934" s="3" t="s">
        <v>28</v>
      </c>
      <c r="H1934" s="34" t="s">
        <v>40</v>
      </c>
      <c r="I1934" s="22">
        <f>3030/1.12</f>
        <v>2705.3571428571427</v>
      </c>
      <c r="J1934" s="34"/>
      <c r="K1934" s="22">
        <f t="shared" si="22"/>
        <v>2705.3571428571427</v>
      </c>
      <c r="L1934" s="17">
        <v>3002.95</v>
      </c>
      <c r="M1934" s="23" t="s">
        <v>41</v>
      </c>
      <c r="N1934" s="1" t="s">
        <v>3269</v>
      </c>
      <c r="O1934" s="7" t="s">
        <v>116</v>
      </c>
      <c r="P1934" s="7" t="s">
        <v>81</v>
      </c>
      <c r="R1934" s="7" t="s">
        <v>279</v>
      </c>
      <c r="S1934" s="3" t="s">
        <v>83</v>
      </c>
      <c r="T1934" s="3" t="s">
        <v>3266</v>
      </c>
    </row>
    <row r="1935" spans="1:20" x14ac:dyDescent="0.25">
      <c r="A1935" s="10">
        <v>46147</v>
      </c>
      <c r="B1935" s="2" t="s">
        <v>3267</v>
      </c>
      <c r="C1935" s="2" t="s">
        <v>3268</v>
      </c>
      <c r="D1935" s="2" t="s">
        <v>3264</v>
      </c>
      <c r="E1935" s="44" t="s">
        <v>553</v>
      </c>
      <c r="G1935" s="3" t="s">
        <v>28</v>
      </c>
      <c r="H1935" s="34" t="s">
        <v>104</v>
      </c>
      <c r="I1935" s="41">
        <f>I1934*0.12</f>
        <v>324.64285714285711</v>
      </c>
      <c r="J1935" s="34"/>
      <c r="K1935" s="22">
        <f t="shared" si="22"/>
        <v>324.64285714285711</v>
      </c>
      <c r="L1935" s="17"/>
    </row>
    <row r="1936" spans="1:20" x14ac:dyDescent="0.25">
      <c r="A1936" s="10">
        <v>46147</v>
      </c>
      <c r="B1936" s="2" t="s">
        <v>3267</v>
      </c>
      <c r="C1936" s="2" t="s">
        <v>3268</v>
      </c>
      <c r="D1936" s="2" t="s">
        <v>3264</v>
      </c>
      <c r="E1936" s="44" t="s">
        <v>553</v>
      </c>
      <c r="G1936" s="3" t="s">
        <v>28</v>
      </c>
      <c r="H1936" s="34" t="s">
        <v>105</v>
      </c>
      <c r="I1936" s="34"/>
      <c r="J1936" s="41">
        <f>I1934*0.01</f>
        <v>27.053571428571427</v>
      </c>
      <c r="K1936" s="22">
        <f t="shared" si="22"/>
        <v>27.053571428571427</v>
      </c>
      <c r="L1936" s="17"/>
    </row>
    <row r="1937" spans="1:20" x14ac:dyDescent="0.25">
      <c r="A1937" s="10">
        <v>46147</v>
      </c>
      <c r="B1937" s="2" t="s">
        <v>3267</v>
      </c>
      <c r="C1937" s="2" t="s">
        <v>3268</v>
      </c>
      <c r="D1937" s="2" t="s">
        <v>3264</v>
      </c>
      <c r="E1937" s="44" t="s">
        <v>553</v>
      </c>
      <c r="G1937" s="4" t="s">
        <v>48</v>
      </c>
      <c r="H1937" s="22" t="s">
        <v>49</v>
      </c>
      <c r="I1937" s="34"/>
      <c r="J1937" s="41">
        <f>I1934+I1935-J1936</f>
        <v>3002.9464285714284</v>
      </c>
      <c r="K1937" s="22">
        <f t="shared" si="22"/>
        <v>3002.9464285714284</v>
      </c>
      <c r="L1937" s="17"/>
    </row>
    <row r="1938" spans="1:20" ht="24" x14ac:dyDescent="0.25">
      <c r="A1938" s="10">
        <v>46147</v>
      </c>
      <c r="B1938" s="2" t="s">
        <v>3270</v>
      </c>
      <c r="C1938" s="2" t="s">
        <v>3271</v>
      </c>
      <c r="D1938" s="2" t="s">
        <v>3272</v>
      </c>
      <c r="E1938" s="44" t="s">
        <v>553</v>
      </c>
      <c r="F1938" s="4">
        <f>(720/1.12)+(720/1.12*0.12)-(720/1.12*0.01)</f>
        <v>713.57142857142844</v>
      </c>
      <c r="G1938" s="3" t="s">
        <v>28</v>
      </c>
      <c r="H1938" s="34" t="s">
        <v>40</v>
      </c>
      <c r="I1938" s="22">
        <f>720/1.12</f>
        <v>642.85714285714278</v>
      </c>
      <c r="J1938" s="34"/>
      <c r="K1938" s="22">
        <f t="shared" si="22"/>
        <v>642.85714285714278</v>
      </c>
      <c r="L1938" s="17">
        <v>713.57</v>
      </c>
      <c r="M1938" s="23" t="s">
        <v>41</v>
      </c>
      <c r="N1938" s="1" t="s">
        <v>3273</v>
      </c>
      <c r="O1938" s="7" t="s">
        <v>116</v>
      </c>
      <c r="P1938" s="7" t="s">
        <v>81</v>
      </c>
      <c r="R1938" s="7" t="s">
        <v>279</v>
      </c>
      <c r="S1938" s="3" t="s">
        <v>83</v>
      </c>
      <c r="T1938" s="3" t="s">
        <v>3266</v>
      </c>
    </row>
    <row r="1939" spans="1:20" x14ac:dyDescent="0.25">
      <c r="A1939" s="10">
        <v>46147</v>
      </c>
      <c r="B1939" s="2" t="s">
        <v>3270</v>
      </c>
      <c r="C1939" s="2" t="s">
        <v>3271</v>
      </c>
      <c r="D1939" s="2" t="s">
        <v>3272</v>
      </c>
      <c r="E1939" s="44" t="s">
        <v>553</v>
      </c>
      <c r="G1939" s="3" t="s">
        <v>28</v>
      </c>
      <c r="H1939" s="34" t="s">
        <v>104</v>
      </c>
      <c r="I1939" s="41">
        <f>I1938*0.12</f>
        <v>77.142857142857125</v>
      </c>
      <c r="J1939" s="34"/>
      <c r="K1939" s="22">
        <f t="shared" si="22"/>
        <v>77.142857142857125</v>
      </c>
      <c r="L1939" s="17"/>
    </row>
    <row r="1940" spans="1:20" x14ac:dyDescent="0.25">
      <c r="A1940" s="10">
        <v>46147</v>
      </c>
      <c r="B1940" s="2" t="s">
        <v>3270</v>
      </c>
      <c r="C1940" s="2" t="s">
        <v>3271</v>
      </c>
      <c r="D1940" s="2" t="s">
        <v>3272</v>
      </c>
      <c r="E1940" s="44" t="s">
        <v>553</v>
      </c>
      <c r="G1940" s="3" t="s">
        <v>28</v>
      </c>
      <c r="H1940" s="34" t="s">
        <v>105</v>
      </c>
      <c r="I1940" s="34"/>
      <c r="J1940" s="41">
        <f>I1938*0.01</f>
        <v>6.4285714285714279</v>
      </c>
      <c r="K1940" s="22">
        <f t="shared" si="22"/>
        <v>6.4285714285714279</v>
      </c>
      <c r="L1940" s="17"/>
    </row>
    <row r="1941" spans="1:20" x14ac:dyDescent="0.25">
      <c r="A1941" s="10">
        <v>46147</v>
      </c>
      <c r="B1941" s="2" t="s">
        <v>3270</v>
      </c>
      <c r="C1941" s="2" t="s">
        <v>3271</v>
      </c>
      <c r="D1941" s="2" t="s">
        <v>3272</v>
      </c>
      <c r="E1941" s="44" t="s">
        <v>553</v>
      </c>
      <c r="G1941" s="4" t="s">
        <v>48</v>
      </c>
      <c r="H1941" s="22" t="s">
        <v>49</v>
      </c>
      <c r="I1941" s="34"/>
      <c r="J1941" s="41">
        <f>I1938+I1939-J1940</f>
        <v>713.57142857142844</v>
      </c>
      <c r="K1941" s="22">
        <f t="shared" si="22"/>
        <v>713.57142857142844</v>
      </c>
      <c r="L1941" s="17"/>
    </row>
    <row r="1942" spans="1:20" ht="24" x14ac:dyDescent="0.25">
      <c r="A1942" s="10">
        <v>46147</v>
      </c>
      <c r="B1942" s="2" t="s">
        <v>3274</v>
      </c>
      <c r="C1942" s="2" t="s">
        <v>1286</v>
      </c>
      <c r="E1942" s="44" t="s">
        <v>692</v>
      </c>
      <c r="F1942" s="3">
        <v>915.06</v>
      </c>
      <c r="G1942" s="3" t="s">
        <v>28</v>
      </c>
      <c r="H1942" s="34" t="s">
        <v>828</v>
      </c>
      <c r="I1942" s="34">
        <v>915.06</v>
      </c>
      <c r="J1942" s="34"/>
      <c r="K1942" s="22">
        <f t="shared" si="22"/>
        <v>915.06</v>
      </c>
      <c r="L1942" s="32"/>
      <c r="M1942" s="6" t="s">
        <v>581</v>
      </c>
      <c r="N1942" s="1" t="s">
        <v>3275</v>
      </c>
    </row>
    <row r="1943" spans="1:20" x14ac:dyDescent="0.25">
      <c r="A1943" s="10">
        <v>46147</v>
      </c>
      <c r="B1943" s="2" t="s">
        <v>3274</v>
      </c>
      <c r="C1943" s="2" t="s">
        <v>1286</v>
      </c>
      <c r="E1943" s="44" t="s">
        <v>692</v>
      </c>
      <c r="F1943" s="3"/>
      <c r="G1943" s="4" t="s">
        <v>48</v>
      </c>
      <c r="H1943" s="22" t="s">
        <v>49</v>
      </c>
      <c r="I1943" s="34"/>
      <c r="J1943" s="34">
        <f>I1942</f>
        <v>915.06</v>
      </c>
      <c r="K1943" s="22">
        <f t="shared" si="22"/>
        <v>915.06</v>
      </c>
      <c r="L1943" s="32"/>
    </row>
    <row r="1944" spans="1:20" x14ac:dyDescent="0.25">
      <c r="A1944" s="10">
        <v>46147</v>
      </c>
      <c r="B1944" s="2" t="s">
        <v>3276</v>
      </c>
      <c r="C1944" s="2" t="s">
        <v>141</v>
      </c>
      <c r="E1944" s="3" t="s">
        <v>27</v>
      </c>
      <c r="F1944" s="4">
        <v>29000</v>
      </c>
      <c r="G1944" s="4" t="s">
        <v>48</v>
      </c>
      <c r="H1944" s="22" t="s">
        <v>81</v>
      </c>
      <c r="I1944" s="22">
        <v>29000</v>
      </c>
      <c r="J1944" s="22"/>
      <c r="K1944" s="22">
        <f t="shared" si="22"/>
        <v>29000</v>
      </c>
      <c r="L1944" s="17">
        <v>29000</v>
      </c>
      <c r="M1944" s="23" t="s">
        <v>41</v>
      </c>
      <c r="N1944" s="1" t="s">
        <v>3277</v>
      </c>
      <c r="O1944" s="7" t="s">
        <v>635</v>
      </c>
      <c r="P1944" s="7" t="s">
        <v>32</v>
      </c>
      <c r="Q1944" s="25" t="s">
        <v>3278</v>
      </c>
      <c r="R1944" s="7" t="s">
        <v>2310</v>
      </c>
      <c r="S1944" s="3" t="s">
        <v>145</v>
      </c>
      <c r="T1944" s="3" t="s">
        <v>324</v>
      </c>
    </row>
    <row r="1945" spans="1:20" x14ac:dyDescent="0.25">
      <c r="A1945" s="10">
        <v>46147</v>
      </c>
      <c r="B1945" s="2" t="s">
        <v>3276</v>
      </c>
      <c r="C1945" s="2" t="s">
        <v>141</v>
      </c>
      <c r="E1945" s="3" t="s">
        <v>27</v>
      </c>
      <c r="G1945" s="4" t="s">
        <v>48</v>
      </c>
      <c r="H1945" s="22" t="s">
        <v>49</v>
      </c>
      <c r="I1945" s="22"/>
      <c r="J1945" s="22">
        <f>I1944</f>
        <v>29000</v>
      </c>
      <c r="K1945" s="22">
        <f t="shared" si="22"/>
        <v>29000</v>
      </c>
      <c r="L1945" s="17"/>
      <c r="M1945" s="23"/>
      <c r="Q1945" s="25"/>
    </row>
    <row r="1946" spans="1:20" ht="24" x14ac:dyDescent="0.25">
      <c r="A1946" s="10">
        <v>46147</v>
      </c>
      <c r="B1946" s="2" t="s">
        <v>3279</v>
      </c>
      <c r="C1946" s="2" t="s">
        <v>141</v>
      </c>
      <c r="E1946" s="3" t="s">
        <v>27</v>
      </c>
      <c r="F1946" s="4">
        <v>215000</v>
      </c>
      <c r="G1946" s="4" t="s">
        <v>48</v>
      </c>
      <c r="H1946" s="22" t="s">
        <v>81</v>
      </c>
      <c r="I1946" s="22">
        <v>215000</v>
      </c>
      <c r="J1946" s="22"/>
      <c r="K1946" s="22">
        <f t="shared" si="22"/>
        <v>215000</v>
      </c>
      <c r="L1946" s="17">
        <v>215000</v>
      </c>
      <c r="M1946" s="23" t="s">
        <v>41</v>
      </c>
      <c r="N1946" s="1" t="s">
        <v>3280</v>
      </c>
      <c r="O1946" s="7" t="s">
        <v>635</v>
      </c>
      <c r="P1946" s="7" t="s">
        <v>32</v>
      </c>
      <c r="Q1946" s="25" t="s">
        <v>3281</v>
      </c>
      <c r="R1946" s="7" t="s">
        <v>2885</v>
      </c>
      <c r="S1946" s="3" t="s">
        <v>145</v>
      </c>
      <c r="T1946" s="3" t="s">
        <v>324</v>
      </c>
    </row>
    <row r="1947" spans="1:20" x14ac:dyDescent="0.25">
      <c r="A1947" s="10">
        <v>46147</v>
      </c>
      <c r="B1947" s="2" t="s">
        <v>3279</v>
      </c>
      <c r="C1947" s="2" t="s">
        <v>141</v>
      </c>
      <c r="E1947" s="3" t="s">
        <v>27</v>
      </c>
      <c r="G1947" s="4" t="s">
        <v>48</v>
      </c>
      <c r="H1947" s="22" t="s">
        <v>49</v>
      </c>
      <c r="I1947" s="22"/>
      <c r="J1947" s="22">
        <f>I1946</f>
        <v>215000</v>
      </c>
      <c r="K1947" s="22">
        <f t="shared" si="22"/>
        <v>215000</v>
      </c>
      <c r="L1947" s="17"/>
      <c r="M1947" s="23"/>
      <c r="Q1947" s="25"/>
    </row>
    <row r="1948" spans="1:20" ht="24" x14ac:dyDescent="0.25">
      <c r="A1948" s="10">
        <v>46147</v>
      </c>
      <c r="B1948" s="2" t="s">
        <v>3282</v>
      </c>
      <c r="C1948" s="2" t="s">
        <v>310</v>
      </c>
      <c r="E1948" s="3" t="s">
        <v>398</v>
      </c>
      <c r="F1948" s="4">
        <v>100000</v>
      </c>
      <c r="G1948" s="4" t="s">
        <v>128</v>
      </c>
      <c r="H1948" s="22" t="s">
        <v>3283</v>
      </c>
      <c r="I1948" s="22">
        <v>100000</v>
      </c>
      <c r="J1948" s="22"/>
      <c r="K1948" s="22">
        <f t="shared" si="22"/>
        <v>100000</v>
      </c>
      <c r="L1948" s="17">
        <v>100000</v>
      </c>
      <c r="M1948" s="23" t="s">
        <v>41</v>
      </c>
      <c r="N1948" s="1" t="s">
        <v>3284</v>
      </c>
      <c r="O1948" s="7" t="s">
        <v>2431</v>
      </c>
      <c r="P1948" s="7" t="s">
        <v>32</v>
      </c>
      <c r="Q1948" s="25" t="s">
        <v>3285</v>
      </c>
      <c r="R1948" s="7" t="s">
        <v>2310</v>
      </c>
      <c r="S1948" s="3" t="s">
        <v>145</v>
      </c>
      <c r="T1948" s="3" t="s">
        <v>324</v>
      </c>
    </row>
    <row r="1949" spans="1:20" x14ac:dyDescent="0.25">
      <c r="A1949" s="10">
        <v>46147</v>
      </c>
      <c r="B1949" s="2" t="s">
        <v>3282</v>
      </c>
      <c r="C1949" s="2" t="s">
        <v>310</v>
      </c>
      <c r="E1949" s="3" t="s">
        <v>398</v>
      </c>
      <c r="G1949" s="4" t="s">
        <v>48</v>
      </c>
      <c r="H1949" s="22" t="s">
        <v>49</v>
      </c>
      <c r="I1949" s="22"/>
      <c r="J1949" s="22">
        <f>I1948</f>
        <v>100000</v>
      </c>
      <c r="K1949" s="22">
        <f t="shared" si="22"/>
        <v>100000</v>
      </c>
      <c r="L1949" s="17"/>
      <c r="M1949" s="23"/>
      <c r="Q1949" s="25"/>
    </row>
    <row r="1950" spans="1:20" ht="24" x14ac:dyDescent="0.25">
      <c r="A1950" s="10">
        <v>46147</v>
      </c>
      <c r="B1950" s="2" t="s">
        <v>3286</v>
      </c>
      <c r="C1950" s="2" t="s">
        <v>310</v>
      </c>
      <c r="E1950" s="3" t="s">
        <v>27</v>
      </c>
      <c r="F1950" s="4">
        <v>500000</v>
      </c>
      <c r="G1950" s="4" t="s">
        <v>48</v>
      </c>
      <c r="H1950" s="22" t="s">
        <v>334</v>
      </c>
      <c r="I1950" s="22">
        <v>500000</v>
      </c>
      <c r="J1950" s="22"/>
      <c r="K1950" s="22">
        <f t="shared" si="22"/>
        <v>500000</v>
      </c>
      <c r="L1950" s="17">
        <v>500000</v>
      </c>
      <c r="M1950" s="23" t="s">
        <v>41</v>
      </c>
      <c r="N1950" s="1" t="s">
        <v>3287</v>
      </c>
      <c r="O1950" s="7" t="s">
        <v>2431</v>
      </c>
      <c r="P1950" s="7" t="s">
        <v>32</v>
      </c>
      <c r="Q1950" s="25" t="s">
        <v>3288</v>
      </c>
      <c r="R1950" s="7" t="s">
        <v>2310</v>
      </c>
      <c r="S1950" s="3" t="s">
        <v>1630</v>
      </c>
      <c r="T1950" s="3" t="s">
        <v>3175</v>
      </c>
    </row>
    <row r="1951" spans="1:20" x14ac:dyDescent="0.25">
      <c r="A1951" s="10">
        <v>46147</v>
      </c>
      <c r="B1951" s="2" t="s">
        <v>3286</v>
      </c>
      <c r="C1951" s="2" t="s">
        <v>310</v>
      </c>
      <c r="E1951" s="3" t="s">
        <v>27</v>
      </c>
      <c r="G1951" s="4" t="s">
        <v>48</v>
      </c>
      <c r="H1951" s="22" t="s">
        <v>327</v>
      </c>
      <c r="I1951" s="22"/>
      <c r="J1951" s="22">
        <f>I1950</f>
        <v>500000</v>
      </c>
      <c r="K1951" s="22">
        <f t="shared" si="22"/>
        <v>500000</v>
      </c>
      <c r="L1951" s="17"/>
      <c r="M1951" s="23"/>
      <c r="Q1951" s="25"/>
    </row>
    <row r="1952" spans="1:20" x14ac:dyDescent="0.25">
      <c r="A1952" s="10">
        <v>46147</v>
      </c>
      <c r="B1952" s="2" t="s">
        <v>3289</v>
      </c>
      <c r="C1952" s="2" t="s">
        <v>310</v>
      </c>
      <c r="E1952" s="3" t="s">
        <v>27</v>
      </c>
      <c r="F1952" s="4">
        <v>400000</v>
      </c>
      <c r="G1952" s="4" t="s">
        <v>48</v>
      </c>
      <c r="H1952" s="22" t="s">
        <v>334</v>
      </c>
      <c r="I1952" s="22">
        <v>400000</v>
      </c>
      <c r="J1952" s="22"/>
      <c r="K1952" s="22">
        <f t="shared" si="22"/>
        <v>400000</v>
      </c>
      <c r="L1952" s="17">
        <v>400000</v>
      </c>
      <c r="M1952" s="23" t="s">
        <v>41</v>
      </c>
      <c r="N1952" s="1" t="s">
        <v>3290</v>
      </c>
      <c r="O1952" s="7" t="s">
        <v>313</v>
      </c>
      <c r="P1952" s="7" t="s">
        <v>32</v>
      </c>
      <c r="Q1952" s="25" t="s">
        <v>3291</v>
      </c>
      <c r="R1952" s="7" t="s">
        <v>2310</v>
      </c>
      <c r="S1952" s="3" t="s">
        <v>1630</v>
      </c>
      <c r="T1952" s="3" t="s">
        <v>3175</v>
      </c>
    </row>
    <row r="1953" spans="1:20" x14ac:dyDescent="0.25">
      <c r="A1953" s="10">
        <v>46147</v>
      </c>
      <c r="B1953" s="2" t="s">
        <v>3289</v>
      </c>
      <c r="C1953" s="2" t="s">
        <v>310</v>
      </c>
      <c r="E1953" s="3" t="s">
        <v>27</v>
      </c>
      <c r="G1953" s="4" t="s">
        <v>48</v>
      </c>
      <c r="H1953" s="22" t="s">
        <v>327</v>
      </c>
      <c r="I1953" s="22"/>
      <c r="J1953" s="22">
        <f>I1952</f>
        <v>400000</v>
      </c>
      <c r="K1953" s="22">
        <f t="shared" si="22"/>
        <v>400000</v>
      </c>
      <c r="L1953" s="17"/>
      <c r="M1953" s="23"/>
      <c r="Q1953" s="25"/>
    </row>
    <row r="1954" spans="1:20" x14ac:dyDescent="0.25">
      <c r="A1954" s="10">
        <v>46148</v>
      </c>
      <c r="B1954" s="2" t="s">
        <v>3292</v>
      </c>
      <c r="C1954" s="2" t="s">
        <v>141</v>
      </c>
      <c r="E1954" s="3" t="s">
        <v>27</v>
      </c>
      <c r="F1954" s="4">
        <v>50000</v>
      </c>
      <c r="G1954" s="4" t="s">
        <v>48</v>
      </c>
      <c r="H1954" s="22" t="s">
        <v>81</v>
      </c>
      <c r="I1954" s="22">
        <v>50000</v>
      </c>
      <c r="J1954" s="22"/>
      <c r="K1954" s="22">
        <f t="shared" si="22"/>
        <v>50000</v>
      </c>
      <c r="L1954" s="17">
        <v>50000</v>
      </c>
      <c r="M1954" s="23" t="s">
        <v>41</v>
      </c>
      <c r="N1954" s="1" t="s">
        <v>3293</v>
      </c>
      <c r="O1954" s="7" t="s">
        <v>143</v>
      </c>
      <c r="P1954" s="7" t="s">
        <v>32</v>
      </c>
      <c r="Q1954" s="25" t="s">
        <v>3294</v>
      </c>
      <c r="R1954" s="7" t="s">
        <v>1962</v>
      </c>
      <c r="S1954" s="3" t="s">
        <v>145</v>
      </c>
      <c r="T1954" s="3" t="s">
        <v>324</v>
      </c>
    </row>
    <row r="1955" spans="1:20" x14ac:dyDescent="0.25">
      <c r="A1955" s="10">
        <v>46148</v>
      </c>
      <c r="B1955" s="2" t="s">
        <v>3292</v>
      </c>
      <c r="C1955" s="2" t="s">
        <v>141</v>
      </c>
      <c r="E1955" s="3" t="s">
        <v>27</v>
      </c>
      <c r="G1955" s="4" t="s">
        <v>48</v>
      </c>
      <c r="H1955" s="22" t="s">
        <v>334</v>
      </c>
      <c r="I1955" s="22"/>
      <c r="J1955" s="22">
        <f>I1954</f>
        <v>50000</v>
      </c>
      <c r="K1955" s="22">
        <f t="shared" si="22"/>
        <v>50000</v>
      </c>
      <c r="L1955" s="17"/>
      <c r="M1955" s="23"/>
      <c r="Q1955" s="25"/>
    </row>
    <row r="1956" spans="1:20" x14ac:dyDescent="0.25">
      <c r="A1956" s="10">
        <v>46148</v>
      </c>
      <c r="B1956" s="2" t="s">
        <v>3295</v>
      </c>
      <c r="E1956" s="3" t="s">
        <v>398</v>
      </c>
      <c r="F1956" s="4">
        <f>50000-21829.8</f>
        <v>28170.2</v>
      </c>
      <c r="G1956" s="4" t="s">
        <v>167</v>
      </c>
      <c r="H1956" s="22" t="s">
        <v>168</v>
      </c>
      <c r="I1956" s="22">
        <v>28170.2</v>
      </c>
      <c r="J1956" s="22"/>
      <c r="K1956" s="22">
        <f t="shared" si="22"/>
        <v>28170.2</v>
      </c>
      <c r="L1956" s="17">
        <v>28170.2</v>
      </c>
      <c r="M1956" s="23" t="s">
        <v>41</v>
      </c>
      <c r="N1956" s="1" t="s">
        <v>3296</v>
      </c>
      <c r="O1956" s="7" t="s">
        <v>3228</v>
      </c>
      <c r="P1956" s="7" t="s">
        <v>81</v>
      </c>
      <c r="R1956" s="7" t="s">
        <v>1962</v>
      </c>
      <c r="S1956" s="3" t="s">
        <v>83</v>
      </c>
      <c r="T1956" s="3" t="s">
        <v>3297</v>
      </c>
    </row>
    <row r="1957" spans="1:20" x14ac:dyDescent="0.25">
      <c r="A1957" s="10">
        <v>46148</v>
      </c>
      <c r="B1957" s="2" t="s">
        <v>3295</v>
      </c>
      <c r="E1957" s="3" t="s">
        <v>398</v>
      </c>
      <c r="G1957" s="4" t="s">
        <v>48</v>
      </c>
      <c r="H1957" s="22" t="s">
        <v>81</v>
      </c>
      <c r="I1957" s="22"/>
      <c r="J1957" s="22">
        <f>I1956</f>
        <v>28170.2</v>
      </c>
      <c r="K1957" s="22">
        <f t="shared" si="22"/>
        <v>28170.2</v>
      </c>
      <c r="L1957" s="17"/>
    </row>
    <row r="1958" spans="1:20" x14ac:dyDescent="0.25">
      <c r="A1958" s="10">
        <v>46149</v>
      </c>
      <c r="B1958" s="2" t="s">
        <v>3298</v>
      </c>
      <c r="C1958" s="2" t="s">
        <v>141</v>
      </c>
      <c r="E1958" s="3" t="s">
        <v>27</v>
      </c>
      <c r="F1958" s="4">
        <v>32300</v>
      </c>
      <c r="G1958" s="4" t="s">
        <v>48</v>
      </c>
      <c r="H1958" s="34" t="s">
        <v>81</v>
      </c>
      <c r="I1958" s="22">
        <v>32300</v>
      </c>
      <c r="J1958" s="22"/>
      <c r="K1958" s="22">
        <f t="shared" si="22"/>
        <v>32300</v>
      </c>
      <c r="L1958" s="17">
        <v>32300</v>
      </c>
      <c r="M1958" s="23" t="s">
        <v>41</v>
      </c>
      <c r="N1958" s="1" t="s">
        <v>3299</v>
      </c>
      <c r="O1958" s="7" t="s">
        <v>143</v>
      </c>
      <c r="P1958" s="7" t="s">
        <v>32</v>
      </c>
      <c r="Q1958" s="25" t="s">
        <v>3300</v>
      </c>
      <c r="R1958" s="7" t="s">
        <v>279</v>
      </c>
      <c r="S1958" s="3" t="s">
        <v>145</v>
      </c>
      <c r="T1958" s="3" t="s">
        <v>324</v>
      </c>
    </row>
    <row r="1959" spans="1:20" x14ac:dyDescent="0.25">
      <c r="A1959" s="10">
        <v>46149</v>
      </c>
      <c r="B1959" s="2" t="s">
        <v>3298</v>
      </c>
      <c r="C1959" s="2" t="s">
        <v>141</v>
      </c>
      <c r="E1959" s="3" t="s">
        <v>27</v>
      </c>
      <c r="G1959" s="4" t="s">
        <v>48</v>
      </c>
      <c r="H1959" s="34" t="s">
        <v>334</v>
      </c>
      <c r="I1959" s="22"/>
      <c r="J1959" s="22">
        <f>I1958</f>
        <v>32300</v>
      </c>
      <c r="K1959" s="22">
        <f t="shared" si="22"/>
        <v>32300</v>
      </c>
      <c r="L1959" s="17"/>
      <c r="M1959" s="23"/>
      <c r="Q1959" s="25"/>
    </row>
    <row r="1960" spans="1:20" x14ac:dyDescent="0.25">
      <c r="A1960" s="10">
        <v>46149</v>
      </c>
      <c r="B1960" s="2" t="s">
        <v>3301</v>
      </c>
      <c r="E1960" s="3" t="s">
        <v>398</v>
      </c>
      <c r="F1960" s="4">
        <f>F1958-10470</f>
        <v>21830</v>
      </c>
      <c r="G1960" s="4" t="s">
        <v>167</v>
      </c>
      <c r="H1960" s="22" t="s">
        <v>168</v>
      </c>
      <c r="I1960" s="22">
        <v>21830</v>
      </c>
      <c r="J1960" s="22"/>
      <c r="K1960" s="22">
        <f t="shared" si="22"/>
        <v>21830</v>
      </c>
      <c r="L1960" s="17">
        <v>21830</v>
      </c>
      <c r="M1960" s="23" t="s">
        <v>41</v>
      </c>
      <c r="N1960" s="1" t="s">
        <v>3296</v>
      </c>
      <c r="O1960" s="7" t="s">
        <v>3302</v>
      </c>
      <c r="P1960" s="7" t="s">
        <v>81</v>
      </c>
      <c r="R1960" s="7" t="s">
        <v>279</v>
      </c>
      <c r="S1960" s="3" t="s">
        <v>83</v>
      </c>
      <c r="T1960" s="3" t="s">
        <v>3303</v>
      </c>
    </row>
    <row r="1961" spans="1:20" x14ac:dyDescent="0.25">
      <c r="A1961" s="10">
        <v>46149</v>
      </c>
      <c r="B1961" s="2" t="s">
        <v>3301</v>
      </c>
      <c r="E1961" s="3" t="s">
        <v>398</v>
      </c>
      <c r="G1961" s="4" t="s">
        <v>48</v>
      </c>
      <c r="H1961" s="22" t="s">
        <v>81</v>
      </c>
      <c r="I1961" s="22"/>
      <c r="J1961" s="22">
        <f>I1960</f>
        <v>21830</v>
      </c>
      <c r="K1961" s="22">
        <f t="shared" si="22"/>
        <v>21830</v>
      </c>
      <c r="L1961" s="17"/>
      <c r="M1961" s="23"/>
    </row>
    <row r="1962" spans="1:20" ht="24" x14ac:dyDescent="0.25">
      <c r="A1962" s="10">
        <v>46149</v>
      </c>
      <c r="B1962" s="2" t="s">
        <v>3304</v>
      </c>
      <c r="D1962" s="2" t="s">
        <v>3305</v>
      </c>
      <c r="E1962" s="3" t="s">
        <v>275</v>
      </c>
      <c r="F1962" s="4">
        <f>(13984.57-274.21)+274.21-45.7</f>
        <v>13938.869999999999</v>
      </c>
      <c r="G1962" s="4" t="s">
        <v>48</v>
      </c>
      <c r="H1962" s="22" t="s">
        <v>276</v>
      </c>
      <c r="I1962" s="22">
        <v>13710.36</v>
      </c>
      <c r="J1962" s="22"/>
      <c r="K1962" s="22">
        <f t="shared" si="22"/>
        <v>13710.36</v>
      </c>
      <c r="L1962" s="17"/>
      <c r="M1962" s="6" t="s">
        <v>581</v>
      </c>
      <c r="N1962" s="1" t="s">
        <v>3306</v>
      </c>
    </row>
    <row r="1963" spans="1:20" x14ac:dyDescent="0.25">
      <c r="A1963" s="10">
        <v>46149</v>
      </c>
      <c r="B1963" s="2" t="s">
        <v>3304</v>
      </c>
      <c r="D1963" s="2" t="s">
        <v>3305</v>
      </c>
      <c r="E1963" s="3" t="s">
        <v>275</v>
      </c>
      <c r="G1963" s="4" t="s">
        <v>48</v>
      </c>
      <c r="H1963" s="22" t="s">
        <v>3307</v>
      </c>
      <c r="I1963" s="22">
        <v>274.20999999999998</v>
      </c>
      <c r="J1963" s="22"/>
      <c r="K1963" s="22">
        <f t="shared" si="22"/>
        <v>274.20999999999998</v>
      </c>
      <c r="L1963" s="17"/>
    </row>
    <row r="1964" spans="1:20" x14ac:dyDescent="0.25">
      <c r="A1964" s="10">
        <v>46149</v>
      </c>
      <c r="B1964" s="2" t="s">
        <v>3304</v>
      </c>
      <c r="D1964" s="2" t="s">
        <v>3305</v>
      </c>
      <c r="E1964" s="3" t="s">
        <v>275</v>
      </c>
      <c r="G1964" s="4" t="s">
        <v>48</v>
      </c>
      <c r="H1964" s="22" t="s">
        <v>282</v>
      </c>
      <c r="I1964" s="22"/>
      <c r="J1964" s="22">
        <v>45.7</v>
      </c>
      <c r="K1964" s="22">
        <f t="shared" si="22"/>
        <v>45.7</v>
      </c>
      <c r="L1964" s="17"/>
    </row>
    <row r="1965" spans="1:20" x14ac:dyDescent="0.25">
      <c r="A1965" s="10">
        <v>46149</v>
      </c>
      <c r="B1965" s="2" t="s">
        <v>3304</v>
      </c>
      <c r="D1965" s="2" t="s">
        <v>3305</v>
      </c>
      <c r="E1965" s="3" t="s">
        <v>275</v>
      </c>
      <c r="G1965" s="4" t="s">
        <v>48</v>
      </c>
      <c r="H1965" s="22" t="s">
        <v>49</v>
      </c>
      <c r="I1965" s="22"/>
      <c r="J1965" s="22">
        <f>I1962+I1963-J1964</f>
        <v>13938.869999999999</v>
      </c>
      <c r="K1965" s="22">
        <f t="shared" si="22"/>
        <v>13938.869999999999</v>
      </c>
      <c r="L1965" s="17"/>
    </row>
    <row r="1966" spans="1:20" ht="24" x14ac:dyDescent="0.25">
      <c r="A1966" s="10">
        <v>46149</v>
      </c>
      <c r="B1966" s="2" t="s">
        <v>3308</v>
      </c>
      <c r="D1966" s="2" t="s">
        <v>3305</v>
      </c>
      <c r="E1966" s="3" t="s">
        <v>275</v>
      </c>
      <c r="F1966" s="4">
        <f>(21015.77-412.08)+412.08-68.68</f>
        <v>20947.09</v>
      </c>
      <c r="G1966" s="4" t="s">
        <v>128</v>
      </c>
      <c r="H1966" s="22" t="s">
        <v>276</v>
      </c>
      <c r="I1966" s="22">
        <v>20603.689999999999</v>
      </c>
      <c r="J1966" s="22"/>
      <c r="K1966" s="22">
        <f t="shared" si="22"/>
        <v>20603.689999999999</v>
      </c>
      <c r="L1966" s="17">
        <v>20950</v>
      </c>
      <c r="M1966" s="6" t="s">
        <v>41</v>
      </c>
      <c r="N1966" s="1" t="s">
        <v>3309</v>
      </c>
    </row>
    <row r="1967" spans="1:20" x14ac:dyDescent="0.25">
      <c r="A1967" s="10">
        <v>46149</v>
      </c>
      <c r="B1967" s="2" t="s">
        <v>3308</v>
      </c>
      <c r="D1967" s="2" t="s">
        <v>3305</v>
      </c>
      <c r="E1967" s="3" t="s">
        <v>275</v>
      </c>
      <c r="G1967" s="4" t="s">
        <v>128</v>
      </c>
      <c r="H1967" s="22" t="s">
        <v>3307</v>
      </c>
      <c r="I1967" s="22">
        <v>412.08</v>
      </c>
      <c r="J1967" s="22"/>
      <c r="K1967" s="22">
        <f t="shared" si="22"/>
        <v>412.08</v>
      </c>
      <c r="L1967" s="17"/>
    </row>
    <row r="1968" spans="1:20" x14ac:dyDescent="0.25">
      <c r="A1968" s="10">
        <v>46149</v>
      </c>
      <c r="B1968" s="2" t="s">
        <v>3308</v>
      </c>
      <c r="D1968" s="2" t="s">
        <v>3305</v>
      </c>
      <c r="E1968" s="3" t="s">
        <v>275</v>
      </c>
      <c r="G1968" s="4" t="s">
        <v>128</v>
      </c>
      <c r="H1968" s="22" t="s">
        <v>282</v>
      </c>
      <c r="I1968" s="22"/>
      <c r="J1968" s="22">
        <v>68.680000000000007</v>
      </c>
      <c r="K1968" s="22">
        <f t="shared" si="22"/>
        <v>68.680000000000007</v>
      </c>
      <c r="L1968" s="17"/>
    </row>
    <row r="1969" spans="1:20" x14ac:dyDescent="0.25">
      <c r="A1969" s="10">
        <v>46149</v>
      </c>
      <c r="B1969" s="2" t="s">
        <v>3308</v>
      </c>
      <c r="D1969" s="2" t="s">
        <v>3305</v>
      </c>
      <c r="E1969" s="3" t="s">
        <v>275</v>
      </c>
      <c r="G1969" s="4" t="s">
        <v>48</v>
      </c>
      <c r="H1969" s="22" t="s">
        <v>49</v>
      </c>
      <c r="I1969" s="22"/>
      <c r="J1969" s="22">
        <f>I1966+I1967-J1968</f>
        <v>20947.09</v>
      </c>
      <c r="K1969" s="22">
        <f t="shared" si="22"/>
        <v>20947.09</v>
      </c>
      <c r="L1969" s="17"/>
    </row>
    <row r="1970" spans="1:20" ht="24" x14ac:dyDescent="0.25">
      <c r="A1970" s="10">
        <v>46149</v>
      </c>
      <c r="B1970" s="2" t="s">
        <v>3310</v>
      </c>
      <c r="C1970" s="2" t="s">
        <v>95</v>
      </c>
      <c r="D1970" s="2" t="s">
        <v>3311</v>
      </c>
      <c r="E1970" s="3" t="s">
        <v>136</v>
      </c>
      <c r="F1970" s="4">
        <v>5000</v>
      </c>
      <c r="G1970" s="4" t="s">
        <v>48</v>
      </c>
      <c r="H1970" s="34" t="s">
        <v>78</v>
      </c>
      <c r="I1970" s="22">
        <v>2500</v>
      </c>
      <c r="J1970" s="22"/>
      <c r="K1970" s="22">
        <f t="shared" si="22"/>
        <v>2500</v>
      </c>
      <c r="L1970" s="17">
        <v>5000</v>
      </c>
      <c r="M1970" s="23" t="s">
        <v>41</v>
      </c>
      <c r="N1970" s="1" t="s">
        <v>3312</v>
      </c>
      <c r="O1970" s="24" t="s">
        <v>3313</v>
      </c>
      <c r="P1970" s="7" t="s">
        <v>81</v>
      </c>
      <c r="R1970" s="7" t="s">
        <v>3314</v>
      </c>
      <c r="S1970" s="3" t="s">
        <v>83</v>
      </c>
      <c r="T1970" s="3" t="s">
        <v>3315</v>
      </c>
    </row>
    <row r="1971" spans="1:20" x14ac:dyDescent="0.25">
      <c r="A1971" s="10">
        <v>46149</v>
      </c>
      <c r="B1971" s="2" t="s">
        <v>3310</v>
      </c>
      <c r="C1971" s="2" t="s">
        <v>95</v>
      </c>
      <c r="D1971" s="2" t="s">
        <v>3311</v>
      </c>
      <c r="E1971" s="3" t="s">
        <v>136</v>
      </c>
      <c r="G1971" s="4" t="s">
        <v>98</v>
      </c>
      <c r="H1971" s="34" t="s">
        <v>78</v>
      </c>
      <c r="I1971" s="22">
        <v>2500</v>
      </c>
      <c r="J1971" s="22"/>
      <c r="K1971" s="22">
        <f t="shared" si="22"/>
        <v>2500</v>
      </c>
      <c r="L1971" s="32"/>
      <c r="T1971" s="44"/>
    </row>
    <row r="1972" spans="1:20" x14ac:dyDescent="0.25">
      <c r="A1972" s="10">
        <v>46149</v>
      </c>
      <c r="B1972" s="2" t="s">
        <v>3310</v>
      </c>
      <c r="C1972" s="2" t="s">
        <v>95</v>
      </c>
      <c r="D1972" s="2" t="s">
        <v>3311</v>
      </c>
      <c r="E1972" s="3" t="s">
        <v>136</v>
      </c>
      <c r="G1972" s="4" t="s">
        <v>48</v>
      </c>
      <c r="H1972" s="22" t="s">
        <v>49</v>
      </c>
      <c r="I1972" s="22"/>
      <c r="J1972" s="22">
        <f>I1970+I1971</f>
        <v>5000</v>
      </c>
      <c r="K1972" s="22">
        <f t="shared" si="22"/>
        <v>5000</v>
      </c>
      <c r="L1972" s="32"/>
    </row>
    <row r="1973" spans="1:20" ht="24" x14ac:dyDescent="0.25">
      <c r="A1973" s="10">
        <v>46149</v>
      </c>
      <c r="B1973" s="2" t="s">
        <v>3316</v>
      </c>
      <c r="C1973" s="2" t="s">
        <v>95</v>
      </c>
      <c r="D1973" s="2" t="s">
        <v>3317</v>
      </c>
      <c r="E1973" s="3" t="s">
        <v>3318</v>
      </c>
      <c r="F1973" s="4">
        <v>10000</v>
      </c>
      <c r="G1973" s="4" t="s">
        <v>28</v>
      </c>
      <c r="H1973" s="34" t="s">
        <v>78</v>
      </c>
      <c r="I1973" s="22">
        <v>10000</v>
      </c>
      <c r="J1973" s="22"/>
      <c r="K1973" s="22">
        <f t="shared" si="22"/>
        <v>10000</v>
      </c>
      <c r="L1973" s="17"/>
      <c r="M1973" s="6" t="s">
        <v>581</v>
      </c>
      <c r="N1973" s="1" t="s">
        <v>3319</v>
      </c>
    </row>
    <row r="1974" spans="1:20" x14ac:dyDescent="0.25">
      <c r="A1974" s="10">
        <v>46149</v>
      </c>
      <c r="B1974" s="2" t="s">
        <v>3316</v>
      </c>
      <c r="C1974" s="2" t="s">
        <v>95</v>
      </c>
      <c r="D1974" s="2" t="s">
        <v>3317</v>
      </c>
      <c r="E1974" s="3" t="s">
        <v>3318</v>
      </c>
      <c r="G1974" s="4" t="s">
        <v>48</v>
      </c>
      <c r="H1974" s="22" t="s">
        <v>49</v>
      </c>
      <c r="I1974" s="22"/>
      <c r="J1974" s="22">
        <f>I1973</f>
        <v>10000</v>
      </c>
      <c r="K1974" s="22">
        <f t="shared" si="22"/>
        <v>10000</v>
      </c>
      <c r="L1974" s="17"/>
    </row>
    <row r="1975" spans="1:20" ht="48" x14ac:dyDescent="0.25">
      <c r="A1975" s="10">
        <v>46149</v>
      </c>
      <c r="B1975" s="2" t="s">
        <v>3320</v>
      </c>
      <c r="C1975" s="2" t="s">
        <v>95</v>
      </c>
      <c r="D1975" s="2" t="s">
        <v>3321</v>
      </c>
      <c r="E1975" s="3" t="s">
        <v>3322</v>
      </c>
      <c r="F1975" s="4">
        <v>3500</v>
      </c>
      <c r="G1975" s="4" t="s">
        <v>265</v>
      </c>
      <c r="H1975" s="22" t="s">
        <v>735</v>
      </c>
      <c r="I1975" s="22">
        <v>3500</v>
      </c>
      <c r="J1975" s="22"/>
      <c r="K1975" s="22">
        <f t="shared" si="22"/>
        <v>3500</v>
      </c>
      <c r="L1975" s="17"/>
      <c r="M1975" s="6" t="s">
        <v>581</v>
      </c>
      <c r="N1975" s="1" t="s">
        <v>3323</v>
      </c>
    </row>
    <row r="1976" spans="1:20" x14ac:dyDescent="0.25">
      <c r="A1976" s="10">
        <v>46149</v>
      </c>
      <c r="B1976" s="2" t="s">
        <v>3320</v>
      </c>
      <c r="C1976" s="2" t="s">
        <v>95</v>
      </c>
      <c r="D1976" s="2" t="s">
        <v>3321</v>
      </c>
      <c r="E1976" s="3" t="s">
        <v>3322</v>
      </c>
      <c r="G1976" s="4" t="s">
        <v>48</v>
      </c>
      <c r="H1976" s="22" t="s">
        <v>49</v>
      </c>
      <c r="I1976" s="22"/>
      <c r="J1976" s="22">
        <f>I1975</f>
        <v>3500</v>
      </c>
      <c r="K1976" s="22">
        <f t="shared" si="22"/>
        <v>3500</v>
      </c>
      <c r="L1976" s="17"/>
    </row>
    <row r="1977" spans="1:20" ht="24" x14ac:dyDescent="0.25">
      <c r="A1977" s="10">
        <v>46149</v>
      </c>
      <c r="B1977" s="2" t="s">
        <v>3324</v>
      </c>
      <c r="C1977" s="2" t="s">
        <v>3325</v>
      </c>
      <c r="D1977" s="2" t="s">
        <v>3326</v>
      </c>
      <c r="E1977" s="3" t="s">
        <v>562</v>
      </c>
      <c r="F1977" s="4">
        <v>1500</v>
      </c>
      <c r="G1977" s="4" t="s">
        <v>28</v>
      </c>
      <c r="H1977" s="22" t="s">
        <v>40</v>
      </c>
      <c r="I1977" s="22">
        <v>1500</v>
      </c>
      <c r="J1977" s="22"/>
      <c r="K1977" s="22">
        <f t="shared" si="22"/>
        <v>1500</v>
      </c>
      <c r="L1977" s="17"/>
      <c r="M1977" s="6" t="s">
        <v>581</v>
      </c>
      <c r="N1977" s="1" t="s">
        <v>3327</v>
      </c>
    </row>
    <row r="1978" spans="1:20" x14ac:dyDescent="0.25">
      <c r="A1978" s="10">
        <v>46149</v>
      </c>
      <c r="B1978" s="2" t="s">
        <v>3324</v>
      </c>
      <c r="C1978" s="2" t="s">
        <v>3325</v>
      </c>
      <c r="D1978" s="2" t="s">
        <v>3326</v>
      </c>
      <c r="E1978" s="3" t="s">
        <v>562</v>
      </c>
      <c r="G1978" s="4" t="s">
        <v>48</v>
      </c>
      <c r="H1978" s="22" t="s">
        <v>49</v>
      </c>
      <c r="I1978" s="22"/>
      <c r="J1978" s="22">
        <f>I1977</f>
        <v>1500</v>
      </c>
      <c r="K1978" s="22">
        <f t="shared" si="22"/>
        <v>1500</v>
      </c>
      <c r="L1978" s="17"/>
    </row>
    <row r="1979" spans="1:20" ht="24" x14ac:dyDescent="0.25">
      <c r="A1979" s="10">
        <v>46149</v>
      </c>
      <c r="B1979" s="2" t="s">
        <v>3328</v>
      </c>
      <c r="C1979" s="2" t="s">
        <v>3329</v>
      </c>
      <c r="D1979" s="2" t="s">
        <v>3330</v>
      </c>
      <c r="E1979" s="3" t="s">
        <v>562</v>
      </c>
      <c r="F1979" s="4">
        <f>44.7+92+150</f>
        <v>286.7</v>
      </c>
      <c r="G1979" s="4" t="s">
        <v>28</v>
      </c>
      <c r="H1979" s="22" t="s">
        <v>40</v>
      </c>
      <c r="I1979" s="22">
        <v>286.7</v>
      </c>
      <c r="J1979" s="22"/>
      <c r="K1979" s="22">
        <f t="shared" si="22"/>
        <v>286.7</v>
      </c>
      <c r="L1979" s="17"/>
      <c r="M1979" s="6" t="s">
        <v>581</v>
      </c>
      <c r="N1979" s="1" t="s">
        <v>3331</v>
      </c>
    </row>
    <row r="1980" spans="1:20" x14ac:dyDescent="0.25">
      <c r="A1980" s="10">
        <v>46149</v>
      </c>
      <c r="B1980" s="2" t="s">
        <v>3328</v>
      </c>
      <c r="C1980" s="2" t="s">
        <v>3329</v>
      </c>
      <c r="D1980" s="2" t="s">
        <v>3330</v>
      </c>
      <c r="E1980" s="3" t="s">
        <v>562</v>
      </c>
      <c r="G1980" s="4" t="s">
        <v>48</v>
      </c>
      <c r="H1980" s="22" t="s">
        <v>49</v>
      </c>
      <c r="I1980" s="22"/>
      <c r="J1980" s="22">
        <f>I1979</f>
        <v>286.7</v>
      </c>
      <c r="K1980" s="22">
        <f t="shared" si="22"/>
        <v>286.7</v>
      </c>
      <c r="L1980" s="17"/>
    </row>
    <row r="1981" spans="1:20" x14ac:dyDescent="0.25">
      <c r="A1981" s="10">
        <v>46149</v>
      </c>
      <c r="B1981" s="2" t="s">
        <v>3332</v>
      </c>
      <c r="E1981" s="3" t="s">
        <v>1751</v>
      </c>
      <c r="F1981" s="4">
        <f>47.6+1700+1700+2597.6+850</f>
        <v>6895.2</v>
      </c>
      <c r="G1981" s="4" t="s">
        <v>48</v>
      </c>
      <c r="H1981" s="22"/>
      <c r="I1981" s="22"/>
      <c r="J1981" s="22"/>
      <c r="K1981" s="22">
        <f t="shared" si="22"/>
        <v>0</v>
      </c>
      <c r="L1981" s="17"/>
      <c r="M1981" s="6" t="s">
        <v>581</v>
      </c>
      <c r="N1981" s="1" t="s">
        <v>3333</v>
      </c>
    </row>
    <row r="1982" spans="1:20" ht="24" x14ac:dyDescent="0.25">
      <c r="A1982" s="10">
        <v>46149</v>
      </c>
      <c r="B1982" s="2" t="s">
        <v>3334</v>
      </c>
      <c r="E1982" s="3" t="s">
        <v>2447</v>
      </c>
      <c r="F1982" s="4">
        <v>1640</v>
      </c>
      <c r="G1982" s="4" t="s">
        <v>48</v>
      </c>
      <c r="H1982" s="22" t="s">
        <v>3335</v>
      </c>
      <c r="I1982" s="22">
        <v>1640</v>
      </c>
      <c r="J1982" s="22"/>
      <c r="K1982" s="22">
        <f t="shared" si="22"/>
        <v>1640</v>
      </c>
      <c r="L1982" s="17">
        <v>1640</v>
      </c>
      <c r="M1982" s="23" t="s">
        <v>41</v>
      </c>
      <c r="N1982" s="1" t="s">
        <v>3336</v>
      </c>
      <c r="O1982" s="7" t="s">
        <v>278</v>
      </c>
      <c r="P1982" s="7" t="s">
        <v>81</v>
      </c>
      <c r="R1982" s="7" t="s">
        <v>2455</v>
      </c>
      <c r="S1982" s="3" t="s">
        <v>83</v>
      </c>
      <c r="T1982" s="3" t="s">
        <v>1618</v>
      </c>
    </row>
    <row r="1983" spans="1:20" x14ac:dyDescent="0.25">
      <c r="A1983" s="10">
        <v>46149</v>
      </c>
      <c r="B1983" s="2" t="s">
        <v>3334</v>
      </c>
      <c r="E1983" s="3" t="s">
        <v>2447</v>
      </c>
      <c r="G1983" s="4" t="s">
        <v>48</v>
      </c>
      <c r="H1983" s="22" t="s">
        <v>49</v>
      </c>
      <c r="I1983" s="22"/>
      <c r="J1983" s="22">
        <f>I1982</f>
        <v>1640</v>
      </c>
      <c r="K1983" s="22">
        <f t="shared" si="22"/>
        <v>1640</v>
      </c>
      <c r="L1983" s="17"/>
    </row>
    <row r="1984" spans="1:20" ht="24" x14ac:dyDescent="0.25">
      <c r="A1984" s="10">
        <v>46149</v>
      </c>
      <c r="B1984" s="2" t="s">
        <v>3337</v>
      </c>
      <c r="C1984" s="2" t="s">
        <v>3338</v>
      </c>
      <c r="D1984" s="2" t="s">
        <v>1019</v>
      </c>
      <c r="E1984" s="3" t="s">
        <v>3339</v>
      </c>
      <c r="F1984" s="4">
        <f>154500-15450-46350-3090</f>
        <v>89610</v>
      </c>
      <c r="G1984" s="4" t="s">
        <v>211</v>
      </c>
      <c r="H1984" s="22" t="s">
        <v>57</v>
      </c>
      <c r="I1984" s="22">
        <v>154500</v>
      </c>
      <c r="J1984" s="22"/>
      <c r="K1984" s="22">
        <f t="shared" si="22"/>
        <v>154500</v>
      </c>
      <c r="L1984" s="17"/>
      <c r="M1984" s="6" t="s">
        <v>581</v>
      </c>
      <c r="N1984" s="1" t="s">
        <v>3340</v>
      </c>
    </row>
    <row r="1985" spans="1:14" x14ac:dyDescent="0.25">
      <c r="A1985" s="10">
        <v>46149</v>
      </c>
      <c r="B1985" s="2" t="s">
        <v>3337</v>
      </c>
      <c r="C1985" s="2" t="s">
        <v>3338</v>
      </c>
      <c r="D1985" s="2" t="s">
        <v>1019</v>
      </c>
      <c r="E1985" s="3" t="s">
        <v>3339</v>
      </c>
      <c r="G1985" s="4" t="s">
        <v>211</v>
      </c>
      <c r="H1985" s="22" t="s">
        <v>60</v>
      </c>
      <c r="I1985" s="22"/>
      <c r="J1985" s="22">
        <v>3090</v>
      </c>
      <c r="K1985" s="22">
        <f t="shared" si="22"/>
        <v>3090</v>
      </c>
      <c r="L1985" s="17"/>
    </row>
    <row r="1986" spans="1:14" x14ac:dyDescent="0.25">
      <c r="A1986" s="10">
        <v>46149</v>
      </c>
      <c r="B1986" s="2" t="s">
        <v>3337</v>
      </c>
      <c r="C1986" s="2" t="s">
        <v>3338</v>
      </c>
      <c r="D1986" s="2" t="s">
        <v>1019</v>
      </c>
      <c r="E1986" s="3" t="s">
        <v>3339</v>
      </c>
      <c r="G1986" s="4" t="s">
        <v>211</v>
      </c>
      <c r="H1986" s="22" t="s">
        <v>61</v>
      </c>
      <c r="I1986" s="22"/>
      <c r="J1986" s="22">
        <v>46350</v>
      </c>
      <c r="K1986" s="22">
        <f t="shared" si="22"/>
        <v>46350</v>
      </c>
      <c r="L1986" s="17"/>
    </row>
    <row r="1987" spans="1:14" x14ac:dyDescent="0.25">
      <c r="A1987" s="10">
        <v>46149</v>
      </c>
      <c r="B1987" s="2" t="s">
        <v>3337</v>
      </c>
      <c r="C1987" s="2" t="s">
        <v>3338</v>
      </c>
      <c r="D1987" s="2" t="s">
        <v>1019</v>
      </c>
      <c r="E1987" s="3" t="s">
        <v>3339</v>
      </c>
      <c r="G1987" s="4" t="s">
        <v>211</v>
      </c>
      <c r="H1987" s="22" t="s">
        <v>62</v>
      </c>
      <c r="I1987" s="22"/>
      <c r="J1987" s="22">
        <v>15450</v>
      </c>
      <c r="K1987" s="22">
        <f t="shared" si="22"/>
        <v>15450</v>
      </c>
      <c r="L1987" s="17"/>
    </row>
    <row r="1988" spans="1:14" x14ac:dyDescent="0.25">
      <c r="A1988" s="10">
        <v>46149</v>
      </c>
      <c r="B1988" s="2" t="s">
        <v>3337</v>
      </c>
      <c r="C1988" s="2" t="s">
        <v>3338</v>
      </c>
      <c r="D1988" s="2" t="s">
        <v>1019</v>
      </c>
      <c r="E1988" s="3" t="s">
        <v>3339</v>
      </c>
      <c r="G1988" s="4" t="s">
        <v>48</v>
      </c>
      <c r="H1988" s="22" t="s">
        <v>49</v>
      </c>
      <c r="I1988" s="22"/>
      <c r="J1988" s="22">
        <f>I1984-J1985-J1986-J1987</f>
        <v>89610</v>
      </c>
      <c r="K1988" s="22">
        <f t="shared" si="22"/>
        <v>89610</v>
      </c>
      <c r="L1988" s="17"/>
    </row>
    <row r="1989" spans="1:14" ht="24" x14ac:dyDescent="0.25">
      <c r="A1989" s="10">
        <v>46149</v>
      </c>
      <c r="B1989" s="2" t="s">
        <v>3341</v>
      </c>
      <c r="C1989" s="2" t="s">
        <v>3338</v>
      </c>
      <c r="D1989" s="2" t="s">
        <v>2402</v>
      </c>
      <c r="E1989" s="3" t="s">
        <v>3339</v>
      </c>
      <c r="F1989" s="4">
        <v>51500</v>
      </c>
      <c r="G1989" s="4" t="s">
        <v>211</v>
      </c>
      <c r="H1989" s="22" t="s">
        <v>62</v>
      </c>
      <c r="I1989" s="22">
        <v>51500</v>
      </c>
      <c r="J1989" s="22"/>
      <c r="K1989" s="22">
        <f t="shared" si="22"/>
        <v>51500</v>
      </c>
      <c r="L1989" s="17"/>
      <c r="M1989" s="6" t="s">
        <v>581</v>
      </c>
      <c r="N1989" s="1" t="s">
        <v>3342</v>
      </c>
    </row>
    <row r="1990" spans="1:14" x14ac:dyDescent="0.25">
      <c r="A1990" s="10">
        <v>46149</v>
      </c>
      <c r="B1990" s="2" t="s">
        <v>3341</v>
      </c>
      <c r="C1990" s="2" t="s">
        <v>3338</v>
      </c>
      <c r="D1990" s="2" t="s">
        <v>2402</v>
      </c>
      <c r="E1990" s="3" t="s">
        <v>3339</v>
      </c>
      <c r="G1990" s="4" t="s">
        <v>48</v>
      </c>
      <c r="H1990" s="22" t="s">
        <v>49</v>
      </c>
      <c r="I1990" s="22"/>
      <c r="J1990" s="22">
        <f>I1989</f>
        <v>51500</v>
      </c>
      <c r="K1990" s="22">
        <f t="shared" si="22"/>
        <v>51500</v>
      </c>
      <c r="L1990" s="17"/>
    </row>
    <row r="1991" spans="1:14" ht="24" x14ac:dyDescent="0.25">
      <c r="A1991" s="10">
        <v>46149</v>
      </c>
      <c r="B1991" s="2" t="s">
        <v>3343</v>
      </c>
      <c r="C1991" s="2" t="s">
        <v>3344</v>
      </c>
      <c r="D1991" s="2" t="s">
        <v>1019</v>
      </c>
      <c r="E1991" s="3" t="s">
        <v>1020</v>
      </c>
      <c r="F1991" s="4">
        <f>76008.8-7600.88-1520.18</f>
        <v>66887.740000000005</v>
      </c>
      <c r="G1991" s="4" t="s">
        <v>211</v>
      </c>
      <c r="H1991" s="22" t="s">
        <v>57</v>
      </c>
      <c r="I1991" s="22">
        <v>76008.800000000003</v>
      </c>
      <c r="J1991" s="22"/>
      <c r="K1991" s="22">
        <f t="shared" si="22"/>
        <v>76008.800000000003</v>
      </c>
      <c r="L1991" s="17"/>
      <c r="M1991" s="6" t="s">
        <v>581</v>
      </c>
      <c r="N1991" s="1" t="s">
        <v>3345</v>
      </c>
    </row>
    <row r="1992" spans="1:14" x14ac:dyDescent="0.25">
      <c r="A1992" s="10">
        <v>46149</v>
      </c>
      <c r="B1992" s="2" t="s">
        <v>3343</v>
      </c>
      <c r="C1992" s="2" t="s">
        <v>3344</v>
      </c>
      <c r="D1992" s="2" t="s">
        <v>1019</v>
      </c>
      <c r="E1992" s="3" t="s">
        <v>1020</v>
      </c>
      <c r="G1992" s="4" t="s">
        <v>211</v>
      </c>
      <c r="H1992" s="22" t="s">
        <v>60</v>
      </c>
      <c r="I1992" s="22"/>
      <c r="J1992" s="22">
        <v>1520.18</v>
      </c>
      <c r="K1992" s="22">
        <f t="shared" si="22"/>
        <v>1520.18</v>
      </c>
      <c r="L1992" s="17"/>
    </row>
    <row r="1993" spans="1:14" x14ac:dyDescent="0.25">
      <c r="A1993" s="10">
        <v>46149</v>
      </c>
      <c r="B1993" s="2" t="s">
        <v>3343</v>
      </c>
      <c r="C1993" s="2" t="s">
        <v>3344</v>
      </c>
      <c r="D1993" s="2" t="s">
        <v>1019</v>
      </c>
      <c r="E1993" s="3" t="s">
        <v>1020</v>
      </c>
      <c r="G1993" s="4" t="s">
        <v>211</v>
      </c>
      <c r="H1993" s="22" t="s">
        <v>61</v>
      </c>
      <c r="I1993" s="22"/>
      <c r="J1993" s="22">
        <v>0</v>
      </c>
      <c r="K1993" s="22">
        <f t="shared" ref="K1993:K2056" si="23">ABS(I1993-J1993)</f>
        <v>0</v>
      </c>
      <c r="L1993" s="17"/>
    </row>
    <row r="1994" spans="1:14" x14ac:dyDescent="0.25">
      <c r="A1994" s="10">
        <v>46149</v>
      </c>
      <c r="B1994" s="2" t="s">
        <v>3343</v>
      </c>
      <c r="C1994" s="2" t="s">
        <v>3344</v>
      </c>
      <c r="D1994" s="2" t="s">
        <v>1019</v>
      </c>
      <c r="E1994" s="3" t="s">
        <v>1020</v>
      </c>
      <c r="G1994" s="4" t="s">
        <v>211</v>
      </c>
      <c r="H1994" s="22" t="s">
        <v>62</v>
      </c>
      <c r="I1994" s="22"/>
      <c r="J1994" s="22">
        <v>7600.88</v>
      </c>
      <c r="K1994" s="22">
        <f t="shared" si="23"/>
        <v>7600.88</v>
      </c>
      <c r="L1994" s="17"/>
    </row>
    <row r="1995" spans="1:14" x14ac:dyDescent="0.25">
      <c r="A1995" s="10">
        <v>46149</v>
      </c>
      <c r="B1995" s="2" t="s">
        <v>3343</v>
      </c>
      <c r="C1995" s="2" t="s">
        <v>3344</v>
      </c>
      <c r="D1995" s="2" t="s">
        <v>1019</v>
      </c>
      <c r="E1995" s="3" t="s">
        <v>1020</v>
      </c>
      <c r="G1995" s="4" t="s">
        <v>48</v>
      </c>
      <c r="H1995" s="22" t="s">
        <v>49</v>
      </c>
      <c r="I1995" s="22"/>
      <c r="J1995" s="22">
        <f>I1991-J1992-J1993-J1994</f>
        <v>66887.740000000005</v>
      </c>
      <c r="K1995" s="22">
        <f t="shared" si="23"/>
        <v>66887.740000000005</v>
      </c>
      <c r="L1995" s="17"/>
    </row>
    <row r="1996" spans="1:14" ht="24" x14ac:dyDescent="0.25">
      <c r="A1996" s="10">
        <v>46149</v>
      </c>
      <c r="B1996" s="2" t="s">
        <v>3346</v>
      </c>
      <c r="C1996" s="2" t="s">
        <v>3344</v>
      </c>
      <c r="D1996" s="2" t="s">
        <v>2402</v>
      </c>
      <c r="E1996" s="3" t="s">
        <v>1020</v>
      </c>
      <c r="F1996" s="4">
        <f>19600</f>
        <v>19600</v>
      </c>
      <c r="G1996" s="4" t="s">
        <v>211</v>
      </c>
      <c r="H1996" s="22" t="s">
        <v>62</v>
      </c>
      <c r="I1996" s="22">
        <v>19600</v>
      </c>
      <c r="J1996" s="22"/>
      <c r="K1996" s="22">
        <f t="shared" si="23"/>
        <v>19600</v>
      </c>
      <c r="L1996" s="17"/>
      <c r="M1996" s="6" t="s">
        <v>581</v>
      </c>
      <c r="N1996" s="1" t="s">
        <v>3347</v>
      </c>
    </row>
    <row r="1997" spans="1:14" x14ac:dyDescent="0.25">
      <c r="A1997" s="10">
        <v>46149</v>
      </c>
      <c r="B1997" s="2" t="s">
        <v>3346</v>
      </c>
      <c r="C1997" s="2" t="s">
        <v>3344</v>
      </c>
      <c r="D1997" s="2" t="s">
        <v>2402</v>
      </c>
      <c r="E1997" s="3" t="s">
        <v>1020</v>
      </c>
      <c r="G1997" s="4" t="s">
        <v>48</v>
      </c>
      <c r="H1997" s="22" t="s">
        <v>49</v>
      </c>
      <c r="I1997" s="22"/>
      <c r="J1997" s="22">
        <f>I1996</f>
        <v>19600</v>
      </c>
      <c r="K1997" s="22">
        <f t="shared" si="23"/>
        <v>19600</v>
      </c>
      <c r="L1997" s="17"/>
    </row>
    <row r="1998" spans="1:14" ht="24" x14ac:dyDescent="0.25">
      <c r="A1998" s="10">
        <v>46149</v>
      </c>
      <c r="B1998" s="2" t="s">
        <v>3348</v>
      </c>
      <c r="C1998" s="2" t="s">
        <v>470</v>
      </c>
      <c r="D1998" s="2" t="s">
        <v>3349</v>
      </c>
      <c r="E1998" s="3" t="s">
        <v>472</v>
      </c>
      <c r="F1998" s="4">
        <v>2702.34</v>
      </c>
      <c r="G1998" s="4" t="s">
        <v>48</v>
      </c>
      <c r="H1998" s="22" t="s">
        <v>1599</v>
      </c>
      <c r="I1998" s="22">
        <v>896</v>
      </c>
      <c r="J1998" s="22"/>
      <c r="K1998" s="22">
        <f t="shared" si="23"/>
        <v>896</v>
      </c>
      <c r="L1998" s="17"/>
      <c r="M1998" s="6" t="s">
        <v>581</v>
      </c>
      <c r="N1998" s="1" t="s">
        <v>3350</v>
      </c>
    </row>
    <row r="1999" spans="1:14" x14ac:dyDescent="0.25">
      <c r="A1999" s="10">
        <v>46149</v>
      </c>
      <c r="B1999" s="2" t="s">
        <v>3348</v>
      </c>
      <c r="C1999" s="2" t="s">
        <v>470</v>
      </c>
      <c r="D1999" s="2" t="s">
        <v>3349</v>
      </c>
      <c r="E1999" s="3" t="s">
        <v>472</v>
      </c>
      <c r="G1999" s="4" t="s">
        <v>48</v>
      </c>
      <c r="H1999" s="22" t="s">
        <v>3351</v>
      </c>
      <c r="I1999" s="22">
        <v>1612.8</v>
      </c>
      <c r="J1999" s="22"/>
      <c r="K1999" s="22">
        <f t="shared" si="23"/>
        <v>1612.8</v>
      </c>
      <c r="L1999" s="17"/>
    </row>
    <row r="2000" spans="1:14" x14ac:dyDescent="0.25">
      <c r="A2000" s="10">
        <v>46149</v>
      </c>
      <c r="B2000" s="2" t="s">
        <v>3348</v>
      </c>
      <c r="C2000" s="2" t="s">
        <v>470</v>
      </c>
      <c r="D2000" s="2" t="s">
        <v>3349</v>
      </c>
      <c r="E2000" s="3" t="s">
        <v>472</v>
      </c>
      <c r="G2000" s="4" t="s">
        <v>48</v>
      </c>
      <c r="H2000" s="22" t="s">
        <v>1187</v>
      </c>
      <c r="I2000" s="22">
        <v>193.54</v>
      </c>
      <c r="J2000" s="22"/>
      <c r="K2000" s="22">
        <f t="shared" si="23"/>
        <v>193.54</v>
      </c>
      <c r="L2000" s="17"/>
    </row>
    <row r="2001" spans="1:20" x14ac:dyDescent="0.25">
      <c r="A2001" s="10">
        <v>46149</v>
      </c>
      <c r="B2001" s="2" t="s">
        <v>3348</v>
      </c>
      <c r="C2001" s="2" t="s">
        <v>470</v>
      </c>
      <c r="D2001" s="2" t="s">
        <v>3349</v>
      </c>
      <c r="E2001" s="3" t="s">
        <v>472</v>
      </c>
      <c r="G2001" s="4" t="s">
        <v>48</v>
      </c>
      <c r="H2001" s="22" t="s">
        <v>49</v>
      </c>
      <c r="I2001" s="22"/>
      <c r="J2001" s="22">
        <f>I1998+I1999+I2000</f>
        <v>2702.34</v>
      </c>
      <c r="K2001" s="22">
        <f t="shared" si="23"/>
        <v>2702.34</v>
      </c>
      <c r="L2001" s="17"/>
    </row>
    <row r="2002" spans="1:20" ht="24" x14ac:dyDescent="0.25">
      <c r="A2002" s="10">
        <v>46150</v>
      </c>
      <c r="B2002" s="2" t="s">
        <v>3352</v>
      </c>
      <c r="C2002" s="2" t="s">
        <v>95</v>
      </c>
      <c r="D2002" s="2" t="s">
        <v>3353</v>
      </c>
      <c r="E2002" s="3" t="s">
        <v>3354</v>
      </c>
      <c r="F2002" s="4">
        <v>315000</v>
      </c>
      <c r="G2002" s="4" t="s">
        <v>1110</v>
      </c>
      <c r="H2002" s="22" t="s">
        <v>862</v>
      </c>
      <c r="I2002" s="22">
        <v>315000</v>
      </c>
      <c r="J2002" s="22"/>
      <c r="K2002" s="22">
        <f t="shared" si="23"/>
        <v>315000</v>
      </c>
      <c r="L2002" s="17"/>
      <c r="M2002" s="6" t="s">
        <v>581</v>
      </c>
      <c r="N2002" s="1" t="s">
        <v>3355</v>
      </c>
    </row>
    <row r="2003" spans="1:20" x14ac:dyDescent="0.25">
      <c r="A2003" s="10">
        <v>46150</v>
      </c>
      <c r="B2003" s="2" t="s">
        <v>3352</v>
      </c>
      <c r="C2003" s="2" t="s">
        <v>95</v>
      </c>
      <c r="D2003" s="2" t="s">
        <v>3353</v>
      </c>
      <c r="E2003" s="3" t="s">
        <v>3354</v>
      </c>
      <c r="G2003" s="4" t="s">
        <v>48</v>
      </c>
      <c r="H2003" s="22" t="s">
        <v>49</v>
      </c>
      <c r="I2003" s="22"/>
      <c r="J2003" s="22">
        <f>I2002</f>
        <v>315000</v>
      </c>
      <c r="K2003" s="22">
        <f t="shared" si="23"/>
        <v>315000</v>
      </c>
      <c r="L2003" s="17"/>
    </row>
    <row r="2004" spans="1:20" x14ac:dyDescent="0.25">
      <c r="A2004" s="10">
        <v>46150</v>
      </c>
      <c r="B2004" s="2" t="s">
        <v>3356</v>
      </c>
      <c r="C2004" s="2" t="s">
        <v>38</v>
      </c>
      <c r="E2004" s="3" t="s">
        <v>3357</v>
      </c>
      <c r="F2004" s="4">
        <f>54531.75+2321.8</f>
        <v>56853.55</v>
      </c>
      <c r="G2004" s="4" t="s">
        <v>326</v>
      </c>
      <c r="H2004" s="22" t="s">
        <v>40</v>
      </c>
      <c r="I2004" s="22">
        <v>54531.75</v>
      </c>
      <c r="J2004" s="22"/>
      <c r="K2004" s="22">
        <f t="shared" si="23"/>
        <v>54531.75</v>
      </c>
      <c r="L2004" s="17">
        <v>56853.55</v>
      </c>
      <c r="M2004" s="23" t="s">
        <v>41</v>
      </c>
      <c r="N2004" s="1" t="s">
        <v>3358</v>
      </c>
      <c r="O2004" s="7" t="s">
        <v>3359</v>
      </c>
      <c r="P2004" s="7" t="s">
        <v>784</v>
      </c>
      <c r="R2004" s="7" t="s">
        <v>2310</v>
      </c>
      <c r="S2004" s="3" t="s">
        <v>45</v>
      </c>
      <c r="T2004" s="3" t="s">
        <v>3360</v>
      </c>
    </row>
    <row r="2005" spans="1:20" x14ac:dyDescent="0.25">
      <c r="A2005" s="10">
        <v>46150</v>
      </c>
      <c r="B2005" s="2" t="s">
        <v>3356</v>
      </c>
      <c r="C2005" s="2" t="s">
        <v>38</v>
      </c>
      <c r="E2005" s="3" t="s">
        <v>3357</v>
      </c>
      <c r="G2005" s="4" t="s">
        <v>326</v>
      </c>
      <c r="H2005" s="22" t="s">
        <v>47</v>
      </c>
      <c r="I2005" s="22">
        <v>2321.8000000000002</v>
      </c>
      <c r="J2005" s="22"/>
      <c r="K2005" s="22">
        <f t="shared" si="23"/>
        <v>2321.8000000000002</v>
      </c>
      <c r="L2005" s="17"/>
      <c r="M2005" s="23"/>
    </row>
    <row r="2006" spans="1:20" x14ac:dyDescent="0.25">
      <c r="A2006" s="10">
        <v>46150</v>
      </c>
      <c r="B2006" s="2" t="s">
        <v>3356</v>
      </c>
      <c r="C2006" s="2" t="s">
        <v>38</v>
      </c>
      <c r="E2006" s="3" t="s">
        <v>3357</v>
      </c>
      <c r="G2006" s="4" t="s">
        <v>48</v>
      </c>
      <c r="H2006" s="22" t="s">
        <v>3361</v>
      </c>
      <c r="I2006" s="22"/>
      <c r="J2006" s="22">
        <f>I2004+I2005</f>
        <v>56853.55</v>
      </c>
      <c r="K2006" s="22">
        <f t="shared" si="23"/>
        <v>56853.55</v>
      </c>
      <c r="L2006" s="17"/>
      <c r="M2006" s="23"/>
    </row>
    <row r="2007" spans="1:20" x14ac:dyDescent="0.25">
      <c r="A2007" s="10">
        <v>46150</v>
      </c>
      <c r="B2007" s="2" t="s">
        <v>3362</v>
      </c>
      <c r="C2007" s="2" t="s">
        <v>3363</v>
      </c>
      <c r="D2007" s="2" t="s">
        <v>3364</v>
      </c>
      <c r="E2007" s="3" t="s">
        <v>1909</v>
      </c>
      <c r="F2007" s="4">
        <v>3300</v>
      </c>
      <c r="G2007" s="4" t="s">
        <v>110</v>
      </c>
      <c r="H2007" s="22" t="s">
        <v>1901</v>
      </c>
      <c r="I2007" s="22">
        <v>3300</v>
      </c>
      <c r="J2007" s="22"/>
      <c r="K2007" s="22">
        <f t="shared" si="23"/>
        <v>3300</v>
      </c>
      <c r="L2007" s="17">
        <v>3300</v>
      </c>
      <c r="M2007" s="23" t="s">
        <v>41</v>
      </c>
      <c r="N2007" s="8" t="s">
        <v>3365</v>
      </c>
      <c r="O2007" s="7" t="s">
        <v>116</v>
      </c>
      <c r="P2007" s="7" t="s">
        <v>81</v>
      </c>
      <c r="R2007" s="7" t="s">
        <v>2455</v>
      </c>
      <c r="S2007" s="3" t="s">
        <v>83</v>
      </c>
      <c r="T2007" s="3" t="s">
        <v>3366</v>
      </c>
    </row>
    <row r="2008" spans="1:20" x14ac:dyDescent="0.25">
      <c r="A2008" s="10">
        <v>46150</v>
      </c>
      <c r="B2008" s="2" t="s">
        <v>3362</v>
      </c>
      <c r="C2008" s="2" t="s">
        <v>3363</v>
      </c>
      <c r="D2008" s="2" t="s">
        <v>3364</v>
      </c>
      <c r="E2008" s="3" t="s">
        <v>1909</v>
      </c>
      <c r="G2008" s="4" t="s">
        <v>48</v>
      </c>
      <c r="H2008" s="22" t="s">
        <v>49</v>
      </c>
      <c r="I2008" s="22"/>
      <c r="J2008" s="22">
        <f>I2007</f>
        <v>3300</v>
      </c>
      <c r="K2008" s="22">
        <f t="shared" si="23"/>
        <v>3300</v>
      </c>
      <c r="L2008" s="17"/>
      <c r="N2008" s="8"/>
    </row>
    <row r="2009" spans="1:20" ht="24" x14ac:dyDescent="0.25">
      <c r="A2009" s="10">
        <v>46150</v>
      </c>
      <c r="B2009" s="2" t="s">
        <v>3367</v>
      </c>
      <c r="C2009" s="2" t="s">
        <v>3368</v>
      </c>
      <c r="D2009" s="2" t="s">
        <v>3364</v>
      </c>
      <c r="E2009" s="3" t="s">
        <v>553</v>
      </c>
      <c r="F2009" s="4">
        <v>1060</v>
      </c>
      <c r="G2009" s="4" t="s">
        <v>110</v>
      </c>
      <c r="H2009" s="22" t="s">
        <v>1901</v>
      </c>
      <c r="I2009" s="22">
        <v>1060</v>
      </c>
      <c r="J2009" s="22"/>
      <c r="K2009" s="22">
        <f t="shared" si="23"/>
        <v>1060</v>
      </c>
      <c r="L2009" s="17">
        <v>1060</v>
      </c>
      <c r="M2009" s="23" t="s">
        <v>41</v>
      </c>
      <c r="N2009" s="1" t="s">
        <v>3369</v>
      </c>
      <c r="O2009" s="7" t="s">
        <v>116</v>
      </c>
      <c r="P2009" s="7" t="s">
        <v>81</v>
      </c>
      <c r="R2009" s="7" t="s">
        <v>2455</v>
      </c>
      <c r="S2009" s="3" t="s">
        <v>83</v>
      </c>
      <c r="T2009" s="3" t="s">
        <v>3366</v>
      </c>
    </row>
    <row r="2010" spans="1:20" x14ac:dyDescent="0.25">
      <c r="A2010" s="10">
        <v>46150</v>
      </c>
      <c r="B2010" s="2" t="s">
        <v>3367</v>
      </c>
      <c r="C2010" s="2" t="s">
        <v>3368</v>
      </c>
      <c r="D2010" s="2" t="s">
        <v>3364</v>
      </c>
      <c r="E2010" s="3" t="s">
        <v>553</v>
      </c>
      <c r="G2010" s="4" t="s">
        <v>48</v>
      </c>
      <c r="H2010" s="22" t="s">
        <v>49</v>
      </c>
      <c r="I2010" s="22"/>
      <c r="J2010" s="22">
        <f>I2009</f>
        <v>1060</v>
      </c>
      <c r="K2010" s="22">
        <f t="shared" si="23"/>
        <v>1060</v>
      </c>
      <c r="L2010" s="17"/>
    </row>
    <row r="2011" spans="1:20" ht="24" x14ac:dyDescent="0.25">
      <c r="A2011" s="10">
        <v>46150</v>
      </c>
      <c r="B2011" s="2" t="s">
        <v>3370</v>
      </c>
      <c r="C2011" s="2" t="s">
        <v>3371</v>
      </c>
      <c r="D2011" s="2" t="s">
        <v>3364</v>
      </c>
      <c r="E2011" s="3" t="s">
        <v>2760</v>
      </c>
      <c r="F2011" s="4">
        <v>10050</v>
      </c>
      <c r="G2011" s="4" t="s">
        <v>110</v>
      </c>
      <c r="H2011" s="22" t="s">
        <v>1901</v>
      </c>
      <c r="I2011" s="22">
        <v>10050</v>
      </c>
      <c r="J2011" s="22"/>
      <c r="K2011" s="22">
        <f t="shared" si="23"/>
        <v>10050</v>
      </c>
      <c r="L2011" s="17">
        <v>10050</v>
      </c>
      <c r="M2011" s="23" t="s">
        <v>41</v>
      </c>
      <c r="N2011" s="1" t="s">
        <v>3372</v>
      </c>
      <c r="O2011" s="7" t="s">
        <v>116</v>
      </c>
      <c r="P2011" s="7" t="s">
        <v>81</v>
      </c>
      <c r="R2011" s="7" t="s">
        <v>2455</v>
      </c>
      <c r="S2011" s="3" t="s">
        <v>83</v>
      </c>
      <c r="T2011" s="3" t="s">
        <v>3366</v>
      </c>
    </row>
    <row r="2012" spans="1:20" x14ac:dyDescent="0.25">
      <c r="A2012" s="10">
        <v>46150</v>
      </c>
      <c r="B2012" s="2" t="s">
        <v>3370</v>
      </c>
      <c r="C2012" s="2" t="s">
        <v>3371</v>
      </c>
      <c r="D2012" s="2" t="s">
        <v>3364</v>
      </c>
      <c r="E2012" s="3" t="s">
        <v>2760</v>
      </c>
      <c r="G2012" s="4" t="s">
        <v>48</v>
      </c>
      <c r="H2012" s="22" t="s">
        <v>49</v>
      </c>
      <c r="I2012" s="22"/>
      <c r="J2012" s="22">
        <f>I2011</f>
        <v>10050</v>
      </c>
      <c r="K2012" s="22">
        <f t="shared" si="23"/>
        <v>10050</v>
      </c>
      <c r="L2012" s="17"/>
    </row>
    <row r="2013" spans="1:20" ht="24" x14ac:dyDescent="0.25">
      <c r="A2013" s="10">
        <v>46150</v>
      </c>
      <c r="B2013" s="2" t="s">
        <v>3373</v>
      </c>
      <c r="C2013" s="2" t="s">
        <v>3374</v>
      </c>
      <c r="D2013" s="2" t="s">
        <v>3364</v>
      </c>
      <c r="E2013" s="3" t="s">
        <v>109</v>
      </c>
      <c r="F2013" s="4">
        <v>1375</v>
      </c>
      <c r="G2013" s="4" t="s">
        <v>110</v>
      </c>
      <c r="H2013" s="22" t="s">
        <v>1901</v>
      </c>
      <c r="I2013" s="22">
        <v>1375</v>
      </c>
      <c r="J2013" s="22"/>
      <c r="K2013" s="22">
        <f t="shared" si="23"/>
        <v>1375</v>
      </c>
      <c r="L2013" s="17">
        <v>1375</v>
      </c>
      <c r="M2013" s="23" t="s">
        <v>41</v>
      </c>
      <c r="N2013" s="1" t="s">
        <v>3375</v>
      </c>
      <c r="O2013" s="7" t="s">
        <v>116</v>
      </c>
      <c r="P2013" s="7" t="s">
        <v>81</v>
      </c>
      <c r="R2013" s="7" t="s">
        <v>2455</v>
      </c>
      <c r="S2013" s="3" t="s">
        <v>83</v>
      </c>
      <c r="T2013" s="3" t="s">
        <v>3366</v>
      </c>
    </row>
    <row r="2014" spans="1:20" x14ac:dyDescent="0.25">
      <c r="A2014" s="10">
        <v>46150</v>
      </c>
      <c r="B2014" s="2" t="s">
        <v>3373</v>
      </c>
      <c r="C2014" s="2" t="s">
        <v>3374</v>
      </c>
      <c r="D2014" s="2" t="s">
        <v>3364</v>
      </c>
      <c r="E2014" s="3" t="s">
        <v>109</v>
      </c>
      <c r="G2014" s="4" t="s">
        <v>48</v>
      </c>
      <c r="H2014" s="22" t="s">
        <v>49</v>
      </c>
      <c r="I2014" s="22"/>
      <c r="J2014" s="22">
        <f>I2013</f>
        <v>1375</v>
      </c>
      <c r="K2014" s="22">
        <f t="shared" si="23"/>
        <v>1375</v>
      </c>
      <c r="L2014" s="17"/>
    </row>
    <row r="2015" spans="1:20" ht="24" x14ac:dyDescent="0.25">
      <c r="A2015" s="10">
        <v>46150</v>
      </c>
      <c r="B2015" s="2" t="s">
        <v>3376</v>
      </c>
      <c r="C2015" s="2" t="s">
        <v>3377</v>
      </c>
      <c r="D2015" s="2" t="s">
        <v>3364</v>
      </c>
      <c r="E2015" s="3" t="s">
        <v>114</v>
      </c>
      <c r="F2015" s="4">
        <v>17400</v>
      </c>
      <c r="G2015" s="4" t="s">
        <v>110</v>
      </c>
      <c r="H2015" s="22" t="s">
        <v>1901</v>
      </c>
      <c r="I2015" s="22">
        <v>17400</v>
      </c>
      <c r="J2015" s="22"/>
      <c r="K2015" s="22">
        <f t="shared" si="23"/>
        <v>17400</v>
      </c>
      <c r="L2015" s="17">
        <v>17400</v>
      </c>
      <c r="M2015" s="23" t="s">
        <v>41</v>
      </c>
      <c r="N2015" s="1" t="s">
        <v>3378</v>
      </c>
      <c r="O2015" s="7" t="s">
        <v>116</v>
      </c>
      <c r="P2015" s="7" t="s">
        <v>81</v>
      </c>
      <c r="R2015" s="7" t="s">
        <v>2455</v>
      </c>
      <c r="S2015" s="3" t="s">
        <v>83</v>
      </c>
      <c r="T2015" s="3" t="s">
        <v>3366</v>
      </c>
    </row>
    <row r="2016" spans="1:20" x14ac:dyDescent="0.25">
      <c r="A2016" s="10">
        <v>46150</v>
      </c>
      <c r="B2016" s="2" t="s">
        <v>3376</v>
      </c>
      <c r="C2016" s="2" t="s">
        <v>3377</v>
      </c>
      <c r="D2016" s="2" t="s">
        <v>3364</v>
      </c>
      <c r="E2016" s="3" t="s">
        <v>114</v>
      </c>
      <c r="G2016" s="4" t="s">
        <v>48</v>
      </c>
      <c r="H2016" s="22" t="s">
        <v>49</v>
      </c>
      <c r="I2016" s="22"/>
      <c r="J2016" s="22">
        <f>I2015</f>
        <v>17400</v>
      </c>
      <c r="K2016" s="22">
        <f t="shared" si="23"/>
        <v>17400</v>
      </c>
      <c r="L2016" s="17"/>
    </row>
    <row r="2017" spans="1:20" ht="24" x14ac:dyDescent="0.25">
      <c r="A2017" s="10">
        <v>46150</v>
      </c>
      <c r="B2017" s="2" t="s">
        <v>3379</v>
      </c>
      <c r="C2017" s="2" t="s">
        <v>3380</v>
      </c>
      <c r="D2017" s="2" t="s">
        <v>3364</v>
      </c>
      <c r="E2017" s="3" t="s">
        <v>710</v>
      </c>
      <c r="F2017" s="4">
        <v>10560</v>
      </c>
      <c r="G2017" s="4" t="s">
        <v>110</v>
      </c>
      <c r="H2017" s="22" t="s">
        <v>1901</v>
      </c>
      <c r="I2017" s="22">
        <v>10560</v>
      </c>
      <c r="J2017" s="22"/>
      <c r="K2017" s="22">
        <f t="shared" si="23"/>
        <v>10560</v>
      </c>
      <c r="L2017" s="17">
        <v>10560</v>
      </c>
      <c r="M2017" s="23" t="s">
        <v>41</v>
      </c>
      <c r="N2017" s="1" t="s">
        <v>3381</v>
      </c>
      <c r="O2017" s="7" t="s">
        <v>116</v>
      </c>
      <c r="P2017" s="7" t="s">
        <v>81</v>
      </c>
      <c r="R2017" s="7" t="s">
        <v>2455</v>
      </c>
      <c r="S2017" s="3" t="s">
        <v>83</v>
      </c>
      <c r="T2017" s="3" t="s">
        <v>3366</v>
      </c>
    </row>
    <row r="2018" spans="1:20" x14ac:dyDescent="0.25">
      <c r="A2018" s="10">
        <v>46150</v>
      </c>
      <c r="B2018" s="2" t="s">
        <v>3379</v>
      </c>
      <c r="C2018" s="2" t="s">
        <v>3380</v>
      </c>
      <c r="D2018" s="2" t="s">
        <v>3364</v>
      </c>
      <c r="E2018" s="3" t="s">
        <v>710</v>
      </c>
      <c r="G2018" s="4" t="s">
        <v>48</v>
      </c>
      <c r="H2018" s="22" t="s">
        <v>49</v>
      </c>
      <c r="I2018" s="22"/>
      <c r="J2018" s="22">
        <f>I2017</f>
        <v>10560</v>
      </c>
      <c r="K2018" s="22">
        <f t="shared" si="23"/>
        <v>10560</v>
      </c>
      <c r="L2018" s="17"/>
    </row>
    <row r="2019" spans="1:20" ht="24" x14ac:dyDescent="0.25">
      <c r="A2019" s="10">
        <v>46150</v>
      </c>
      <c r="B2019" s="2" t="s">
        <v>3382</v>
      </c>
      <c r="C2019" s="2" t="s">
        <v>3383</v>
      </c>
      <c r="D2019" s="2" t="s">
        <v>3364</v>
      </c>
      <c r="E2019" s="3" t="s">
        <v>3260</v>
      </c>
      <c r="F2019" s="4">
        <v>38287</v>
      </c>
      <c r="G2019" s="4" t="s">
        <v>110</v>
      </c>
      <c r="H2019" s="22" t="s">
        <v>1901</v>
      </c>
      <c r="I2019" s="22">
        <v>38287</v>
      </c>
      <c r="J2019" s="22"/>
      <c r="K2019" s="22">
        <f t="shared" si="23"/>
        <v>38287</v>
      </c>
      <c r="L2019" s="17">
        <v>38287</v>
      </c>
      <c r="M2019" s="23" t="s">
        <v>41</v>
      </c>
      <c r="N2019" s="1" t="s">
        <v>3384</v>
      </c>
      <c r="O2019" s="7" t="s">
        <v>116</v>
      </c>
      <c r="P2019" s="7" t="s">
        <v>81</v>
      </c>
      <c r="R2019" s="7" t="s">
        <v>2455</v>
      </c>
      <c r="S2019" s="3" t="s">
        <v>83</v>
      </c>
      <c r="T2019" s="3" t="s">
        <v>3366</v>
      </c>
    </row>
    <row r="2020" spans="1:20" x14ac:dyDescent="0.25">
      <c r="A2020" s="10">
        <v>46150</v>
      </c>
      <c r="B2020" s="2" t="s">
        <v>3382</v>
      </c>
      <c r="C2020" s="2" t="s">
        <v>3383</v>
      </c>
      <c r="D2020" s="2" t="s">
        <v>3364</v>
      </c>
      <c r="E2020" s="3" t="s">
        <v>3260</v>
      </c>
      <c r="G2020" s="4" t="s">
        <v>48</v>
      </c>
      <c r="H2020" s="22" t="s">
        <v>49</v>
      </c>
      <c r="I2020" s="22"/>
      <c r="J2020" s="22">
        <f>I2019</f>
        <v>38287</v>
      </c>
      <c r="K2020" s="22">
        <f t="shared" si="23"/>
        <v>38287</v>
      </c>
      <c r="L2020" s="17"/>
    </row>
    <row r="2021" spans="1:20" ht="36" x14ac:dyDescent="0.25">
      <c r="A2021" s="10">
        <v>46150</v>
      </c>
      <c r="B2021" s="2" t="s">
        <v>3385</v>
      </c>
      <c r="C2021" s="2" t="s">
        <v>141</v>
      </c>
      <c r="E2021" s="3" t="s">
        <v>27</v>
      </c>
      <c r="F2021" s="4">
        <v>265000</v>
      </c>
      <c r="G2021" s="4" t="s">
        <v>48</v>
      </c>
      <c r="H2021" s="22" t="s">
        <v>81</v>
      </c>
      <c r="I2021" s="22">
        <v>265000</v>
      </c>
      <c r="J2021" s="22"/>
      <c r="K2021" s="22">
        <f t="shared" si="23"/>
        <v>265000</v>
      </c>
      <c r="L2021" s="17">
        <v>265000</v>
      </c>
      <c r="M2021" s="23" t="s">
        <v>41</v>
      </c>
      <c r="N2021" s="1" t="s">
        <v>3386</v>
      </c>
      <c r="O2021" s="7" t="s">
        <v>143</v>
      </c>
      <c r="P2021" s="7" t="s">
        <v>32</v>
      </c>
      <c r="Q2021" s="25" t="s">
        <v>3387</v>
      </c>
      <c r="R2021" s="7" t="s">
        <v>2455</v>
      </c>
      <c r="S2021" s="3" t="s">
        <v>3388</v>
      </c>
      <c r="T2021" s="3" t="s">
        <v>3389</v>
      </c>
    </row>
    <row r="2022" spans="1:20" x14ac:dyDescent="0.25">
      <c r="A2022" s="10">
        <v>46150</v>
      </c>
      <c r="B2022" s="2" t="s">
        <v>3385</v>
      </c>
      <c r="C2022" s="2" t="s">
        <v>141</v>
      </c>
      <c r="E2022" s="3" t="s">
        <v>27</v>
      </c>
      <c r="G2022" s="4" t="s">
        <v>48</v>
      </c>
      <c r="H2022" s="22" t="s">
        <v>49</v>
      </c>
      <c r="I2022" s="22"/>
      <c r="J2022" s="22">
        <f>I2021</f>
        <v>265000</v>
      </c>
      <c r="K2022" s="22">
        <f t="shared" si="23"/>
        <v>265000</v>
      </c>
      <c r="L2022" s="17"/>
      <c r="M2022" s="23"/>
      <c r="Q2022" s="25"/>
    </row>
    <row r="2023" spans="1:20" x14ac:dyDescent="0.25">
      <c r="A2023" s="10">
        <v>46150</v>
      </c>
      <c r="B2023" s="2" t="s">
        <v>3390</v>
      </c>
      <c r="E2023" s="3" t="s">
        <v>398</v>
      </c>
      <c r="F2023" s="4">
        <f>265000-82032-132600</f>
        <v>50368</v>
      </c>
      <c r="G2023" s="4" t="s">
        <v>167</v>
      </c>
      <c r="H2023" s="22" t="s">
        <v>168</v>
      </c>
      <c r="I2023" s="22">
        <v>50368</v>
      </c>
      <c r="J2023" s="22"/>
      <c r="K2023" s="22">
        <f t="shared" si="23"/>
        <v>50368</v>
      </c>
      <c r="L2023" s="17">
        <v>50368</v>
      </c>
      <c r="M2023" s="23" t="s">
        <v>41</v>
      </c>
      <c r="N2023" s="1" t="s">
        <v>3391</v>
      </c>
      <c r="O2023" s="7" t="s">
        <v>81</v>
      </c>
      <c r="P2023" s="7" t="s">
        <v>81</v>
      </c>
      <c r="R2023" s="7" t="s">
        <v>2455</v>
      </c>
      <c r="S2023" s="3" t="s">
        <v>83</v>
      </c>
      <c r="T2023" s="3" t="s">
        <v>3366</v>
      </c>
    </row>
    <row r="2024" spans="1:20" x14ac:dyDescent="0.25">
      <c r="A2024" s="10">
        <v>46150</v>
      </c>
      <c r="B2024" s="2" t="s">
        <v>3390</v>
      </c>
      <c r="E2024" s="3" t="s">
        <v>398</v>
      </c>
      <c r="G2024" s="4" t="s">
        <v>48</v>
      </c>
      <c r="H2024" s="22" t="s">
        <v>81</v>
      </c>
      <c r="I2024" s="22"/>
      <c r="J2024" s="22">
        <f>I2023</f>
        <v>50368</v>
      </c>
      <c r="K2024" s="22">
        <f t="shared" si="23"/>
        <v>50368</v>
      </c>
      <c r="L2024" s="17"/>
      <c r="M2024" s="23"/>
    </row>
    <row r="2025" spans="1:20" ht="24" x14ac:dyDescent="0.25">
      <c r="A2025" s="10">
        <v>46153</v>
      </c>
      <c r="B2025" s="2" t="s">
        <v>3392</v>
      </c>
      <c r="C2025" s="2" t="s">
        <v>95</v>
      </c>
      <c r="D2025" s="2" t="s">
        <v>3393</v>
      </c>
      <c r="E2025" s="3" t="s">
        <v>76</v>
      </c>
      <c r="F2025" s="4">
        <f>2580+3160+3440+3160</f>
        <v>12340</v>
      </c>
      <c r="G2025" s="4" t="s">
        <v>77</v>
      </c>
      <c r="H2025" s="22" t="s">
        <v>78</v>
      </c>
      <c r="I2025" s="22">
        <v>12340</v>
      </c>
      <c r="J2025" s="22"/>
      <c r="K2025" s="22">
        <f t="shared" si="23"/>
        <v>12340</v>
      </c>
      <c r="L2025" s="17"/>
      <c r="M2025" s="23" t="s">
        <v>41</v>
      </c>
      <c r="N2025" s="1" t="s">
        <v>3394</v>
      </c>
    </row>
    <row r="2026" spans="1:20" x14ac:dyDescent="0.25">
      <c r="A2026" s="10">
        <v>46153</v>
      </c>
      <c r="B2026" s="2" t="s">
        <v>3392</v>
      </c>
      <c r="C2026" s="2" t="s">
        <v>95</v>
      </c>
      <c r="D2026" s="2" t="s">
        <v>3393</v>
      </c>
      <c r="E2026" s="3" t="s">
        <v>76</v>
      </c>
      <c r="G2026" s="4" t="s">
        <v>48</v>
      </c>
      <c r="H2026" s="22" t="s">
        <v>49</v>
      </c>
      <c r="I2026" s="22"/>
      <c r="J2026" s="22">
        <f>I2025</f>
        <v>12340</v>
      </c>
      <c r="K2026" s="22">
        <f t="shared" si="23"/>
        <v>12340</v>
      </c>
      <c r="L2026" s="17"/>
    </row>
    <row r="2027" spans="1:20" ht="36" x14ac:dyDescent="0.25">
      <c r="A2027" s="10">
        <v>46153</v>
      </c>
      <c r="B2027" s="2" t="s">
        <v>3395</v>
      </c>
      <c r="C2027" s="2" t="s">
        <v>147</v>
      </c>
      <c r="D2027" s="2" t="s">
        <v>3065</v>
      </c>
      <c r="E2027" s="3" t="s">
        <v>149</v>
      </c>
      <c r="F2027" s="4">
        <f>4500+5500+500</f>
        <v>10500</v>
      </c>
      <c r="G2027" s="4" t="s">
        <v>1030</v>
      </c>
      <c r="H2027" s="22" t="s">
        <v>78</v>
      </c>
      <c r="I2027" s="22">
        <v>10500</v>
      </c>
      <c r="J2027" s="22"/>
      <c r="K2027" s="22">
        <f t="shared" si="23"/>
        <v>10500</v>
      </c>
      <c r="L2027" s="17"/>
      <c r="M2027" s="6" t="s">
        <v>581</v>
      </c>
      <c r="N2027" s="1" t="s">
        <v>3396</v>
      </c>
    </row>
    <row r="2028" spans="1:20" x14ac:dyDescent="0.25">
      <c r="A2028" s="10">
        <v>46153</v>
      </c>
      <c r="B2028" s="2" t="s">
        <v>3395</v>
      </c>
      <c r="C2028" s="2" t="s">
        <v>147</v>
      </c>
      <c r="D2028" s="2" t="s">
        <v>3065</v>
      </c>
      <c r="E2028" s="3" t="s">
        <v>149</v>
      </c>
      <c r="G2028" s="4" t="s">
        <v>48</v>
      </c>
      <c r="H2028" s="22" t="s">
        <v>49</v>
      </c>
      <c r="I2028" s="22"/>
      <c r="J2028" s="22">
        <f>I2027</f>
        <v>10500</v>
      </c>
      <c r="K2028" s="22">
        <f t="shared" si="23"/>
        <v>10500</v>
      </c>
      <c r="L2028" s="17"/>
    </row>
    <row r="2029" spans="1:20" ht="24" x14ac:dyDescent="0.25">
      <c r="A2029" s="10">
        <v>46153</v>
      </c>
      <c r="B2029" s="2" t="s">
        <v>3397</v>
      </c>
      <c r="C2029" s="2" t="s">
        <v>3398</v>
      </c>
      <c r="D2029" s="2" t="s">
        <v>3399</v>
      </c>
      <c r="E2029" s="3" t="s">
        <v>2817</v>
      </c>
      <c r="F2029" s="4">
        <f>(54045/1.12)+(54045/1.12*0.12)-(54045/1.12*0.01)</f>
        <v>53562.455357142855</v>
      </c>
      <c r="G2029" s="4" t="s">
        <v>48</v>
      </c>
      <c r="H2029" s="22" t="s">
        <v>787</v>
      </c>
      <c r="I2029" s="22">
        <f>54045/1.12</f>
        <v>48254.464285714283</v>
      </c>
      <c r="J2029" s="22"/>
      <c r="K2029" s="22">
        <f t="shared" si="23"/>
        <v>48254.464285714283</v>
      </c>
      <c r="L2029" s="17"/>
      <c r="M2029" s="6" t="s">
        <v>581</v>
      </c>
      <c r="N2029" s="1" t="s">
        <v>3400</v>
      </c>
    </row>
    <row r="2030" spans="1:20" x14ac:dyDescent="0.25">
      <c r="A2030" s="10">
        <v>46153</v>
      </c>
      <c r="B2030" s="2" t="s">
        <v>3397</v>
      </c>
      <c r="C2030" s="2" t="s">
        <v>3398</v>
      </c>
      <c r="D2030" s="2" t="s">
        <v>3399</v>
      </c>
      <c r="E2030" s="3" t="s">
        <v>2817</v>
      </c>
      <c r="G2030" s="4" t="s">
        <v>48</v>
      </c>
      <c r="H2030" s="22" t="s">
        <v>3401</v>
      </c>
      <c r="I2030" s="22">
        <f>I2029*0.12</f>
        <v>5790.5357142857138</v>
      </c>
      <c r="J2030" s="22"/>
      <c r="K2030" s="22">
        <f t="shared" si="23"/>
        <v>5790.5357142857138</v>
      </c>
      <c r="L2030" s="17"/>
    </row>
    <row r="2031" spans="1:20" x14ac:dyDescent="0.25">
      <c r="A2031" s="10">
        <v>46153</v>
      </c>
      <c r="B2031" s="2" t="s">
        <v>3397</v>
      </c>
      <c r="C2031" s="2" t="s">
        <v>3398</v>
      </c>
      <c r="D2031" s="2" t="s">
        <v>3399</v>
      </c>
      <c r="E2031" s="3" t="s">
        <v>2817</v>
      </c>
      <c r="G2031" s="4" t="s">
        <v>48</v>
      </c>
      <c r="H2031" s="22" t="s">
        <v>1187</v>
      </c>
      <c r="I2031" s="22"/>
      <c r="J2031" s="22">
        <f>I2029*0.01</f>
        <v>482.54464285714283</v>
      </c>
      <c r="K2031" s="22">
        <f t="shared" si="23"/>
        <v>482.54464285714283</v>
      </c>
      <c r="L2031" s="17"/>
    </row>
    <row r="2032" spans="1:20" x14ac:dyDescent="0.25">
      <c r="A2032" s="10">
        <v>46153</v>
      </c>
      <c r="B2032" s="2" t="s">
        <v>3397</v>
      </c>
      <c r="C2032" s="2" t="s">
        <v>3398</v>
      </c>
      <c r="D2032" s="2" t="s">
        <v>3399</v>
      </c>
      <c r="E2032" s="3" t="s">
        <v>2817</v>
      </c>
      <c r="G2032" s="4" t="s">
        <v>48</v>
      </c>
      <c r="H2032" s="22" t="s">
        <v>49</v>
      </c>
      <c r="I2032" s="22"/>
      <c r="J2032" s="22">
        <f>I2029+I2030-J2031</f>
        <v>53562.455357142855</v>
      </c>
      <c r="K2032" s="22">
        <f t="shared" si="23"/>
        <v>53562.455357142855</v>
      </c>
      <c r="L2032" s="17"/>
    </row>
    <row r="2033" spans="1:23" ht="24" x14ac:dyDescent="0.25">
      <c r="A2033" s="10">
        <v>46153</v>
      </c>
      <c r="B2033" s="2" t="s">
        <v>3402</v>
      </c>
      <c r="E2033" s="3" t="s">
        <v>2447</v>
      </c>
      <c r="F2033" s="4">
        <f>57000*0.03</f>
        <v>1710</v>
      </c>
      <c r="G2033" s="4" t="s">
        <v>48</v>
      </c>
      <c r="H2033" s="22" t="s">
        <v>3403</v>
      </c>
      <c r="I2033" s="22">
        <v>1710</v>
      </c>
      <c r="J2033" s="22"/>
      <c r="K2033" s="22">
        <f t="shared" si="23"/>
        <v>1710</v>
      </c>
      <c r="L2033" s="17"/>
      <c r="M2033" s="6" t="s">
        <v>581</v>
      </c>
      <c r="N2033" s="1" t="s">
        <v>3404</v>
      </c>
    </row>
    <row r="2034" spans="1:23" x14ac:dyDescent="0.25">
      <c r="A2034" s="10">
        <v>46153</v>
      </c>
      <c r="B2034" s="2" t="s">
        <v>3402</v>
      </c>
      <c r="E2034" s="3" t="s">
        <v>2447</v>
      </c>
      <c r="G2034" s="4" t="s">
        <v>48</v>
      </c>
      <c r="H2034" s="22" t="s">
        <v>49</v>
      </c>
      <c r="I2034" s="22"/>
      <c r="J2034" s="22">
        <f>I2033</f>
        <v>1710</v>
      </c>
      <c r="K2034" s="22">
        <f t="shared" si="23"/>
        <v>1710</v>
      </c>
      <c r="L2034" s="17"/>
    </row>
    <row r="2035" spans="1:23" ht="24" x14ac:dyDescent="0.25">
      <c r="A2035" s="10">
        <v>46153</v>
      </c>
      <c r="B2035" s="2" t="s">
        <v>3405</v>
      </c>
      <c r="C2035" s="2" t="s">
        <v>3406</v>
      </c>
      <c r="D2035" s="2" t="s">
        <v>2402</v>
      </c>
      <c r="E2035" s="3" t="s">
        <v>1314</v>
      </c>
      <c r="F2035" s="4">
        <f>15151.65+19600.98+7843.51+5883.93</f>
        <v>48480.07</v>
      </c>
      <c r="G2035" s="4" t="s">
        <v>211</v>
      </c>
      <c r="H2035" s="22" t="s">
        <v>62</v>
      </c>
      <c r="I2035" s="22">
        <v>48480.07</v>
      </c>
      <c r="J2035" s="22"/>
      <c r="K2035" s="22">
        <f t="shared" si="23"/>
        <v>48480.07</v>
      </c>
      <c r="L2035" s="17">
        <v>48480.07</v>
      </c>
      <c r="M2035" s="23" t="s">
        <v>41</v>
      </c>
      <c r="N2035" s="1" t="s">
        <v>3407</v>
      </c>
      <c r="O2035" s="24" t="s">
        <v>3408</v>
      </c>
      <c r="P2035" s="7" t="s">
        <v>81</v>
      </c>
      <c r="R2035" s="7" t="s">
        <v>3409</v>
      </c>
      <c r="S2035" s="3" t="s">
        <v>83</v>
      </c>
      <c r="T2035" s="3" t="s">
        <v>3410</v>
      </c>
      <c r="W2035" s="9" t="s">
        <v>3411</v>
      </c>
    </row>
    <row r="2036" spans="1:23" x14ac:dyDescent="0.25">
      <c r="A2036" s="10">
        <v>46153</v>
      </c>
      <c r="B2036" s="2" t="s">
        <v>3405</v>
      </c>
      <c r="C2036" s="2" t="s">
        <v>3406</v>
      </c>
      <c r="D2036" s="2" t="s">
        <v>2402</v>
      </c>
      <c r="E2036" s="3" t="s">
        <v>1314</v>
      </c>
      <c r="G2036" s="4" t="s">
        <v>48</v>
      </c>
      <c r="H2036" s="22" t="s">
        <v>49</v>
      </c>
      <c r="I2036" s="22"/>
      <c r="J2036" s="22">
        <f>I2035</f>
        <v>48480.07</v>
      </c>
      <c r="K2036" s="22">
        <f t="shared" si="23"/>
        <v>48480.07</v>
      </c>
      <c r="L2036" s="17"/>
    </row>
    <row r="2037" spans="1:23" ht="24" x14ac:dyDescent="0.25">
      <c r="A2037" s="10">
        <v>46153</v>
      </c>
      <c r="B2037" s="2" t="s">
        <v>3412</v>
      </c>
      <c r="C2037" s="2" t="s">
        <v>3413</v>
      </c>
      <c r="D2037" s="2" t="s">
        <v>1854</v>
      </c>
      <c r="E2037" s="3" t="s">
        <v>1314</v>
      </c>
      <c r="F2037" s="4">
        <f>15050.08-301</f>
        <v>14749.08</v>
      </c>
      <c r="G2037" s="4" t="s">
        <v>204</v>
      </c>
      <c r="H2037" s="22" t="s">
        <v>57</v>
      </c>
      <c r="I2037" s="22">
        <v>15050.08</v>
      </c>
      <c r="J2037" s="22"/>
      <c r="K2037" s="22">
        <f t="shared" si="23"/>
        <v>15050.08</v>
      </c>
      <c r="L2037" s="17">
        <v>14749.08</v>
      </c>
      <c r="M2037" s="23" t="s">
        <v>41</v>
      </c>
      <c r="N2037" s="1" t="s">
        <v>3414</v>
      </c>
      <c r="O2037" s="24" t="s">
        <v>3408</v>
      </c>
      <c r="P2037" s="7" t="s">
        <v>81</v>
      </c>
      <c r="R2037" s="7" t="s">
        <v>3409</v>
      </c>
      <c r="S2037" s="3" t="s">
        <v>83</v>
      </c>
      <c r="T2037" s="3" t="s">
        <v>3410</v>
      </c>
      <c r="W2037" s="9" t="s">
        <v>3411</v>
      </c>
    </row>
    <row r="2038" spans="1:23" x14ac:dyDescent="0.25">
      <c r="A2038" s="10">
        <v>46153</v>
      </c>
      <c r="B2038" s="2" t="s">
        <v>3412</v>
      </c>
      <c r="C2038" s="2" t="s">
        <v>3413</v>
      </c>
      <c r="D2038" s="2" t="s">
        <v>1854</v>
      </c>
      <c r="E2038" s="3" t="s">
        <v>1314</v>
      </c>
      <c r="G2038" s="4" t="s">
        <v>204</v>
      </c>
      <c r="H2038" s="22" t="s">
        <v>60</v>
      </c>
      <c r="I2038" s="22"/>
      <c r="J2038" s="22">
        <v>301</v>
      </c>
      <c r="K2038" s="22">
        <f t="shared" si="23"/>
        <v>301</v>
      </c>
      <c r="L2038" s="17"/>
    </row>
    <row r="2039" spans="1:23" x14ac:dyDescent="0.25">
      <c r="A2039" s="10">
        <v>46153</v>
      </c>
      <c r="B2039" s="2" t="s">
        <v>3412</v>
      </c>
      <c r="C2039" s="2" t="s">
        <v>3413</v>
      </c>
      <c r="D2039" s="2" t="s">
        <v>1854</v>
      </c>
      <c r="E2039" s="3" t="s">
        <v>1314</v>
      </c>
      <c r="G2039" s="4" t="s">
        <v>48</v>
      </c>
      <c r="H2039" s="22" t="s">
        <v>49</v>
      </c>
      <c r="I2039" s="22"/>
      <c r="J2039" s="22">
        <f>I2037-J2038</f>
        <v>14749.08</v>
      </c>
      <c r="K2039" s="22">
        <f t="shared" si="23"/>
        <v>14749.08</v>
      </c>
      <c r="L2039" s="17"/>
    </row>
    <row r="2040" spans="1:23" ht="24" x14ac:dyDescent="0.25">
      <c r="A2040" s="10">
        <v>46153</v>
      </c>
      <c r="B2040" s="2" t="s">
        <v>3415</v>
      </c>
      <c r="C2040" s="2" t="s">
        <v>3416</v>
      </c>
      <c r="D2040" s="2" t="s">
        <v>2402</v>
      </c>
      <c r="E2040" s="3" t="s">
        <v>1314</v>
      </c>
      <c r="F2040" s="4">
        <v>1100</v>
      </c>
      <c r="G2040" s="4" t="s">
        <v>211</v>
      </c>
      <c r="H2040" s="22" t="s">
        <v>62</v>
      </c>
      <c r="I2040" s="22">
        <v>1100</v>
      </c>
      <c r="J2040" s="22"/>
      <c r="K2040" s="22">
        <f t="shared" si="23"/>
        <v>1100</v>
      </c>
      <c r="L2040" s="17">
        <v>1100</v>
      </c>
      <c r="M2040" s="23" t="s">
        <v>41</v>
      </c>
      <c r="N2040" s="1" t="s">
        <v>3417</v>
      </c>
      <c r="O2040" s="24" t="s">
        <v>3408</v>
      </c>
      <c r="P2040" s="7" t="s">
        <v>81</v>
      </c>
      <c r="R2040" s="7" t="s">
        <v>3409</v>
      </c>
      <c r="S2040" s="3" t="s">
        <v>83</v>
      </c>
      <c r="T2040" s="3" t="s">
        <v>3410</v>
      </c>
      <c r="W2040" s="9" t="s">
        <v>3411</v>
      </c>
    </row>
    <row r="2041" spans="1:23" x14ac:dyDescent="0.25">
      <c r="A2041" s="10">
        <v>46153</v>
      </c>
      <c r="B2041" s="2" t="s">
        <v>3415</v>
      </c>
      <c r="C2041" s="2" t="s">
        <v>3416</v>
      </c>
      <c r="D2041" s="2" t="s">
        <v>2402</v>
      </c>
      <c r="E2041" s="3" t="s">
        <v>1314</v>
      </c>
      <c r="G2041" s="4" t="s">
        <v>48</v>
      </c>
      <c r="H2041" s="22" t="s">
        <v>49</v>
      </c>
      <c r="I2041" s="22"/>
      <c r="J2041" s="22">
        <f>I2040</f>
        <v>1100</v>
      </c>
      <c r="K2041" s="22">
        <f t="shared" si="23"/>
        <v>1100</v>
      </c>
      <c r="L2041" s="17"/>
    </row>
    <row r="2042" spans="1:23" ht="24" x14ac:dyDescent="0.25">
      <c r="A2042" s="10">
        <v>46153</v>
      </c>
      <c r="B2042" s="2" t="s">
        <v>3418</v>
      </c>
      <c r="C2042" s="2" t="s">
        <v>3419</v>
      </c>
      <c r="D2042" s="2" t="s">
        <v>2402</v>
      </c>
      <c r="E2042" s="3" t="s">
        <v>1314</v>
      </c>
      <c r="F2042" s="4">
        <v>2766</v>
      </c>
      <c r="G2042" s="4" t="s">
        <v>211</v>
      </c>
      <c r="H2042" s="22" t="s">
        <v>62</v>
      </c>
      <c r="I2042" s="22">
        <v>2766</v>
      </c>
      <c r="J2042" s="22"/>
      <c r="K2042" s="22">
        <f t="shared" si="23"/>
        <v>2766</v>
      </c>
      <c r="L2042" s="17">
        <v>2766</v>
      </c>
      <c r="M2042" s="23" t="s">
        <v>41</v>
      </c>
      <c r="N2042" s="1" t="s">
        <v>3420</v>
      </c>
      <c r="O2042" s="24" t="s">
        <v>3408</v>
      </c>
      <c r="P2042" s="7" t="s">
        <v>81</v>
      </c>
      <c r="R2042" s="7" t="s">
        <v>3409</v>
      </c>
      <c r="S2042" s="3" t="s">
        <v>83</v>
      </c>
      <c r="T2042" s="3" t="s">
        <v>3410</v>
      </c>
      <c r="W2042" s="9" t="s">
        <v>3411</v>
      </c>
    </row>
    <row r="2043" spans="1:23" x14ac:dyDescent="0.25">
      <c r="A2043" s="10">
        <v>46153</v>
      </c>
      <c r="B2043" s="2" t="s">
        <v>3418</v>
      </c>
      <c r="C2043" s="2" t="s">
        <v>3419</v>
      </c>
      <c r="D2043" s="2" t="s">
        <v>2402</v>
      </c>
      <c r="E2043" s="3" t="s">
        <v>1314</v>
      </c>
      <c r="G2043" s="4" t="s">
        <v>48</v>
      </c>
      <c r="H2043" s="22" t="s">
        <v>49</v>
      </c>
      <c r="I2043" s="22"/>
      <c r="J2043" s="22">
        <f>I2042</f>
        <v>2766</v>
      </c>
      <c r="K2043" s="22">
        <f t="shared" si="23"/>
        <v>2766</v>
      </c>
      <c r="L2043" s="17"/>
    </row>
    <row r="2044" spans="1:23" ht="24" x14ac:dyDescent="0.25">
      <c r="A2044" s="10">
        <v>46153</v>
      </c>
      <c r="B2044" s="2" t="s">
        <v>3421</v>
      </c>
      <c r="C2044" s="2" t="s">
        <v>3422</v>
      </c>
      <c r="D2044" s="2" t="s">
        <v>2402</v>
      </c>
      <c r="E2044" s="3" t="s">
        <v>1314</v>
      </c>
      <c r="F2044" s="4">
        <v>4341.5</v>
      </c>
      <c r="G2044" s="4" t="s">
        <v>211</v>
      </c>
      <c r="H2044" s="22" t="s">
        <v>62</v>
      </c>
      <c r="I2044" s="22">
        <v>4341.5</v>
      </c>
      <c r="J2044" s="22"/>
      <c r="K2044" s="22">
        <f t="shared" si="23"/>
        <v>4341.5</v>
      </c>
      <c r="L2044" s="17">
        <v>4341.5</v>
      </c>
      <c r="M2044" s="23" t="s">
        <v>41</v>
      </c>
      <c r="N2044" s="44" t="s">
        <v>3423</v>
      </c>
      <c r="O2044" s="24" t="s">
        <v>3408</v>
      </c>
      <c r="P2044" s="7" t="s">
        <v>81</v>
      </c>
      <c r="R2044" s="7" t="s">
        <v>3409</v>
      </c>
      <c r="S2044" s="3" t="s">
        <v>83</v>
      </c>
      <c r="T2044" s="3" t="s">
        <v>3410</v>
      </c>
      <c r="W2044" s="9" t="s">
        <v>3411</v>
      </c>
    </row>
    <row r="2045" spans="1:23" x14ac:dyDescent="0.25">
      <c r="A2045" s="10">
        <v>46153</v>
      </c>
      <c r="B2045" s="2" t="s">
        <v>3421</v>
      </c>
      <c r="C2045" s="2" t="s">
        <v>3422</v>
      </c>
      <c r="D2045" s="2" t="s">
        <v>2402</v>
      </c>
      <c r="E2045" s="3" t="s">
        <v>1314</v>
      </c>
      <c r="G2045" s="4" t="s">
        <v>48</v>
      </c>
      <c r="H2045" s="22" t="s">
        <v>49</v>
      </c>
      <c r="I2045" s="22"/>
      <c r="J2045" s="22">
        <f>I2044</f>
        <v>4341.5</v>
      </c>
      <c r="K2045" s="22">
        <f t="shared" si="23"/>
        <v>4341.5</v>
      </c>
      <c r="L2045" s="17"/>
    </row>
    <row r="2046" spans="1:23" ht="24" x14ac:dyDescent="0.25">
      <c r="A2046" s="10">
        <v>46153</v>
      </c>
      <c r="B2046" s="2" t="s">
        <v>3424</v>
      </c>
      <c r="C2046" s="2" t="s">
        <v>95</v>
      </c>
      <c r="D2046" s="2" t="s">
        <v>3425</v>
      </c>
      <c r="E2046" s="3" t="s">
        <v>3426</v>
      </c>
      <c r="F2046" s="4">
        <v>120000</v>
      </c>
      <c r="G2046" s="4" t="s">
        <v>28</v>
      </c>
      <c r="H2046" s="22" t="s">
        <v>379</v>
      </c>
      <c r="I2046" s="22">
        <v>120000</v>
      </c>
      <c r="J2046" s="22"/>
      <c r="K2046" s="22">
        <f t="shared" si="23"/>
        <v>120000</v>
      </c>
      <c r="L2046" s="17"/>
      <c r="M2046" s="6" t="s">
        <v>581</v>
      </c>
      <c r="N2046" s="1" t="s">
        <v>3427</v>
      </c>
    </row>
    <row r="2047" spans="1:23" x14ac:dyDescent="0.25">
      <c r="A2047" s="10">
        <v>46153</v>
      </c>
      <c r="B2047" s="2" t="s">
        <v>3424</v>
      </c>
      <c r="C2047" s="2" t="s">
        <v>95</v>
      </c>
      <c r="D2047" s="2" t="s">
        <v>3425</v>
      </c>
      <c r="E2047" s="3" t="s">
        <v>3426</v>
      </c>
      <c r="G2047" s="4" t="s">
        <v>48</v>
      </c>
      <c r="H2047" s="22" t="s">
        <v>49</v>
      </c>
      <c r="I2047" s="22"/>
      <c r="J2047" s="22">
        <f>I2046</f>
        <v>120000</v>
      </c>
      <c r="K2047" s="22">
        <f t="shared" si="23"/>
        <v>120000</v>
      </c>
      <c r="L2047" s="17"/>
    </row>
    <row r="2048" spans="1:23" ht="24" x14ac:dyDescent="0.25">
      <c r="A2048" s="10">
        <v>46153</v>
      </c>
      <c r="B2048" s="2" t="s">
        <v>3428</v>
      </c>
      <c r="C2048" s="2" t="s">
        <v>95</v>
      </c>
      <c r="D2048" s="2" t="s">
        <v>3429</v>
      </c>
      <c r="E2048" s="3" t="s">
        <v>222</v>
      </c>
      <c r="F2048" s="4">
        <v>5000</v>
      </c>
      <c r="G2048" s="4" t="s">
        <v>28</v>
      </c>
      <c r="H2048" s="22" t="s">
        <v>78</v>
      </c>
      <c r="I2048" s="22">
        <v>5000</v>
      </c>
      <c r="J2048" s="22"/>
      <c r="K2048" s="22">
        <f t="shared" si="23"/>
        <v>5000</v>
      </c>
      <c r="L2048" s="17"/>
      <c r="M2048" s="6" t="s">
        <v>581</v>
      </c>
      <c r="N2048" s="1" t="s">
        <v>3430</v>
      </c>
    </row>
    <row r="2049" spans="1:20" x14ac:dyDescent="0.25">
      <c r="A2049" s="10">
        <v>46153</v>
      </c>
      <c r="B2049" s="2" t="s">
        <v>3428</v>
      </c>
      <c r="C2049" s="2" t="s">
        <v>95</v>
      </c>
      <c r="D2049" s="2" t="s">
        <v>3429</v>
      </c>
      <c r="E2049" s="3" t="s">
        <v>222</v>
      </c>
      <c r="G2049" s="4" t="s">
        <v>48</v>
      </c>
      <c r="H2049" s="22" t="s">
        <v>49</v>
      </c>
      <c r="I2049" s="22"/>
      <c r="J2049" s="22">
        <f>I2048</f>
        <v>5000</v>
      </c>
      <c r="K2049" s="22">
        <f t="shared" si="23"/>
        <v>5000</v>
      </c>
      <c r="L2049" s="17"/>
    </row>
    <row r="2050" spans="1:20" ht="36" x14ac:dyDescent="0.25">
      <c r="A2050" s="10">
        <v>46153</v>
      </c>
      <c r="B2050" s="2" t="s">
        <v>3431</v>
      </c>
      <c r="C2050" s="2" t="s">
        <v>147</v>
      </c>
      <c r="D2050" s="2" t="s">
        <v>3432</v>
      </c>
      <c r="E2050" s="3" t="s">
        <v>233</v>
      </c>
      <c r="F2050" s="4">
        <f>10000+2500+3000+1000+5000</f>
        <v>21500</v>
      </c>
      <c r="G2050" s="4" t="s">
        <v>1030</v>
      </c>
      <c r="H2050" s="22" t="s">
        <v>78</v>
      </c>
      <c r="I2050" s="22">
        <v>16500</v>
      </c>
      <c r="J2050" s="22"/>
      <c r="K2050" s="22">
        <f t="shared" si="23"/>
        <v>16500</v>
      </c>
      <c r="L2050" s="17">
        <v>21500</v>
      </c>
      <c r="M2050" s="23" t="s">
        <v>41</v>
      </c>
      <c r="N2050" s="1" t="s">
        <v>3433</v>
      </c>
      <c r="O2050" s="7" t="s">
        <v>2884</v>
      </c>
      <c r="P2050" s="7" t="s">
        <v>81</v>
      </c>
      <c r="R2050" s="7" t="s">
        <v>3434</v>
      </c>
      <c r="S2050" s="3" t="s">
        <v>83</v>
      </c>
      <c r="T2050" s="3" t="s">
        <v>3435</v>
      </c>
    </row>
    <row r="2051" spans="1:20" x14ac:dyDescent="0.25">
      <c r="A2051" s="10">
        <v>46153</v>
      </c>
      <c r="B2051" s="2" t="s">
        <v>3431</v>
      </c>
      <c r="C2051" s="2" t="s">
        <v>147</v>
      </c>
      <c r="D2051" s="2" t="s">
        <v>3432</v>
      </c>
      <c r="E2051" s="3" t="s">
        <v>233</v>
      </c>
      <c r="G2051" s="4" t="s">
        <v>48</v>
      </c>
      <c r="H2051" s="22" t="s">
        <v>49</v>
      </c>
      <c r="I2051" s="22"/>
      <c r="J2051" s="22">
        <f>I2050</f>
        <v>16500</v>
      </c>
      <c r="K2051" s="22">
        <f t="shared" si="23"/>
        <v>16500</v>
      </c>
      <c r="L2051" s="17"/>
    </row>
    <row r="2052" spans="1:20" ht="24" x14ac:dyDescent="0.25">
      <c r="A2052" s="10">
        <v>46153</v>
      </c>
      <c r="B2052" s="2" t="s">
        <v>3436</v>
      </c>
      <c r="C2052" s="2" t="s">
        <v>141</v>
      </c>
      <c r="E2052" s="3" t="s">
        <v>27</v>
      </c>
      <c r="F2052" s="4">
        <v>76402</v>
      </c>
      <c r="G2052" s="4" t="s">
        <v>48</v>
      </c>
      <c r="H2052" s="22" t="s">
        <v>81</v>
      </c>
      <c r="I2052" s="22">
        <v>76402</v>
      </c>
      <c r="J2052" s="22"/>
      <c r="K2052" s="22">
        <f t="shared" si="23"/>
        <v>76402</v>
      </c>
      <c r="L2052" s="17">
        <v>76402</v>
      </c>
      <c r="M2052" s="23" t="s">
        <v>41</v>
      </c>
      <c r="N2052" s="1" t="s">
        <v>3437</v>
      </c>
      <c r="O2052" s="24" t="s">
        <v>3438</v>
      </c>
      <c r="P2052" s="7" t="s">
        <v>32</v>
      </c>
      <c r="Q2052" s="25" t="s">
        <v>3439</v>
      </c>
      <c r="R2052" s="7" t="s">
        <v>3440</v>
      </c>
      <c r="S2052" s="3" t="s">
        <v>3388</v>
      </c>
      <c r="T2052" s="3" t="s">
        <v>3389</v>
      </c>
    </row>
    <row r="2053" spans="1:20" x14ac:dyDescent="0.25">
      <c r="A2053" s="10">
        <v>46153</v>
      </c>
      <c r="B2053" s="2" t="s">
        <v>3436</v>
      </c>
      <c r="C2053" s="2" t="s">
        <v>141</v>
      </c>
      <c r="E2053" s="3" t="s">
        <v>27</v>
      </c>
      <c r="G2053" s="4" t="s">
        <v>98</v>
      </c>
      <c r="H2053" s="22" t="s">
        <v>3441</v>
      </c>
      <c r="I2053" s="22"/>
      <c r="J2053" s="22">
        <f>I2052</f>
        <v>76402</v>
      </c>
      <c r="K2053" s="22">
        <f t="shared" si="23"/>
        <v>76402</v>
      </c>
      <c r="L2053" s="17"/>
      <c r="M2053" s="23"/>
      <c r="O2053" s="24"/>
      <c r="Q2053" s="25"/>
    </row>
    <row r="2054" spans="1:20" ht="24" x14ac:dyDescent="0.25">
      <c r="A2054" s="10">
        <v>46153</v>
      </c>
      <c r="B2054" s="2" t="s">
        <v>3442</v>
      </c>
      <c r="C2054" s="2" t="s">
        <v>141</v>
      </c>
      <c r="E2054" s="3" t="s">
        <v>27</v>
      </c>
      <c r="F2054" s="4">
        <v>99557</v>
      </c>
      <c r="G2054" s="4" t="s">
        <v>48</v>
      </c>
      <c r="H2054" s="22" t="s">
        <v>81</v>
      </c>
      <c r="I2054" s="22">
        <v>99557</v>
      </c>
      <c r="J2054" s="22"/>
      <c r="K2054" s="22">
        <f t="shared" si="23"/>
        <v>99557</v>
      </c>
      <c r="L2054" s="17">
        <v>99557</v>
      </c>
      <c r="M2054" s="23" t="s">
        <v>41</v>
      </c>
      <c r="N2054" s="1" t="s">
        <v>3443</v>
      </c>
      <c r="O2054" s="24" t="s">
        <v>3438</v>
      </c>
      <c r="P2054" s="7" t="s">
        <v>32</v>
      </c>
      <c r="Q2054" s="25" t="s">
        <v>3444</v>
      </c>
      <c r="R2054" s="7" t="s">
        <v>3440</v>
      </c>
      <c r="S2054" s="3" t="s">
        <v>3388</v>
      </c>
      <c r="T2054" s="3" t="s">
        <v>3389</v>
      </c>
    </row>
    <row r="2055" spans="1:20" x14ac:dyDescent="0.25">
      <c r="A2055" s="10">
        <v>46153</v>
      </c>
      <c r="B2055" s="2" t="s">
        <v>3442</v>
      </c>
      <c r="C2055" s="2" t="s">
        <v>141</v>
      </c>
      <c r="E2055" s="3" t="s">
        <v>27</v>
      </c>
      <c r="G2055" s="4" t="s">
        <v>98</v>
      </c>
      <c r="H2055" s="22" t="s">
        <v>3441</v>
      </c>
      <c r="I2055" s="22"/>
      <c r="J2055" s="22">
        <f>I2054</f>
        <v>99557</v>
      </c>
      <c r="K2055" s="22">
        <f t="shared" si="23"/>
        <v>99557</v>
      </c>
      <c r="L2055" s="17"/>
    </row>
    <row r="2056" spans="1:20" ht="36" x14ac:dyDescent="0.25">
      <c r="A2056" s="10">
        <v>46154</v>
      </c>
      <c r="B2056" s="2" t="s">
        <v>3445</v>
      </c>
      <c r="C2056" s="2" t="s">
        <v>95</v>
      </c>
      <c r="D2056" s="2" t="s">
        <v>3446</v>
      </c>
      <c r="E2056" s="3" t="s">
        <v>2447</v>
      </c>
      <c r="F2056" s="4">
        <v>9900</v>
      </c>
      <c r="G2056" s="4" t="s">
        <v>48</v>
      </c>
      <c r="H2056" s="22" t="s">
        <v>3447</v>
      </c>
      <c r="I2056" s="22">
        <v>9900</v>
      </c>
      <c r="J2056" s="22"/>
      <c r="K2056" s="22">
        <f t="shared" si="23"/>
        <v>9900</v>
      </c>
      <c r="L2056" s="17"/>
      <c r="M2056" s="6" t="s">
        <v>581</v>
      </c>
      <c r="N2056" s="1" t="s">
        <v>3448</v>
      </c>
    </row>
    <row r="2057" spans="1:20" x14ac:dyDescent="0.25">
      <c r="A2057" s="10">
        <v>46154</v>
      </c>
      <c r="B2057" s="2" t="s">
        <v>3445</v>
      </c>
      <c r="C2057" s="2" t="s">
        <v>95</v>
      </c>
      <c r="D2057" s="2" t="s">
        <v>3446</v>
      </c>
      <c r="E2057" s="3" t="s">
        <v>2447</v>
      </c>
      <c r="G2057" s="4" t="s">
        <v>48</v>
      </c>
      <c r="H2057" s="22" t="s">
        <v>49</v>
      </c>
      <c r="I2057" s="22"/>
      <c r="J2057" s="22">
        <f>I2056</f>
        <v>9900</v>
      </c>
      <c r="K2057" s="22">
        <f t="shared" ref="K2057:K2219" si="24">ABS(I2057-J2057)</f>
        <v>9900</v>
      </c>
      <c r="L2057" s="17"/>
    </row>
    <row r="2058" spans="1:20" x14ac:dyDescent="0.25">
      <c r="A2058" s="10">
        <v>46154</v>
      </c>
      <c r="B2058" s="2" t="s">
        <v>3449</v>
      </c>
      <c r="C2058" s="2" t="s">
        <v>506</v>
      </c>
      <c r="D2058" s="2" t="s">
        <v>3450</v>
      </c>
      <c r="E2058" s="3" t="s">
        <v>398</v>
      </c>
      <c r="F2058" s="4">
        <v>50000</v>
      </c>
      <c r="G2058" s="4" t="s">
        <v>262</v>
      </c>
      <c r="H2058" s="22" t="s">
        <v>168</v>
      </c>
      <c r="I2058" s="22">
        <v>50000</v>
      </c>
      <c r="J2058" s="22"/>
      <c r="K2058" s="22">
        <f t="shared" si="24"/>
        <v>50000</v>
      </c>
      <c r="L2058" s="17"/>
      <c r="M2058" s="6" t="s">
        <v>581</v>
      </c>
      <c r="N2058" s="1" t="s">
        <v>2857</v>
      </c>
    </row>
    <row r="2059" spans="1:20" x14ac:dyDescent="0.25">
      <c r="A2059" s="10">
        <v>46154</v>
      </c>
      <c r="B2059" s="2" t="s">
        <v>3449</v>
      </c>
      <c r="C2059" s="2" t="s">
        <v>506</v>
      </c>
      <c r="D2059" s="2" t="s">
        <v>3450</v>
      </c>
      <c r="E2059" s="3" t="s">
        <v>398</v>
      </c>
      <c r="G2059" s="4" t="s">
        <v>48</v>
      </c>
      <c r="H2059" s="22" t="s">
        <v>49</v>
      </c>
      <c r="I2059" s="22"/>
      <c r="J2059" s="22">
        <f>I2058</f>
        <v>50000</v>
      </c>
      <c r="K2059" s="22">
        <f t="shared" si="24"/>
        <v>50000</v>
      </c>
      <c r="L2059" s="17"/>
    </row>
    <row r="2060" spans="1:20" ht="24" x14ac:dyDescent="0.25">
      <c r="A2060" s="10">
        <v>46154</v>
      </c>
      <c r="B2060" s="2" t="s">
        <v>3451</v>
      </c>
      <c r="C2060" s="2">
        <v>927404116</v>
      </c>
      <c r="D2060" s="2" t="s">
        <v>3452</v>
      </c>
      <c r="E2060" s="3" t="s">
        <v>1319</v>
      </c>
      <c r="F2060" s="4">
        <f>9596+7</f>
        <v>9603</v>
      </c>
      <c r="G2060" s="4" t="s">
        <v>48</v>
      </c>
      <c r="H2060" s="22" t="s">
        <v>1320</v>
      </c>
      <c r="I2060" s="22">
        <v>9596</v>
      </c>
      <c r="J2060" s="22"/>
      <c r="K2060" s="22">
        <f t="shared" si="24"/>
        <v>9596</v>
      </c>
      <c r="L2060" s="17"/>
      <c r="M2060" s="26" t="s">
        <v>581</v>
      </c>
      <c r="N2060" s="1" t="s">
        <v>3453</v>
      </c>
    </row>
    <row r="2061" spans="1:20" x14ac:dyDescent="0.25">
      <c r="A2061" s="10">
        <v>46154</v>
      </c>
      <c r="B2061" s="2" t="s">
        <v>3451</v>
      </c>
      <c r="C2061" s="2">
        <v>927404116</v>
      </c>
      <c r="D2061" s="2" t="s">
        <v>3452</v>
      </c>
      <c r="E2061" s="3" t="s">
        <v>1319</v>
      </c>
      <c r="G2061" s="4" t="s">
        <v>48</v>
      </c>
      <c r="H2061" s="22" t="s">
        <v>47</v>
      </c>
      <c r="I2061" s="22">
        <v>7</v>
      </c>
      <c r="J2061" s="22"/>
      <c r="K2061" s="22">
        <f t="shared" si="24"/>
        <v>7</v>
      </c>
      <c r="L2061" s="17"/>
      <c r="M2061" s="26"/>
    </row>
    <row r="2062" spans="1:20" x14ac:dyDescent="0.25">
      <c r="A2062" s="10">
        <v>46154</v>
      </c>
      <c r="B2062" s="2" t="s">
        <v>3451</v>
      </c>
      <c r="C2062" s="2">
        <v>927404116</v>
      </c>
      <c r="D2062" s="2" t="s">
        <v>3452</v>
      </c>
      <c r="E2062" s="3" t="s">
        <v>1319</v>
      </c>
      <c r="G2062" s="4" t="s">
        <v>48</v>
      </c>
      <c r="H2062" s="22" t="s">
        <v>49</v>
      </c>
      <c r="I2062" s="22"/>
      <c r="J2062" s="22">
        <f>I2060+I2061</f>
        <v>9603</v>
      </c>
      <c r="K2062" s="22">
        <f t="shared" si="24"/>
        <v>9603</v>
      </c>
      <c r="L2062" s="17"/>
      <c r="M2062" s="26"/>
    </row>
    <row r="2063" spans="1:20" ht="24" x14ac:dyDescent="0.25">
      <c r="A2063" s="10">
        <v>46154</v>
      </c>
      <c r="B2063" s="2" t="s">
        <v>3454</v>
      </c>
      <c r="C2063" s="2">
        <v>929950485</v>
      </c>
      <c r="D2063" s="2" t="s">
        <v>3452</v>
      </c>
      <c r="E2063" s="3" t="s">
        <v>1319</v>
      </c>
      <c r="F2063" s="4">
        <f>2549+20+7</f>
        <v>2576</v>
      </c>
      <c r="G2063" s="3" t="s">
        <v>110</v>
      </c>
      <c r="H2063" s="22" t="s">
        <v>1320</v>
      </c>
      <c r="I2063" s="22">
        <v>2549</v>
      </c>
      <c r="J2063" s="22"/>
      <c r="K2063" s="22">
        <f t="shared" si="24"/>
        <v>2549</v>
      </c>
      <c r="L2063" s="17"/>
      <c r="M2063" s="23" t="s">
        <v>41</v>
      </c>
      <c r="N2063" s="1" t="s">
        <v>3455</v>
      </c>
      <c r="O2063" s="7" t="s">
        <v>1322</v>
      </c>
      <c r="P2063" s="7" t="s">
        <v>1323</v>
      </c>
      <c r="S2063" s="3" t="s">
        <v>83</v>
      </c>
    </row>
    <row r="2064" spans="1:20" x14ac:dyDescent="0.25">
      <c r="A2064" s="10">
        <v>46154</v>
      </c>
      <c r="B2064" s="2" t="s">
        <v>3454</v>
      </c>
      <c r="C2064" s="2">
        <v>929950485</v>
      </c>
      <c r="D2064" s="2" t="s">
        <v>3452</v>
      </c>
      <c r="E2064" s="3" t="s">
        <v>1319</v>
      </c>
      <c r="G2064" s="3" t="s">
        <v>110</v>
      </c>
      <c r="H2064" s="22" t="s">
        <v>47</v>
      </c>
      <c r="I2064" s="22">
        <v>27</v>
      </c>
      <c r="J2064" s="22"/>
      <c r="K2064" s="22">
        <f t="shared" si="24"/>
        <v>27</v>
      </c>
      <c r="L2064" s="17"/>
      <c r="M2064" s="26"/>
    </row>
    <row r="2065" spans="1:14" x14ac:dyDescent="0.25">
      <c r="A2065" s="10">
        <v>46154</v>
      </c>
      <c r="B2065" s="2" t="s">
        <v>3454</v>
      </c>
      <c r="C2065" s="2">
        <v>929950485</v>
      </c>
      <c r="D2065" s="2" t="s">
        <v>3452</v>
      </c>
      <c r="E2065" s="3" t="s">
        <v>1319</v>
      </c>
      <c r="G2065" s="4" t="s">
        <v>48</v>
      </c>
      <c r="H2065" s="22" t="s">
        <v>49</v>
      </c>
      <c r="I2065" s="22"/>
      <c r="J2065" s="22">
        <f>I2063+I2064</f>
        <v>2576</v>
      </c>
      <c r="K2065" s="22">
        <f t="shared" si="24"/>
        <v>2576</v>
      </c>
      <c r="L2065" s="17"/>
      <c r="M2065" s="26"/>
    </row>
    <row r="2066" spans="1:14" ht="24" x14ac:dyDescent="0.25">
      <c r="A2066" s="10">
        <v>46154</v>
      </c>
      <c r="B2066" s="2" t="s">
        <v>3456</v>
      </c>
      <c r="C2066" s="2" t="s">
        <v>1331</v>
      </c>
      <c r="D2066" s="2" t="s">
        <v>3457</v>
      </c>
      <c r="E2066" s="3" t="s">
        <v>1333</v>
      </c>
      <c r="F2066" s="4">
        <v>5360.39</v>
      </c>
      <c r="G2066" s="4" t="s">
        <v>98</v>
      </c>
      <c r="H2066" s="22" t="s">
        <v>1320</v>
      </c>
      <c r="I2066" s="22">
        <f>5360.39/2</f>
        <v>2680.1950000000002</v>
      </c>
      <c r="J2066" s="22"/>
      <c r="K2066" s="22">
        <f t="shared" si="24"/>
        <v>2680.1950000000002</v>
      </c>
      <c r="L2066" s="17"/>
      <c r="M2066" s="6" t="s">
        <v>581</v>
      </c>
      <c r="N2066" s="1" t="s">
        <v>3458</v>
      </c>
    </row>
    <row r="2067" spans="1:14" x14ac:dyDescent="0.25">
      <c r="A2067" s="10">
        <v>46154</v>
      </c>
      <c r="B2067" s="2" t="s">
        <v>3456</v>
      </c>
      <c r="C2067" s="2" t="s">
        <v>1331</v>
      </c>
      <c r="D2067" s="2" t="s">
        <v>3457</v>
      </c>
      <c r="E2067" s="3" t="s">
        <v>1333</v>
      </c>
      <c r="G2067" s="4" t="s">
        <v>262</v>
      </c>
      <c r="H2067" s="22" t="s">
        <v>1320</v>
      </c>
      <c r="I2067" s="22">
        <f>5360.39/2</f>
        <v>2680.1950000000002</v>
      </c>
      <c r="J2067" s="22"/>
      <c r="K2067" s="22">
        <f t="shared" si="24"/>
        <v>2680.1950000000002</v>
      </c>
      <c r="L2067" s="17"/>
    </row>
    <row r="2068" spans="1:14" x14ac:dyDescent="0.25">
      <c r="A2068" s="10">
        <v>46154</v>
      </c>
      <c r="B2068" s="2" t="s">
        <v>3456</v>
      </c>
      <c r="C2068" s="2" t="s">
        <v>1331</v>
      </c>
      <c r="D2068" s="2" t="s">
        <v>3457</v>
      </c>
      <c r="E2068" s="3" t="s">
        <v>1333</v>
      </c>
      <c r="G2068" s="4" t="s">
        <v>48</v>
      </c>
      <c r="H2068" s="22" t="s">
        <v>49</v>
      </c>
      <c r="I2068" s="22"/>
      <c r="J2068" s="22">
        <f>I2066+I2067</f>
        <v>5360.39</v>
      </c>
      <c r="K2068" s="22"/>
      <c r="L2068" s="17"/>
    </row>
    <row r="2069" spans="1:14" x14ac:dyDescent="0.25">
      <c r="A2069" s="10">
        <v>46154</v>
      </c>
      <c r="B2069" s="2" t="s">
        <v>3459</v>
      </c>
      <c r="C2069" s="2" t="s">
        <v>259</v>
      </c>
      <c r="D2069" s="2" t="s">
        <v>3460</v>
      </c>
      <c r="E2069" s="3" t="s">
        <v>2563</v>
      </c>
      <c r="F2069" s="4">
        <v>60300</v>
      </c>
      <c r="G2069" s="4" t="s">
        <v>128</v>
      </c>
      <c r="H2069" s="22" t="s">
        <v>267</v>
      </c>
      <c r="I2069" s="22">
        <v>60300</v>
      </c>
      <c r="J2069" s="22"/>
      <c r="K2069" s="22">
        <f t="shared" si="24"/>
        <v>60300</v>
      </c>
      <c r="L2069" s="17"/>
      <c r="M2069" s="6" t="s">
        <v>581</v>
      </c>
      <c r="N2069" s="1" t="s">
        <v>3461</v>
      </c>
    </row>
    <row r="2070" spans="1:14" x14ac:dyDescent="0.25">
      <c r="A2070" s="10">
        <v>46154</v>
      </c>
      <c r="B2070" s="2" t="s">
        <v>3459</v>
      </c>
      <c r="C2070" s="2" t="s">
        <v>259</v>
      </c>
      <c r="D2070" s="2" t="s">
        <v>3460</v>
      </c>
      <c r="E2070" s="3" t="s">
        <v>2563</v>
      </c>
      <c r="G2070" s="4" t="s">
        <v>48</v>
      </c>
      <c r="H2070" s="22" t="s">
        <v>49</v>
      </c>
      <c r="I2070" s="22"/>
      <c r="J2070" s="22">
        <f>I2069</f>
        <v>60300</v>
      </c>
      <c r="K2070" s="22">
        <f t="shared" si="24"/>
        <v>60300</v>
      </c>
      <c r="L2070" s="17"/>
    </row>
    <row r="2071" spans="1:14" x14ac:dyDescent="0.25">
      <c r="A2071" s="10">
        <v>46154</v>
      </c>
      <c r="B2071" s="2" t="s">
        <v>3462</v>
      </c>
      <c r="C2071" s="2" t="s">
        <v>259</v>
      </c>
      <c r="D2071" s="2" t="s">
        <v>3460</v>
      </c>
      <c r="E2071" s="3" t="s">
        <v>2563</v>
      </c>
      <c r="F2071" s="4">
        <f>33200+8872.5+6000+5250+47777.5+28300+13812.5+8750</f>
        <v>151962.5</v>
      </c>
      <c r="G2071" s="4" t="s">
        <v>262</v>
      </c>
      <c r="H2071" s="22" t="s">
        <v>263</v>
      </c>
      <c r="I2071" s="22">
        <v>33200</v>
      </c>
      <c r="J2071" s="22"/>
      <c r="K2071" s="22">
        <f t="shared" si="24"/>
        <v>33200</v>
      </c>
      <c r="L2071" s="17"/>
      <c r="M2071" s="6" t="s">
        <v>581</v>
      </c>
      <c r="N2071" s="1" t="s">
        <v>3463</v>
      </c>
    </row>
    <row r="2072" spans="1:14" x14ac:dyDescent="0.25">
      <c r="A2072" s="10">
        <v>46154</v>
      </c>
      <c r="B2072" s="2" t="s">
        <v>3462</v>
      </c>
      <c r="C2072" s="2" t="s">
        <v>259</v>
      </c>
      <c r="D2072" s="2" t="s">
        <v>3460</v>
      </c>
      <c r="E2072" s="3" t="s">
        <v>2563</v>
      </c>
      <c r="G2072" s="4" t="s">
        <v>265</v>
      </c>
      <c r="H2072" s="22" t="s">
        <v>266</v>
      </c>
      <c r="I2072" s="22">
        <v>8872.5</v>
      </c>
      <c r="J2072" s="22"/>
      <c r="K2072" s="22">
        <f t="shared" si="24"/>
        <v>8872.5</v>
      </c>
      <c r="L2072" s="17"/>
    </row>
    <row r="2073" spans="1:14" x14ac:dyDescent="0.25">
      <c r="A2073" s="10">
        <v>46154</v>
      </c>
      <c r="B2073" s="2" t="s">
        <v>3462</v>
      </c>
      <c r="C2073" s="2" t="s">
        <v>259</v>
      </c>
      <c r="D2073" s="2" t="s">
        <v>3460</v>
      </c>
      <c r="E2073" s="3" t="s">
        <v>2563</v>
      </c>
      <c r="G2073" s="4" t="s">
        <v>28</v>
      </c>
      <c r="H2073" s="22" t="s">
        <v>3095</v>
      </c>
      <c r="I2073" s="22">
        <v>6000</v>
      </c>
      <c r="J2073" s="22"/>
      <c r="K2073" s="22">
        <f t="shared" si="24"/>
        <v>6000</v>
      </c>
      <c r="L2073" s="17"/>
    </row>
    <row r="2074" spans="1:14" x14ac:dyDescent="0.25">
      <c r="A2074" s="10">
        <v>46154</v>
      </c>
      <c r="B2074" s="2" t="s">
        <v>3462</v>
      </c>
      <c r="C2074" s="2" t="s">
        <v>259</v>
      </c>
      <c r="D2074" s="2" t="s">
        <v>3460</v>
      </c>
      <c r="E2074" s="3" t="s">
        <v>2563</v>
      </c>
      <c r="G2074" s="4" t="s">
        <v>268</v>
      </c>
      <c r="H2074" s="22" t="s">
        <v>267</v>
      </c>
      <c r="I2074" s="22">
        <v>5250</v>
      </c>
      <c r="J2074" s="22"/>
      <c r="K2074" s="22">
        <f t="shared" si="24"/>
        <v>5250</v>
      </c>
      <c r="L2074" s="17"/>
    </row>
    <row r="2075" spans="1:14" x14ac:dyDescent="0.25">
      <c r="A2075" s="10">
        <v>46154</v>
      </c>
      <c r="B2075" s="2" t="s">
        <v>3462</v>
      </c>
      <c r="C2075" s="2" t="s">
        <v>259</v>
      </c>
      <c r="D2075" s="2" t="s">
        <v>3460</v>
      </c>
      <c r="E2075" s="3" t="s">
        <v>2563</v>
      </c>
      <c r="G2075" s="4" t="s">
        <v>77</v>
      </c>
      <c r="H2075" s="22" t="s">
        <v>269</v>
      </c>
      <c r="I2075" s="22">
        <v>47777.5</v>
      </c>
      <c r="J2075" s="22"/>
      <c r="K2075" s="22">
        <f t="shared" si="24"/>
        <v>47777.5</v>
      </c>
      <c r="L2075" s="17"/>
    </row>
    <row r="2076" spans="1:14" x14ac:dyDescent="0.25">
      <c r="A2076" s="10">
        <v>46154</v>
      </c>
      <c r="B2076" s="2" t="s">
        <v>3462</v>
      </c>
      <c r="C2076" s="2" t="s">
        <v>259</v>
      </c>
      <c r="D2076" s="2" t="s">
        <v>3460</v>
      </c>
      <c r="E2076" s="3" t="s">
        <v>2563</v>
      </c>
      <c r="G2076" s="4" t="s">
        <v>28</v>
      </c>
      <c r="H2076" s="22" t="s">
        <v>267</v>
      </c>
      <c r="I2076" s="22">
        <v>28300</v>
      </c>
      <c r="J2076" s="22"/>
      <c r="K2076" s="22">
        <f t="shared" si="24"/>
        <v>28300</v>
      </c>
      <c r="L2076" s="17"/>
    </row>
    <row r="2077" spans="1:14" x14ac:dyDescent="0.25">
      <c r="A2077" s="10">
        <v>46154</v>
      </c>
      <c r="B2077" s="2" t="s">
        <v>3462</v>
      </c>
      <c r="C2077" s="2" t="s">
        <v>259</v>
      </c>
      <c r="D2077" s="2" t="s">
        <v>3460</v>
      </c>
      <c r="E2077" s="3" t="s">
        <v>2563</v>
      </c>
      <c r="G2077" s="4" t="s">
        <v>28</v>
      </c>
      <c r="H2077" s="22" t="s">
        <v>270</v>
      </c>
      <c r="I2077" s="22">
        <v>6906.25</v>
      </c>
      <c r="J2077" s="22"/>
      <c r="K2077" s="22">
        <f t="shared" si="24"/>
        <v>6906.25</v>
      </c>
      <c r="L2077" s="17"/>
    </row>
    <row r="2078" spans="1:14" x14ac:dyDescent="0.25">
      <c r="A2078" s="10">
        <v>46154</v>
      </c>
      <c r="B2078" s="2" t="s">
        <v>3462</v>
      </c>
      <c r="C2078" s="2" t="s">
        <v>259</v>
      </c>
      <c r="D2078" s="2" t="s">
        <v>3460</v>
      </c>
      <c r="E2078" s="3" t="s">
        <v>2563</v>
      </c>
      <c r="G2078" s="4" t="s">
        <v>268</v>
      </c>
      <c r="H2078" s="22" t="s">
        <v>270</v>
      </c>
      <c r="I2078" s="22">
        <v>6906.25</v>
      </c>
      <c r="J2078" s="22"/>
      <c r="K2078" s="22">
        <f t="shared" si="24"/>
        <v>6906.25</v>
      </c>
      <c r="L2078" s="17"/>
    </row>
    <row r="2079" spans="1:14" x14ac:dyDescent="0.25">
      <c r="A2079" s="10">
        <v>46154</v>
      </c>
      <c r="B2079" s="2" t="s">
        <v>3462</v>
      </c>
      <c r="C2079" s="2" t="s">
        <v>259</v>
      </c>
      <c r="D2079" s="2" t="s">
        <v>3460</v>
      </c>
      <c r="E2079" s="3" t="s">
        <v>2563</v>
      </c>
      <c r="G2079" s="4" t="s">
        <v>28</v>
      </c>
      <c r="H2079" s="22" t="s">
        <v>271</v>
      </c>
      <c r="I2079" s="22">
        <v>8750</v>
      </c>
      <c r="J2079" s="22"/>
      <c r="K2079" s="22">
        <f t="shared" si="24"/>
        <v>8750</v>
      </c>
      <c r="L2079" s="17"/>
    </row>
    <row r="2080" spans="1:14" x14ac:dyDescent="0.25">
      <c r="A2080" s="10">
        <v>46154</v>
      </c>
      <c r="B2080" s="2" t="s">
        <v>3462</v>
      </c>
      <c r="C2080" s="2" t="s">
        <v>259</v>
      </c>
      <c r="D2080" s="2" t="s">
        <v>3460</v>
      </c>
      <c r="E2080" s="3" t="s">
        <v>2563</v>
      </c>
      <c r="G2080" s="4" t="s">
        <v>48</v>
      </c>
      <c r="H2080" s="22" t="s">
        <v>49</v>
      </c>
      <c r="I2080" s="22"/>
      <c r="J2080" s="22">
        <f>SUM(I2071:I2079)</f>
        <v>151962.5</v>
      </c>
      <c r="K2080" s="22">
        <f t="shared" si="24"/>
        <v>151962.5</v>
      </c>
      <c r="L2080" s="17"/>
    </row>
    <row r="2081" spans="1:14" x14ac:dyDescent="0.25">
      <c r="A2081" s="10">
        <v>46154</v>
      </c>
      <c r="B2081" s="2" t="s">
        <v>3464</v>
      </c>
      <c r="C2081" s="2" t="s">
        <v>2445</v>
      </c>
      <c r="D2081" s="43" t="s">
        <v>3465</v>
      </c>
      <c r="E2081" s="3" t="s">
        <v>484</v>
      </c>
      <c r="F2081" s="4">
        <v>5000</v>
      </c>
      <c r="G2081" s="4" t="s">
        <v>447</v>
      </c>
      <c r="H2081" s="22" t="s">
        <v>2167</v>
      </c>
      <c r="I2081" s="22">
        <v>5000</v>
      </c>
      <c r="J2081" s="22"/>
      <c r="K2081" s="22">
        <f t="shared" si="24"/>
        <v>5000</v>
      </c>
      <c r="L2081" s="17"/>
      <c r="M2081" s="6" t="s">
        <v>581</v>
      </c>
      <c r="N2081" s="1" t="s">
        <v>3466</v>
      </c>
    </row>
    <row r="2082" spans="1:14" x14ac:dyDescent="0.25">
      <c r="A2082" s="10">
        <v>46154</v>
      </c>
      <c r="B2082" s="2" t="s">
        <v>3464</v>
      </c>
      <c r="C2082" s="2" t="s">
        <v>2445</v>
      </c>
      <c r="D2082" s="43" t="s">
        <v>3465</v>
      </c>
      <c r="E2082" s="3" t="s">
        <v>484</v>
      </c>
      <c r="G2082" s="4" t="s">
        <v>48</v>
      </c>
      <c r="H2082" s="22" t="s">
        <v>49</v>
      </c>
      <c r="I2082" s="22"/>
      <c r="J2082" s="22">
        <f>I2081</f>
        <v>5000</v>
      </c>
      <c r="K2082" s="22">
        <f t="shared" si="24"/>
        <v>5000</v>
      </c>
      <c r="L2082" s="17"/>
    </row>
    <row r="2083" spans="1:14" ht="24" x14ac:dyDescent="0.25">
      <c r="A2083" s="10">
        <v>46154</v>
      </c>
      <c r="B2083" s="2" t="s">
        <v>3467</v>
      </c>
      <c r="C2083" s="2" t="s">
        <v>3468</v>
      </c>
      <c r="D2083" s="31" t="s">
        <v>2859</v>
      </c>
      <c r="E2083" s="3" t="s">
        <v>1131</v>
      </c>
      <c r="F2083" s="4">
        <v>18000</v>
      </c>
      <c r="G2083" s="4" t="s">
        <v>48</v>
      </c>
      <c r="H2083" s="22" t="s">
        <v>2048</v>
      </c>
      <c r="I2083" s="22">
        <v>18000</v>
      </c>
      <c r="J2083" s="22"/>
      <c r="K2083" s="22">
        <f t="shared" si="24"/>
        <v>18000</v>
      </c>
      <c r="L2083" s="17"/>
      <c r="M2083" s="6" t="s">
        <v>581</v>
      </c>
      <c r="N2083" s="1" t="s">
        <v>3469</v>
      </c>
    </row>
    <row r="2084" spans="1:14" x14ac:dyDescent="0.25">
      <c r="A2084" s="10">
        <v>46154</v>
      </c>
      <c r="B2084" s="2" t="s">
        <v>3467</v>
      </c>
      <c r="C2084" s="2" t="s">
        <v>3468</v>
      </c>
      <c r="D2084" s="31" t="s">
        <v>2859</v>
      </c>
      <c r="E2084" s="3" t="s">
        <v>1131</v>
      </c>
      <c r="G2084" s="4" t="s">
        <v>48</v>
      </c>
      <c r="H2084" s="22" t="s">
        <v>49</v>
      </c>
      <c r="I2084" s="22"/>
      <c r="J2084" s="22">
        <f>I2083</f>
        <v>18000</v>
      </c>
      <c r="K2084" s="22">
        <f t="shared" si="24"/>
        <v>18000</v>
      </c>
      <c r="L2084" s="17"/>
    </row>
    <row r="2085" spans="1:14" ht="24" x14ac:dyDescent="0.25">
      <c r="A2085" s="10">
        <v>46154</v>
      </c>
      <c r="B2085" s="2" t="s">
        <v>3470</v>
      </c>
      <c r="C2085" s="2" t="s">
        <v>2047</v>
      </c>
      <c r="D2085" s="31" t="s">
        <v>2859</v>
      </c>
      <c r="E2085" s="3" t="s">
        <v>1131</v>
      </c>
      <c r="F2085" s="4">
        <v>51497.4</v>
      </c>
      <c r="G2085" s="4" t="s">
        <v>48</v>
      </c>
      <c r="H2085" s="22" t="s">
        <v>2048</v>
      </c>
      <c r="I2085" s="22">
        <v>51497.4</v>
      </c>
      <c r="J2085" s="22"/>
      <c r="K2085" s="22">
        <f t="shared" si="24"/>
        <v>51497.4</v>
      </c>
      <c r="L2085" s="17"/>
      <c r="M2085" s="6" t="s">
        <v>581</v>
      </c>
      <c r="N2085" s="1" t="s">
        <v>3471</v>
      </c>
    </row>
    <row r="2086" spans="1:14" x14ac:dyDescent="0.25">
      <c r="A2086" s="10">
        <v>46154</v>
      </c>
      <c r="B2086" s="2" t="s">
        <v>3470</v>
      </c>
      <c r="C2086" s="2" t="s">
        <v>2047</v>
      </c>
      <c r="D2086" s="31" t="s">
        <v>2859</v>
      </c>
      <c r="E2086" s="3" t="s">
        <v>1131</v>
      </c>
      <c r="G2086" s="4" t="s">
        <v>48</v>
      </c>
      <c r="H2086" s="22" t="s">
        <v>49</v>
      </c>
      <c r="I2086" s="22"/>
      <c r="J2086" s="22">
        <f>I2085</f>
        <v>51497.4</v>
      </c>
      <c r="K2086" s="22">
        <f t="shared" si="24"/>
        <v>51497.4</v>
      </c>
      <c r="L2086" s="17"/>
    </row>
    <row r="2087" spans="1:14" ht="24" x14ac:dyDescent="0.25">
      <c r="A2087" s="10">
        <v>46154</v>
      </c>
      <c r="B2087" s="2" t="s">
        <v>3472</v>
      </c>
      <c r="C2087" s="2" t="s">
        <v>470</v>
      </c>
      <c r="D2087" s="2" t="s">
        <v>3473</v>
      </c>
      <c r="E2087" s="3" t="s">
        <v>610</v>
      </c>
      <c r="F2087" s="4">
        <f>27150</f>
        <v>27150</v>
      </c>
      <c r="G2087" s="4" t="s">
        <v>48</v>
      </c>
      <c r="H2087" s="22" t="s">
        <v>3474</v>
      </c>
      <c r="I2087" s="22">
        <v>1493.57</v>
      </c>
      <c r="J2087" s="22"/>
      <c r="K2087" s="22">
        <f t="shared" si="24"/>
        <v>1493.57</v>
      </c>
      <c r="L2087" s="17"/>
      <c r="M2087" s="6" t="s">
        <v>581</v>
      </c>
      <c r="N2087" s="1" t="s">
        <v>3475</v>
      </c>
    </row>
    <row r="2088" spans="1:14" x14ac:dyDescent="0.25">
      <c r="A2088" s="10">
        <v>46154</v>
      </c>
      <c r="B2088" s="2" t="s">
        <v>3472</v>
      </c>
      <c r="C2088" s="2" t="s">
        <v>470</v>
      </c>
      <c r="D2088" s="2" t="s">
        <v>3473</v>
      </c>
      <c r="E2088" s="3" t="s">
        <v>610</v>
      </c>
      <c r="G2088" s="4" t="s">
        <v>48</v>
      </c>
      <c r="H2088" s="22" t="s">
        <v>2107</v>
      </c>
      <c r="I2088" s="22">
        <v>604</v>
      </c>
      <c r="J2088" s="22"/>
      <c r="K2088" s="22">
        <f t="shared" si="24"/>
        <v>604</v>
      </c>
      <c r="L2088" s="17"/>
    </row>
    <row r="2089" spans="1:14" x14ac:dyDescent="0.25">
      <c r="A2089" s="10">
        <v>46154</v>
      </c>
      <c r="B2089" s="2" t="s">
        <v>3472</v>
      </c>
      <c r="C2089" s="2" t="s">
        <v>470</v>
      </c>
      <c r="D2089" s="2" t="s">
        <v>3473</v>
      </c>
      <c r="E2089" s="3" t="s">
        <v>610</v>
      </c>
      <c r="G2089" s="4" t="s">
        <v>48</v>
      </c>
      <c r="H2089" s="22" t="s">
        <v>238</v>
      </c>
      <c r="I2089" s="22">
        <v>6450.32</v>
      </c>
      <c r="J2089" s="22"/>
      <c r="K2089" s="22">
        <f t="shared" si="24"/>
        <v>6450.32</v>
      </c>
      <c r="L2089" s="17"/>
    </row>
    <row r="2090" spans="1:14" x14ac:dyDescent="0.25">
      <c r="A2090" s="10">
        <v>46154</v>
      </c>
      <c r="B2090" s="2" t="s">
        <v>3472</v>
      </c>
      <c r="C2090" s="2" t="s">
        <v>470</v>
      </c>
      <c r="D2090" s="2" t="s">
        <v>3473</v>
      </c>
      <c r="E2090" s="3" t="s">
        <v>610</v>
      </c>
      <c r="G2090" s="4" t="s">
        <v>48</v>
      </c>
      <c r="H2090" s="22" t="s">
        <v>1599</v>
      </c>
      <c r="I2090" s="22">
        <v>1146</v>
      </c>
      <c r="J2090" s="22"/>
      <c r="K2090" s="22">
        <f t="shared" si="24"/>
        <v>1146</v>
      </c>
      <c r="L2090" s="17"/>
    </row>
    <row r="2091" spans="1:14" x14ac:dyDescent="0.25">
      <c r="A2091" s="10">
        <v>46154</v>
      </c>
      <c r="B2091" s="2" t="s">
        <v>3472</v>
      </c>
      <c r="C2091" s="2" t="s">
        <v>470</v>
      </c>
      <c r="D2091" s="2" t="s">
        <v>3473</v>
      </c>
      <c r="E2091" s="3" t="s">
        <v>610</v>
      </c>
      <c r="G2091" s="4" t="s">
        <v>48</v>
      </c>
      <c r="H2091" s="22" t="s">
        <v>1958</v>
      </c>
      <c r="I2091" s="22">
        <v>500</v>
      </c>
      <c r="J2091" s="22"/>
      <c r="K2091" s="22">
        <f t="shared" si="24"/>
        <v>500</v>
      </c>
      <c r="L2091" s="17"/>
    </row>
    <row r="2092" spans="1:14" x14ac:dyDescent="0.25">
      <c r="A2092" s="10">
        <v>46154</v>
      </c>
      <c r="B2092" s="2" t="s">
        <v>3472</v>
      </c>
      <c r="C2092" s="2" t="s">
        <v>470</v>
      </c>
      <c r="D2092" s="2" t="s">
        <v>3473</v>
      </c>
      <c r="E2092" s="3" t="s">
        <v>610</v>
      </c>
      <c r="G2092" s="4" t="s">
        <v>48</v>
      </c>
      <c r="H2092" s="22" t="s">
        <v>2113</v>
      </c>
      <c r="I2092" s="22">
        <v>1730</v>
      </c>
      <c r="J2092" s="22"/>
      <c r="K2092" s="22">
        <f t="shared" si="24"/>
        <v>1730</v>
      </c>
      <c r="L2092" s="17"/>
    </row>
    <row r="2093" spans="1:14" x14ac:dyDescent="0.25">
      <c r="A2093" s="10">
        <v>46154</v>
      </c>
      <c r="B2093" s="2" t="s">
        <v>3472</v>
      </c>
      <c r="C2093" s="2" t="s">
        <v>470</v>
      </c>
      <c r="D2093" s="2" t="s">
        <v>3473</v>
      </c>
      <c r="E2093" s="3" t="s">
        <v>610</v>
      </c>
      <c r="G2093" s="4" t="s">
        <v>48</v>
      </c>
      <c r="H2093" s="22" t="s">
        <v>735</v>
      </c>
      <c r="I2093" s="22">
        <v>1000</v>
      </c>
      <c r="J2093" s="22"/>
      <c r="K2093" s="22">
        <f t="shared" si="24"/>
        <v>1000</v>
      </c>
      <c r="L2093" s="17"/>
    </row>
    <row r="2094" spans="1:14" x14ac:dyDescent="0.25">
      <c r="A2094" s="10">
        <v>46154</v>
      </c>
      <c r="B2094" s="2" t="s">
        <v>3472</v>
      </c>
      <c r="C2094" s="2" t="s">
        <v>470</v>
      </c>
      <c r="D2094" s="2" t="s">
        <v>3473</v>
      </c>
      <c r="E2094" s="3" t="s">
        <v>610</v>
      </c>
      <c r="G2094" s="4" t="s">
        <v>48</v>
      </c>
      <c r="H2094" s="22" t="s">
        <v>781</v>
      </c>
      <c r="I2094" s="22">
        <v>3954.71</v>
      </c>
      <c r="J2094" s="22"/>
      <c r="K2094" s="22">
        <f t="shared" si="24"/>
        <v>3954.71</v>
      </c>
      <c r="L2094" s="17"/>
    </row>
    <row r="2095" spans="1:14" x14ac:dyDescent="0.25">
      <c r="A2095" s="10">
        <v>46154</v>
      </c>
      <c r="B2095" s="2" t="s">
        <v>3472</v>
      </c>
      <c r="C2095" s="2" t="s">
        <v>470</v>
      </c>
      <c r="D2095" s="2" t="s">
        <v>3473</v>
      </c>
      <c r="E2095" s="3" t="s">
        <v>610</v>
      </c>
      <c r="G2095" s="4" t="s">
        <v>28</v>
      </c>
      <c r="H2095" s="22" t="s">
        <v>40</v>
      </c>
      <c r="I2095" s="22">
        <v>1000</v>
      </c>
      <c r="J2095" s="22"/>
      <c r="K2095" s="22">
        <f t="shared" si="24"/>
        <v>1000</v>
      </c>
      <c r="L2095" s="17"/>
    </row>
    <row r="2096" spans="1:14" x14ac:dyDescent="0.25">
      <c r="A2096" s="10">
        <v>46154</v>
      </c>
      <c r="B2096" s="2" t="s">
        <v>3472</v>
      </c>
      <c r="C2096" s="2" t="s">
        <v>470</v>
      </c>
      <c r="D2096" s="2" t="s">
        <v>3473</v>
      </c>
      <c r="E2096" s="3" t="s">
        <v>610</v>
      </c>
      <c r="G2096" s="4" t="s">
        <v>167</v>
      </c>
      <c r="H2096" s="22" t="s">
        <v>168</v>
      </c>
      <c r="I2096" s="22">
        <v>69</v>
      </c>
      <c r="J2096" s="22"/>
      <c r="K2096" s="22">
        <f t="shared" si="24"/>
        <v>69</v>
      </c>
      <c r="L2096" s="17"/>
    </row>
    <row r="2097" spans="1:20" x14ac:dyDescent="0.25">
      <c r="A2097" s="10">
        <v>46154</v>
      </c>
      <c r="B2097" s="2" t="s">
        <v>3472</v>
      </c>
      <c r="C2097" s="2" t="s">
        <v>470</v>
      </c>
      <c r="D2097" s="2" t="s">
        <v>3473</v>
      </c>
      <c r="E2097" s="3" t="s">
        <v>610</v>
      </c>
      <c r="G2097" s="4" t="s">
        <v>48</v>
      </c>
      <c r="H2097" s="22" t="s">
        <v>3476</v>
      </c>
      <c r="I2097" s="22">
        <v>1500</v>
      </c>
      <c r="J2097" s="22"/>
      <c r="K2097" s="22">
        <f t="shared" si="24"/>
        <v>1500</v>
      </c>
      <c r="L2097" s="17"/>
    </row>
    <row r="2098" spans="1:20" x14ac:dyDescent="0.25">
      <c r="A2098" s="10">
        <v>46154</v>
      </c>
      <c r="B2098" s="2" t="s">
        <v>3472</v>
      </c>
      <c r="C2098" s="2" t="s">
        <v>470</v>
      </c>
      <c r="D2098" s="2" t="s">
        <v>3473</v>
      </c>
      <c r="E2098" s="3" t="s">
        <v>610</v>
      </c>
      <c r="G2098" s="4" t="s">
        <v>48</v>
      </c>
      <c r="H2098" s="22" t="s">
        <v>421</v>
      </c>
      <c r="I2098" s="22">
        <v>107.14</v>
      </c>
      <c r="J2098" s="22"/>
      <c r="K2098" s="22">
        <f t="shared" si="24"/>
        <v>107.14</v>
      </c>
      <c r="L2098" s="17"/>
    </row>
    <row r="2099" spans="1:20" x14ac:dyDescent="0.25">
      <c r="A2099" s="10">
        <v>46154</v>
      </c>
      <c r="B2099" s="2" t="s">
        <v>3472</v>
      </c>
      <c r="C2099" s="2" t="s">
        <v>470</v>
      </c>
      <c r="D2099" s="2" t="s">
        <v>3473</v>
      </c>
      <c r="E2099" s="3" t="s">
        <v>610</v>
      </c>
      <c r="G2099" s="4" t="s">
        <v>48</v>
      </c>
      <c r="H2099" s="22" t="s">
        <v>47</v>
      </c>
      <c r="I2099" s="22">
        <v>725</v>
      </c>
      <c r="J2099" s="22"/>
      <c r="K2099" s="22">
        <f t="shared" si="24"/>
        <v>725</v>
      </c>
      <c r="L2099" s="17"/>
    </row>
    <row r="2100" spans="1:20" x14ac:dyDescent="0.25">
      <c r="A2100" s="10">
        <v>46154</v>
      </c>
      <c r="B2100" s="2" t="s">
        <v>3472</v>
      </c>
      <c r="C2100" s="2" t="s">
        <v>470</v>
      </c>
      <c r="D2100" s="2" t="s">
        <v>3473</v>
      </c>
      <c r="E2100" s="3" t="s">
        <v>610</v>
      </c>
      <c r="G2100" s="4" t="s">
        <v>1110</v>
      </c>
      <c r="H2100" s="22" t="s">
        <v>973</v>
      </c>
      <c r="I2100" s="22">
        <v>200</v>
      </c>
      <c r="J2100" s="22"/>
      <c r="K2100" s="22">
        <f t="shared" si="24"/>
        <v>200</v>
      </c>
      <c r="L2100" s="17"/>
    </row>
    <row r="2101" spans="1:20" x14ac:dyDescent="0.25">
      <c r="A2101" s="10">
        <v>46154</v>
      </c>
      <c r="B2101" s="2" t="s">
        <v>3472</v>
      </c>
      <c r="C2101" s="2" t="s">
        <v>470</v>
      </c>
      <c r="D2101" s="2" t="s">
        <v>3473</v>
      </c>
      <c r="E2101" s="3" t="s">
        <v>610</v>
      </c>
      <c r="G2101" s="4" t="s">
        <v>48</v>
      </c>
      <c r="H2101" s="22" t="s">
        <v>3335</v>
      </c>
      <c r="I2101" s="22">
        <v>1640</v>
      </c>
      <c r="J2101" s="22"/>
      <c r="K2101" s="22">
        <f t="shared" si="24"/>
        <v>1640</v>
      </c>
      <c r="L2101" s="17"/>
    </row>
    <row r="2102" spans="1:20" x14ac:dyDescent="0.25">
      <c r="A2102" s="10">
        <v>46154</v>
      </c>
      <c r="B2102" s="2" t="s">
        <v>3472</v>
      </c>
      <c r="C2102" s="2" t="s">
        <v>470</v>
      </c>
      <c r="D2102" s="2" t="s">
        <v>3473</v>
      </c>
      <c r="E2102" s="3" t="s">
        <v>610</v>
      </c>
      <c r="G2102" s="4" t="s">
        <v>48</v>
      </c>
      <c r="H2102" s="22" t="s">
        <v>3403</v>
      </c>
      <c r="I2102" s="22">
        <v>1710</v>
      </c>
      <c r="J2102" s="22"/>
      <c r="K2102" s="22">
        <f t="shared" si="24"/>
        <v>1710</v>
      </c>
      <c r="L2102" s="17"/>
    </row>
    <row r="2103" spans="1:20" x14ac:dyDescent="0.25">
      <c r="A2103" s="10">
        <v>46154</v>
      </c>
      <c r="B2103" s="2" t="s">
        <v>3472</v>
      </c>
      <c r="C2103" s="2" t="s">
        <v>470</v>
      </c>
      <c r="D2103" s="2" t="s">
        <v>3473</v>
      </c>
      <c r="E2103" s="3" t="s">
        <v>610</v>
      </c>
      <c r="G2103" s="4" t="s">
        <v>28</v>
      </c>
      <c r="H2103" s="22" t="s">
        <v>57</v>
      </c>
      <c r="I2103" s="22">
        <v>3000</v>
      </c>
      <c r="J2103" s="22"/>
      <c r="K2103" s="22">
        <f t="shared" si="24"/>
        <v>3000</v>
      </c>
      <c r="L2103" s="17"/>
    </row>
    <row r="2104" spans="1:20" x14ac:dyDescent="0.25">
      <c r="A2104" s="10">
        <v>46154</v>
      </c>
      <c r="B2104" s="2" t="s">
        <v>3472</v>
      </c>
      <c r="C2104" s="2" t="s">
        <v>470</v>
      </c>
      <c r="D2104" s="2" t="s">
        <v>3473</v>
      </c>
      <c r="E2104" s="3" t="s">
        <v>610</v>
      </c>
      <c r="G2104" s="4" t="s">
        <v>48</v>
      </c>
      <c r="H2104" s="22" t="s">
        <v>1187</v>
      </c>
      <c r="I2104" s="22">
        <v>320.26</v>
      </c>
      <c r="J2104" s="22"/>
      <c r="K2104" s="22">
        <f t="shared" si="24"/>
        <v>320.26</v>
      </c>
      <c r="L2104" s="17"/>
    </row>
    <row r="2105" spans="1:20" x14ac:dyDescent="0.25">
      <c r="A2105" s="10">
        <v>46154</v>
      </c>
      <c r="B2105" s="2" t="s">
        <v>3472</v>
      </c>
      <c r="C2105" s="2" t="s">
        <v>470</v>
      </c>
      <c r="D2105" s="2" t="s">
        <v>3473</v>
      </c>
      <c r="E2105" s="3" t="s">
        <v>610</v>
      </c>
      <c r="G2105" s="4" t="s">
        <v>48</v>
      </c>
      <c r="H2105" s="22" t="s">
        <v>49</v>
      </c>
      <c r="I2105" s="22"/>
      <c r="J2105" s="22">
        <f>SUM(I2087:I2104)</f>
        <v>27149.999999999996</v>
      </c>
      <c r="K2105" s="22">
        <f t="shared" si="24"/>
        <v>27149.999999999996</v>
      </c>
      <c r="L2105" s="17"/>
    </row>
    <row r="2106" spans="1:20" ht="24" x14ac:dyDescent="0.25">
      <c r="A2106" s="10">
        <v>46154</v>
      </c>
      <c r="B2106" s="2" t="s">
        <v>3477</v>
      </c>
      <c r="C2106" s="2" t="s">
        <v>147</v>
      </c>
      <c r="D2106" s="2" t="s">
        <v>3478</v>
      </c>
      <c r="E2106" s="3" t="s">
        <v>149</v>
      </c>
      <c r="F2106" s="4">
        <v>5000</v>
      </c>
      <c r="G2106" s="4" t="s">
        <v>1030</v>
      </c>
      <c r="H2106" s="22" t="s">
        <v>78</v>
      </c>
      <c r="I2106" s="22">
        <v>5000</v>
      </c>
      <c r="J2106" s="22"/>
      <c r="K2106" s="22">
        <f t="shared" si="24"/>
        <v>5000</v>
      </c>
      <c r="L2106" s="17">
        <v>5000</v>
      </c>
      <c r="M2106" s="23" t="s">
        <v>41</v>
      </c>
      <c r="N2106" s="1" t="s">
        <v>3479</v>
      </c>
      <c r="O2106" s="7" t="s">
        <v>668</v>
      </c>
      <c r="P2106" s="7" t="s">
        <v>81</v>
      </c>
      <c r="R2106" s="7" t="s">
        <v>3434</v>
      </c>
      <c r="S2106" s="3" t="s">
        <v>83</v>
      </c>
      <c r="T2106" s="3" t="s">
        <v>3480</v>
      </c>
    </row>
    <row r="2107" spans="1:20" x14ac:dyDescent="0.25">
      <c r="A2107" s="10">
        <v>46154</v>
      </c>
      <c r="B2107" s="2" t="s">
        <v>3477</v>
      </c>
      <c r="C2107" s="2" t="s">
        <v>147</v>
      </c>
      <c r="D2107" s="2" t="s">
        <v>3478</v>
      </c>
      <c r="E2107" s="3" t="s">
        <v>149</v>
      </c>
      <c r="G2107" s="4" t="s">
        <v>48</v>
      </c>
      <c r="H2107" s="22" t="s">
        <v>49</v>
      </c>
      <c r="I2107" s="22"/>
      <c r="J2107" s="22">
        <f>I2106</f>
        <v>5000</v>
      </c>
      <c r="K2107" s="22">
        <f t="shared" si="24"/>
        <v>5000</v>
      </c>
      <c r="L2107" s="17"/>
    </row>
    <row r="2108" spans="1:20" ht="24" x14ac:dyDescent="0.25">
      <c r="A2108" s="10">
        <v>46154</v>
      </c>
      <c r="B2108" s="2" t="s">
        <v>3481</v>
      </c>
      <c r="C2108" s="2" t="s">
        <v>259</v>
      </c>
      <c r="D2108" s="2" t="s">
        <v>3460</v>
      </c>
      <c r="E2108" s="3" t="s">
        <v>27</v>
      </c>
      <c r="F2108" s="4">
        <v>163519.06</v>
      </c>
      <c r="G2108" s="4" t="s">
        <v>48</v>
      </c>
      <c r="H2108" s="22" t="s">
        <v>973</v>
      </c>
      <c r="I2108" s="22">
        <v>183349.06</v>
      </c>
      <c r="J2108" s="22"/>
      <c r="K2108" s="22">
        <f t="shared" si="24"/>
        <v>183349.06</v>
      </c>
      <c r="L2108" s="17"/>
      <c r="M2108" s="6" t="s">
        <v>581</v>
      </c>
      <c r="N2108" s="1" t="s">
        <v>3482</v>
      </c>
    </row>
    <row r="2109" spans="1:20" x14ac:dyDescent="0.25">
      <c r="A2109" s="10">
        <v>46154</v>
      </c>
      <c r="B2109" s="2" t="s">
        <v>3481</v>
      </c>
      <c r="C2109" s="2" t="s">
        <v>259</v>
      </c>
      <c r="D2109" s="2" t="s">
        <v>3460</v>
      </c>
      <c r="E2109" s="3" t="s">
        <v>27</v>
      </c>
      <c r="G2109" s="4" t="s">
        <v>48</v>
      </c>
      <c r="H2109" s="22" t="s">
        <v>2842</v>
      </c>
      <c r="I2109" s="22"/>
      <c r="J2109" s="22">
        <v>11300</v>
      </c>
      <c r="K2109" s="22">
        <f t="shared" si="24"/>
        <v>11300</v>
      </c>
      <c r="L2109" s="17"/>
    </row>
    <row r="2110" spans="1:20" x14ac:dyDescent="0.25">
      <c r="A2110" s="10">
        <v>46154</v>
      </c>
      <c r="B2110" s="2" t="s">
        <v>3481</v>
      </c>
      <c r="C2110" s="2" t="s">
        <v>259</v>
      </c>
      <c r="D2110" s="2" t="s">
        <v>3460</v>
      </c>
      <c r="E2110" s="3" t="s">
        <v>27</v>
      </c>
      <c r="G2110" s="4" t="s">
        <v>48</v>
      </c>
      <c r="H2110" s="22" t="s">
        <v>2843</v>
      </c>
      <c r="I2110" s="22"/>
      <c r="J2110" s="22">
        <v>4850</v>
      </c>
      <c r="K2110" s="22">
        <f t="shared" si="24"/>
        <v>4850</v>
      </c>
      <c r="L2110" s="17"/>
    </row>
    <row r="2111" spans="1:20" x14ac:dyDescent="0.25">
      <c r="A2111" s="10">
        <v>46154</v>
      </c>
      <c r="B2111" s="2" t="s">
        <v>3481</v>
      </c>
      <c r="C2111" s="2" t="s">
        <v>259</v>
      </c>
      <c r="D2111" s="2" t="s">
        <v>3460</v>
      </c>
      <c r="E2111" s="3" t="s">
        <v>27</v>
      </c>
      <c r="G2111" s="4" t="s">
        <v>48</v>
      </c>
      <c r="H2111" s="22" t="s">
        <v>2844</v>
      </c>
      <c r="I2111" s="22"/>
      <c r="J2111" s="22">
        <v>3680</v>
      </c>
      <c r="K2111" s="22">
        <f t="shared" si="24"/>
        <v>3680</v>
      </c>
      <c r="L2111" s="17"/>
    </row>
    <row r="2112" spans="1:20" x14ac:dyDescent="0.25">
      <c r="A2112" s="10">
        <v>46154</v>
      </c>
      <c r="B2112" s="2" t="s">
        <v>3481</v>
      </c>
      <c r="C2112" s="2" t="s">
        <v>259</v>
      </c>
      <c r="D2112" s="2" t="s">
        <v>3460</v>
      </c>
      <c r="E2112" s="3" t="s">
        <v>27</v>
      </c>
      <c r="G2112" s="4" t="s">
        <v>48</v>
      </c>
      <c r="H2112" s="22" t="s">
        <v>49</v>
      </c>
      <c r="I2112" s="22"/>
      <c r="J2112" s="22">
        <f>I2108-J2109-J2110-J2111</f>
        <v>163519.06</v>
      </c>
      <c r="K2112" s="22">
        <f t="shared" si="24"/>
        <v>163519.06</v>
      </c>
      <c r="L2112" s="17"/>
    </row>
    <row r="2113" spans="1:18" ht="24" x14ac:dyDescent="0.25">
      <c r="A2113" s="10">
        <v>46154</v>
      </c>
      <c r="B2113" s="2" t="s">
        <v>3483</v>
      </c>
      <c r="C2113" s="2" t="s">
        <v>259</v>
      </c>
      <c r="D2113" s="2" t="s">
        <v>3460</v>
      </c>
      <c r="E2113" s="3" t="s">
        <v>27</v>
      </c>
      <c r="F2113" s="4">
        <f>237243.37-9400-3725-3000-2500</f>
        <v>218618.37</v>
      </c>
      <c r="G2113" s="4" t="s">
        <v>326</v>
      </c>
      <c r="H2113" s="22" t="s">
        <v>973</v>
      </c>
      <c r="I2113" s="22">
        <v>237243.37</v>
      </c>
      <c r="J2113" s="22"/>
      <c r="K2113" s="22">
        <f t="shared" si="24"/>
        <v>237243.37</v>
      </c>
      <c r="L2113" s="17"/>
      <c r="M2113" s="6" t="s">
        <v>581</v>
      </c>
      <c r="N2113" s="1" t="s">
        <v>3484</v>
      </c>
    </row>
    <row r="2114" spans="1:18" x14ac:dyDescent="0.25">
      <c r="A2114" s="10">
        <v>46154</v>
      </c>
      <c r="B2114" s="2" t="s">
        <v>3483</v>
      </c>
      <c r="C2114" s="2" t="s">
        <v>259</v>
      </c>
      <c r="D2114" s="2" t="s">
        <v>3460</v>
      </c>
      <c r="E2114" s="3" t="s">
        <v>27</v>
      </c>
      <c r="G2114" s="4" t="s">
        <v>326</v>
      </c>
      <c r="H2114" s="22" t="s">
        <v>2842</v>
      </c>
      <c r="I2114" s="22"/>
      <c r="J2114" s="22">
        <v>9400</v>
      </c>
      <c r="K2114" s="22">
        <f t="shared" si="24"/>
        <v>9400</v>
      </c>
      <c r="L2114" s="17"/>
    </row>
    <row r="2115" spans="1:18" x14ac:dyDescent="0.25">
      <c r="A2115" s="10">
        <v>46154</v>
      </c>
      <c r="B2115" s="2" t="s">
        <v>3483</v>
      </c>
      <c r="C2115" s="2" t="s">
        <v>259</v>
      </c>
      <c r="D2115" s="2" t="s">
        <v>3460</v>
      </c>
      <c r="E2115" s="3" t="s">
        <v>27</v>
      </c>
      <c r="G2115" s="4" t="s">
        <v>326</v>
      </c>
      <c r="H2115" s="22" t="s">
        <v>2843</v>
      </c>
      <c r="I2115" s="22"/>
      <c r="J2115" s="22">
        <v>3725</v>
      </c>
      <c r="K2115" s="22">
        <f t="shared" si="24"/>
        <v>3725</v>
      </c>
      <c r="L2115" s="17"/>
    </row>
    <row r="2116" spans="1:18" x14ac:dyDescent="0.25">
      <c r="A2116" s="10">
        <v>46154</v>
      </c>
      <c r="B2116" s="2" t="s">
        <v>3483</v>
      </c>
      <c r="C2116" s="2" t="s">
        <v>259</v>
      </c>
      <c r="D2116" s="2" t="s">
        <v>3460</v>
      </c>
      <c r="E2116" s="3" t="s">
        <v>27</v>
      </c>
      <c r="G2116" s="4" t="s">
        <v>326</v>
      </c>
      <c r="H2116" s="22" t="s">
        <v>2844</v>
      </c>
      <c r="I2116" s="22"/>
      <c r="J2116" s="22">
        <v>3000</v>
      </c>
      <c r="K2116" s="22">
        <f t="shared" si="24"/>
        <v>3000</v>
      </c>
      <c r="L2116" s="17"/>
    </row>
    <row r="2117" spans="1:18" x14ac:dyDescent="0.25">
      <c r="A2117" s="10">
        <v>46154</v>
      </c>
      <c r="B2117" s="2" t="s">
        <v>3483</v>
      </c>
      <c r="C2117" s="2" t="s">
        <v>259</v>
      </c>
      <c r="D2117" s="2" t="s">
        <v>3460</v>
      </c>
      <c r="E2117" s="3" t="s">
        <v>27</v>
      </c>
      <c r="G2117" s="4" t="s">
        <v>326</v>
      </c>
      <c r="H2117" s="22" t="s">
        <v>994</v>
      </c>
      <c r="I2117" s="22"/>
      <c r="J2117" s="22">
        <v>1000</v>
      </c>
      <c r="K2117" s="22">
        <f t="shared" si="24"/>
        <v>1000</v>
      </c>
      <c r="L2117" s="17"/>
    </row>
    <row r="2118" spans="1:18" x14ac:dyDescent="0.25">
      <c r="A2118" s="10">
        <v>46154</v>
      </c>
      <c r="B2118" s="2" t="s">
        <v>3483</v>
      </c>
      <c r="C2118" s="2" t="s">
        <v>259</v>
      </c>
      <c r="D2118" s="2" t="s">
        <v>3460</v>
      </c>
      <c r="E2118" s="3" t="s">
        <v>27</v>
      </c>
      <c r="G2118" s="4" t="s">
        <v>326</v>
      </c>
      <c r="H2118" s="22" t="s">
        <v>3485</v>
      </c>
      <c r="I2118" s="22"/>
      <c r="J2118" s="22">
        <v>1500</v>
      </c>
      <c r="K2118" s="22">
        <f t="shared" si="24"/>
        <v>1500</v>
      </c>
      <c r="L2118" s="17"/>
    </row>
    <row r="2119" spans="1:18" x14ac:dyDescent="0.25">
      <c r="A2119" s="10">
        <v>46154</v>
      </c>
      <c r="B2119" s="2" t="s">
        <v>3483</v>
      </c>
      <c r="C2119" s="2" t="s">
        <v>259</v>
      </c>
      <c r="D2119" s="2" t="s">
        <v>3460</v>
      </c>
      <c r="E2119" s="3" t="s">
        <v>27</v>
      </c>
      <c r="G2119" s="4" t="s">
        <v>48</v>
      </c>
      <c r="H2119" s="22" t="s">
        <v>49</v>
      </c>
      <c r="I2119" s="22"/>
      <c r="J2119" s="22">
        <f>I2113-J2114-J2115-J2116-J2117-J2118</f>
        <v>218618.37</v>
      </c>
      <c r="K2119" s="22">
        <f t="shared" si="24"/>
        <v>218618.37</v>
      </c>
      <c r="L2119" s="17"/>
    </row>
    <row r="2120" spans="1:18" x14ac:dyDescent="0.25">
      <c r="A2120" s="10">
        <v>46154</v>
      </c>
      <c r="B2120" s="2" t="s">
        <v>3486</v>
      </c>
      <c r="C2120" s="2" t="s">
        <v>259</v>
      </c>
      <c r="D2120" s="2" t="s">
        <v>3460</v>
      </c>
      <c r="E2120" s="3" t="s">
        <v>3487</v>
      </c>
      <c r="F2120" s="4">
        <f>40384.375+47317.41+95369.435+200</f>
        <v>183271.22</v>
      </c>
      <c r="G2120" s="4" t="s">
        <v>326</v>
      </c>
      <c r="H2120" s="22" t="s">
        <v>3100</v>
      </c>
      <c r="I2120" s="22">
        <v>40384.375</v>
      </c>
      <c r="J2120" s="22"/>
      <c r="K2120" s="22">
        <f t="shared" si="24"/>
        <v>40384.375</v>
      </c>
      <c r="L2120" s="17"/>
      <c r="M2120" s="6" t="s">
        <v>581</v>
      </c>
      <c r="N2120" s="1" t="s">
        <v>3488</v>
      </c>
      <c r="Q2120" s="25"/>
      <c r="R2120" s="57"/>
    </row>
    <row r="2121" spans="1:18" x14ac:dyDescent="0.25">
      <c r="A2121" s="10">
        <v>46154</v>
      </c>
      <c r="B2121" s="2" t="s">
        <v>3486</v>
      </c>
      <c r="C2121" s="2" t="s">
        <v>259</v>
      </c>
      <c r="D2121" s="2" t="s">
        <v>3460</v>
      </c>
      <c r="E2121" s="3" t="s">
        <v>3487</v>
      </c>
      <c r="G2121" s="4" t="s">
        <v>326</v>
      </c>
      <c r="H2121" s="22" t="s">
        <v>3103</v>
      </c>
      <c r="I2121" s="22">
        <v>47317.41</v>
      </c>
      <c r="J2121" s="22"/>
      <c r="K2121" s="22">
        <f t="shared" si="24"/>
        <v>47317.41</v>
      </c>
      <c r="L2121" s="17"/>
      <c r="Q2121" s="25"/>
      <c r="R2121" s="57"/>
    </row>
    <row r="2122" spans="1:18" x14ac:dyDescent="0.25">
      <c r="A2122" s="10">
        <v>46154</v>
      </c>
      <c r="B2122" s="2" t="s">
        <v>3486</v>
      </c>
      <c r="C2122" s="2" t="s">
        <v>259</v>
      </c>
      <c r="D2122" s="2" t="s">
        <v>3460</v>
      </c>
      <c r="E2122" s="3" t="s">
        <v>3487</v>
      </c>
      <c r="G2122" s="4" t="s">
        <v>326</v>
      </c>
      <c r="H2122" s="22" t="s">
        <v>3104</v>
      </c>
      <c r="I2122" s="22">
        <v>95369.434999999998</v>
      </c>
      <c r="J2122" s="22"/>
      <c r="K2122" s="22">
        <f t="shared" si="24"/>
        <v>95369.434999999998</v>
      </c>
      <c r="L2122" s="17"/>
      <c r="Q2122" s="25"/>
      <c r="R2122" s="57"/>
    </row>
    <row r="2123" spans="1:18" x14ac:dyDescent="0.25">
      <c r="A2123" s="10">
        <v>46154</v>
      </c>
      <c r="B2123" s="2" t="s">
        <v>3486</v>
      </c>
      <c r="C2123" s="2" t="s">
        <v>259</v>
      </c>
      <c r="D2123" s="2" t="s">
        <v>3460</v>
      </c>
      <c r="E2123" s="3" t="s">
        <v>3487</v>
      </c>
      <c r="G2123" s="4" t="s">
        <v>326</v>
      </c>
      <c r="H2123" s="22" t="s">
        <v>47</v>
      </c>
      <c r="I2123" s="22">
        <v>200</v>
      </c>
      <c r="J2123" s="22"/>
      <c r="K2123" s="22">
        <f t="shared" si="24"/>
        <v>200</v>
      </c>
      <c r="L2123" s="17"/>
      <c r="Q2123" s="25"/>
      <c r="R2123" s="57"/>
    </row>
    <row r="2124" spans="1:18" x14ac:dyDescent="0.25">
      <c r="A2124" s="10">
        <v>46154</v>
      </c>
      <c r="B2124" s="2" t="s">
        <v>3486</v>
      </c>
      <c r="C2124" s="2" t="s">
        <v>259</v>
      </c>
      <c r="D2124" s="2" t="s">
        <v>3460</v>
      </c>
      <c r="E2124" s="3" t="s">
        <v>3487</v>
      </c>
      <c r="G2124" s="4" t="s">
        <v>48</v>
      </c>
      <c r="H2124" s="22" t="s">
        <v>49</v>
      </c>
      <c r="I2124" s="22"/>
      <c r="J2124" s="22">
        <f>I2120+I2121+I2122+I2123</f>
        <v>183271.22</v>
      </c>
      <c r="K2124" s="22">
        <f t="shared" si="24"/>
        <v>183271.22</v>
      </c>
      <c r="L2124" s="17"/>
      <c r="Q2124" s="25"/>
      <c r="R2124" s="57"/>
    </row>
    <row r="2125" spans="1:18" ht="24" x14ac:dyDescent="0.25">
      <c r="A2125" s="10">
        <v>46154</v>
      </c>
      <c r="B2125" s="2" t="s">
        <v>3489</v>
      </c>
      <c r="C2125" s="2" t="s">
        <v>3490</v>
      </c>
      <c r="D2125" s="2" t="s">
        <v>3491</v>
      </c>
      <c r="E2125" s="3" t="s">
        <v>553</v>
      </c>
      <c r="F2125" s="4">
        <f>(6050/1.12)+(6050/1.12*0.12)-(6050/1.12*0.01)</f>
        <v>5995.9821428571422</v>
      </c>
      <c r="G2125" s="3" t="s">
        <v>28</v>
      </c>
      <c r="H2125" s="22" t="s">
        <v>40</v>
      </c>
      <c r="I2125" s="22">
        <f>6050/1.12</f>
        <v>5401.7857142857138</v>
      </c>
      <c r="J2125" s="22"/>
      <c r="K2125" s="22">
        <f t="shared" si="24"/>
        <v>5401.7857142857138</v>
      </c>
      <c r="L2125" s="17"/>
      <c r="M2125" s="26" t="s">
        <v>581</v>
      </c>
      <c r="N2125" s="1" t="s">
        <v>3492</v>
      </c>
      <c r="Q2125" s="25"/>
      <c r="R2125" s="57"/>
    </row>
    <row r="2126" spans="1:18" x14ac:dyDescent="0.25">
      <c r="A2126" s="10">
        <v>46154</v>
      </c>
      <c r="B2126" s="2" t="s">
        <v>3489</v>
      </c>
      <c r="C2126" s="2" t="s">
        <v>3490</v>
      </c>
      <c r="D2126" s="2" t="s">
        <v>3491</v>
      </c>
      <c r="E2126" s="3" t="s">
        <v>553</v>
      </c>
      <c r="G2126" s="3" t="s">
        <v>28</v>
      </c>
      <c r="H2126" s="22" t="s">
        <v>104</v>
      </c>
      <c r="I2126" s="22">
        <f>I2125*0.12</f>
        <v>648.21428571428567</v>
      </c>
      <c r="J2126" s="22"/>
      <c r="K2126" s="22">
        <f t="shared" si="24"/>
        <v>648.21428571428567</v>
      </c>
      <c r="L2126" s="17"/>
      <c r="M2126" s="26"/>
      <c r="Q2126" s="25"/>
      <c r="R2126" s="57"/>
    </row>
    <row r="2127" spans="1:18" x14ac:dyDescent="0.25">
      <c r="A2127" s="10">
        <v>46154</v>
      </c>
      <c r="B2127" s="2" t="s">
        <v>3489</v>
      </c>
      <c r="C2127" s="2" t="s">
        <v>3490</v>
      </c>
      <c r="D2127" s="2" t="s">
        <v>3491</v>
      </c>
      <c r="E2127" s="3" t="s">
        <v>553</v>
      </c>
      <c r="G2127" s="3" t="s">
        <v>28</v>
      </c>
      <c r="H2127" s="22" t="s">
        <v>105</v>
      </c>
      <c r="I2127" s="22"/>
      <c r="J2127" s="22">
        <f>I2125*0.01</f>
        <v>54.017857142857139</v>
      </c>
      <c r="K2127" s="22">
        <f t="shared" si="24"/>
        <v>54.017857142857139</v>
      </c>
      <c r="L2127" s="17"/>
      <c r="M2127" s="26"/>
      <c r="Q2127" s="25"/>
      <c r="R2127" s="57"/>
    </row>
    <row r="2128" spans="1:18" x14ac:dyDescent="0.25">
      <c r="A2128" s="10">
        <v>46154</v>
      </c>
      <c r="B2128" s="2" t="s">
        <v>3489</v>
      </c>
      <c r="C2128" s="2" t="s">
        <v>3490</v>
      </c>
      <c r="D2128" s="2" t="s">
        <v>3491</v>
      </c>
      <c r="E2128" s="3" t="s">
        <v>553</v>
      </c>
      <c r="G2128" s="4" t="s">
        <v>48</v>
      </c>
      <c r="H2128" s="22" t="s">
        <v>49</v>
      </c>
      <c r="I2128" s="22"/>
      <c r="J2128" s="22">
        <f>I2125+I2126-J2127</f>
        <v>5995.9821428571422</v>
      </c>
      <c r="K2128" s="22">
        <f t="shared" si="24"/>
        <v>5995.9821428571422</v>
      </c>
      <c r="L2128" s="17"/>
      <c r="M2128" s="26"/>
      <c r="Q2128" s="25"/>
      <c r="R2128" s="57"/>
    </row>
    <row r="2129" spans="1:23" ht="24" x14ac:dyDescent="0.25">
      <c r="A2129" s="10">
        <v>46154</v>
      </c>
      <c r="B2129" s="2" t="s">
        <v>3493</v>
      </c>
      <c r="C2129" s="2" t="s">
        <v>3494</v>
      </c>
      <c r="D2129" s="2" t="s">
        <v>3491</v>
      </c>
      <c r="E2129" s="3" t="s">
        <v>3495</v>
      </c>
      <c r="F2129" s="4">
        <f>(9000/1.12)+(9000/1.12*0.12)-(9000/1.12*0.01)</f>
        <v>8919.6428571428569</v>
      </c>
      <c r="G2129" s="3" t="s">
        <v>28</v>
      </c>
      <c r="H2129" s="22" t="s">
        <v>40</v>
      </c>
      <c r="I2129" s="22">
        <f>9000/1.12</f>
        <v>8035.7142857142853</v>
      </c>
      <c r="J2129" s="22"/>
      <c r="K2129" s="22">
        <f t="shared" si="24"/>
        <v>8035.7142857142853</v>
      </c>
      <c r="L2129" s="17"/>
      <c r="M2129" s="26" t="s">
        <v>581</v>
      </c>
      <c r="N2129" s="1" t="s">
        <v>3496</v>
      </c>
      <c r="Q2129" s="25"/>
      <c r="R2129" s="57"/>
    </row>
    <row r="2130" spans="1:23" x14ac:dyDescent="0.25">
      <c r="A2130" s="10">
        <v>46154</v>
      </c>
      <c r="B2130" s="2" t="s">
        <v>3493</v>
      </c>
      <c r="C2130" s="2" t="s">
        <v>3494</v>
      </c>
      <c r="D2130" s="2" t="s">
        <v>3491</v>
      </c>
      <c r="E2130" s="3" t="s">
        <v>3495</v>
      </c>
      <c r="G2130" s="3" t="s">
        <v>28</v>
      </c>
      <c r="H2130" s="22" t="s">
        <v>104</v>
      </c>
      <c r="I2130" s="22">
        <f>I2129*0.12</f>
        <v>964.28571428571422</v>
      </c>
      <c r="J2130" s="22"/>
      <c r="K2130" s="22">
        <f t="shared" si="24"/>
        <v>964.28571428571422</v>
      </c>
      <c r="L2130" s="17"/>
      <c r="M2130" s="26"/>
      <c r="Q2130" s="25"/>
      <c r="R2130" s="57"/>
    </row>
    <row r="2131" spans="1:23" x14ac:dyDescent="0.25">
      <c r="A2131" s="10">
        <v>46154</v>
      </c>
      <c r="B2131" s="2" t="s">
        <v>3493</v>
      </c>
      <c r="C2131" s="2" t="s">
        <v>3494</v>
      </c>
      <c r="D2131" s="2" t="s">
        <v>3491</v>
      </c>
      <c r="E2131" s="3" t="s">
        <v>3495</v>
      </c>
      <c r="G2131" s="3" t="s">
        <v>28</v>
      </c>
      <c r="H2131" s="22" t="s">
        <v>105</v>
      </c>
      <c r="I2131" s="22"/>
      <c r="J2131" s="22">
        <f>I2129*0.01</f>
        <v>80.357142857142861</v>
      </c>
      <c r="K2131" s="22">
        <f t="shared" si="24"/>
        <v>80.357142857142861</v>
      </c>
      <c r="L2131" s="17"/>
      <c r="M2131" s="26"/>
      <c r="Q2131" s="25"/>
      <c r="R2131" s="57"/>
    </row>
    <row r="2132" spans="1:23" x14ac:dyDescent="0.25">
      <c r="A2132" s="10">
        <v>46154</v>
      </c>
      <c r="B2132" s="2" t="s">
        <v>3493</v>
      </c>
      <c r="C2132" s="2" t="s">
        <v>3494</v>
      </c>
      <c r="D2132" s="2" t="s">
        <v>3491</v>
      </c>
      <c r="E2132" s="3" t="s">
        <v>3495</v>
      </c>
      <c r="G2132" s="4" t="s">
        <v>48</v>
      </c>
      <c r="H2132" s="22" t="s">
        <v>49</v>
      </c>
      <c r="I2132" s="22"/>
      <c r="J2132" s="22">
        <f>I2129+I2130-J2131</f>
        <v>8919.6428571428569</v>
      </c>
      <c r="K2132" s="22">
        <f t="shared" si="24"/>
        <v>8919.6428571428569</v>
      </c>
      <c r="L2132" s="17"/>
      <c r="M2132" s="26"/>
      <c r="Q2132" s="25"/>
      <c r="R2132" s="57"/>
    </row>
    <row r="2133" spans="1:23" ht="24" x14ac:dyDescent="0.25">
      <c r="A2133" s="10">
        <v>46155</v>
      </c>
      <c r="B2133" s="2" t="s">
        <v>3497</v>
      </c>
      <c r="C2133" s="2" t="s">
        <v>141</v>
      </c>
      <c r="E2133" s="3" t="s">
        <v>27</v>
      </c>
      <c r="F2133" s="4">
        <v>26500</v>
      </c>
      <c r="G2133" s="4" t="s">
        <v>48</v>
      </c>
      <c r="H2133" s="22" t="s">
        <v>81</v>
      </c>
      <c r="I2133" s="22">
        <v>26500</v>
      </c>
      <c r="J2133" s="22"/>
      <c r="K2133" s="22">
        <f t="shared" si="24"/>
        <v>26500</v>
      </c>
      <c r="L2133" s="17">
        <v>26500</v>
      </c>
      <c r="M2133" s="23" t="s">
        <v>41</v>
      </c>
      <c r="N2133" s="1" t="s">
        <v>3498</v>
      </c>
      <c r="O2133" s="24" t="s">
        <v>3438</v>
      </c>
      <c r="P2133" s="7" t="s">
        <v>32</v>
      </c>
      <c r="Q2133" s="25" t="s">
        <v>3499</v>
      </c>
      <c r="R2133" s="7" t="s">
        <v>3434</v>
      </c>
      <c r="S2133" s="3" t="s">
        <v>3388</v>
      </c>
      <c r="T2133" s="3" t="s">
        <v>3389</v>
      </c>
    </row>
    <row r="2134" spans="1:23" x14ac:dyDescent="0.25">
      <c r="A2134" s="10">
        <v>46155</v>
      </c>
      <c r="B2134" s="2" t="s">
        <v>3497</v>
      </c>
      <c r="C2134" s="2" t="s">
        <v>141</v>
      </c>
      <c r="E2134" s="3" t="s">
        <v>27</v>
      </c>
      <c r="G2134" s="4" t="s">
        <v>98</v>
      </c>
      <c r="H2134" s="22" t="s">
        <v>49</v>
      </c>
      <c r="I2134" s="22"/>
      <c r="J2134" s="22">
        <f>I2133</f>
        <v>26500</v>
      </c>
      <c r="K2134" s="22">
        <f t="shared" si="24"/>
        <v>26500</v>
      </c>
      <c r="L2134" s="17"/>
      <c r="M2134" s="23"/>
      <c r="O2134" s="24"/>
      <c r="Q2134" s="25"/>
    </row>
    <row r="2135" spans="1:23" x14ac:dyDescent="0.25">
      <c r="A2135" s="10">
        <v>46155</v>
      </c>
      <c r="B2135" s="2" t="s">
        <v>3500</v>
      </c>
      <c r="C2135" s="2" t="s">
        <v>141</v>
      </c>
      <c r="E2135" s="3" t="s">
        <v>398</v>
      </c>
      <c r="F2135" s="4">
        <v>60000</v>
      </c>
      <c r="G2135" s="4" t="s">
        <v>167</v>
      </c>
      <c r="H2135" s="22" t="s">
        <v>168</v>
      </c>
      <c r="I2135" s="22">
        <v>60000</v>
      </c>
      <c r="J2135" s="22"/>
      <c r="K2135" s="22">
        <f t="shared" si="24"/>
        <v>60000</v>
      </c>
      <c r="L2135" s="17">
        <v>60000</v>
      </c>
      <c r="M2135" s="23" t="s">
        <v>41</v>
      </c>
      <c r="N2135" s="1" t="s">
        <v>3501</v>
      </c>
      <c r="O2135" s="7" t="s">
        <v>143</v>
      </c>
      <c r="P2135" s="7" t="s">
        <v>32</v>
      </c>
      <c r="Q2135" s="25" t="s">
        <v>3502</v>
      </c>
      <c r="R2135" s="7" t="s">
        <v>3434</v>
      </c>
      <c r="S2135" s="3" t="s">
        <v>3388</v>
      </c>
      <c r="T2135" s="3" t="s">
        <v>3389</v>
      </c>
    </row>
    <row r="2136" spans="1:23" x14ac:dyDescent="0.25">
      <c r="A2136" s="10">
        <v>46155</v>
      </c>
      <c r="B2136" s="2" t="s">
        <v>3500</v>
      </c>
      <c r="C2136" s="2" t="s">
        <v>141</v>
      </c>
      <c r="E2136" s="3" t="s">
        <v>398</v>
      </c>
      <c r="G2136" s="4" t="s">
        <v>98</v>
      </c>
      <c r="H2136" s="22" t="s">
        <v>49</v>
      </c>
      <c r="I2136" s="22"/>
      <c r="J2136" s="22">
        <f>I2135</f>
        <v>60000</v>
      </c>
      <c r="K2136" s="22">
        <f t="shared" si="24"/>
        <v>60000</v>
      </c>
      <c r="L2136" s="17"/>
      <c r="M2136" s="23"/>
      <c r="Q2136" s="25"/>
    </row>
    <row r="2137" spans="1:23" x14ac:dyDescent="0.25">
      <c r="A2137" s="10">
        <v>46155</v>
      </c>
      <c r="B2137" s="2" t="s">
        <v>3503</v>
      </c>
      <c r="E2137" s="3" t="s">
        <v>351</v>
      </c>
      <c r="F2137" s="4">
        <v>100000</v>
      </c>
      <c r="G2137" s="4" t="s">
        <v>167</v>
      </c>
      <c r="H2137" s="22" t="s">
        <v>168</v>
      </c>
      <c r="I2137" s="22">
        <v>100000</v>
      </c>
      <c r="J2137" s="22"/>
      <c r="K2137" s="22">
        <f t="shared" si="24"/>
        <v>100000</v>
      </c>
      <c r="L2137" s="17">
        <v>100000</v>
      </c>
      <c r="M2137" s="23" t="s">
        <v>41</v>
      </c>
      <c r="N2137" s="1" t="s">
        <v>3504</v>
      </c>
      <c r="O2137" s="7" t="s">
        <v>354</v>
      </c>
      <c r="P2137" s="7" t="s">
        <v>32</v>
      </c>
      <c r="Q2137" s="25" t="s">
        <v>3505</v>
      </c>
      <c r="R2137" s="7" t="s">
        <v>3434</v>
      </c>
      <c r="S2137" s="3" t="s">
        <v>3388</v>
      </c>
      <c r="T2137" s="3" t="s">
        <v>3389</v>
      </c>
    </row>
    <row r="2138" spans="1:23" x14ac:dyDescent="0.25">
      <c r="A2138" s="10">
        <v>46155</v>
      </c>
      <c r="B2138" s="2" t="s">
        <v>3503</v>
      </c>
      <c r="E2138" s="3" t="s">
        <v>351</v>
      </c>
      <c r="G2138" s="4" t="s">
        <v>98</v>
      </c>
      <c r="H2138" s="22" t="s">
        <v>49</v>
      </c>
      <c r="I2138" s="22"/>
      <c r="J2138" s="22">
        <f>I2137</f>
        <v>100000</v>
      </c>
      <c r="K2138" s="22">
        <f t="shared" si="24"/>
        <v>100000</v>
      </c>
      <c r="L2138" s="17"/>
      <c r="M2138" s="23"/>
      <c r="Q2138" s="25"/>
    </row>
    <row r="2139" spans="1:23" x14ac:dyDescent="0.25">
      <c r="A2139" s="10">
        <v>46155</v>
      </c>
      <c r="B2139" s="2" t="s">
        <v>3506</v>
      </c>
      <c r="E2139" s="3" t="s">
        <v>398</v>
      </c>
      <c r="F2139" s="4">
        <v>150000</v>
      </c>
      <c r="G2139" s="4" t="s">
        <v>167</v>
      </c>
      <c r="H2139" s="22" t="s">
        <v>168</v>
      </c>
      <c r="I2139" s="22">
        <v>150000</v>
      </c>
      <c r="J2139" s="22"/>
      <c r="K2139" s="22">
        <f t="shared" si="24"/>
        <v>150000</v>
      </c>
      <c r="L2139" s="17">
        <v>150000</v>
      </c>
      <c r="M2139" s="23" t="s">
        <v>41</v>
      </c>
      <c r="N2139" s="1" t="s">
        <v>3507</v>
      </c>
      <c r="O2139" s="7" t="s">
        <v>354</v>
      </c>
      <c r="P2139" s="7" t="s">
        <v>32</v>
      </c>
      <c r="Q2139" s="25" t="s">
        <v>3508</v>
      </c>
      <c r="R2139" s="7" t="s">
        <v>3434</v>
      </c>
      <c r="S2139" s="3" t="s">
        <v>3388</v>
      </c>
      <c r="T2139" s="3" t="s">
        <v>3389</v>
      </c>
    </row>
    <row r="2140" spans="1:23" x14ac:dyDescent="0.25">
      <c r="A2140" s="10">
        <v>46155</v>
      </c>
      <c r="B2140" s="2" t="s">
        <v>3506</v>
      </c>
      <c r="E2140" s="3" t="s">
        <v>398</v>
      </c>
      <c r="G2140" s="4" t="s">
        <v>98</v>
      </c>
      <c r="H2140" s="22" t="s">
        <v>49</v>
      </c>
      <c r="I2140" s="22"/>
      <c r="J2140" s="22">
        <f>I2139</f>
        <v>150000</v>
      </c>
      <c r="K2140" s="22">
        <f t="shared" si="24"/>
        <v>150000</v>
      </c>
      <c r="L2140" s="17"/>
      <c r="M2140" s="23"/>
      <c r="Q2140" s="25"/>
    </row>
    <row r="2141" spans="1:23" ht="24" x14ac:dyDescent="0.25">
      <c r="A2141" s="10">
        <v>46155</v>
      </c>
      <c r="B2141" s="2" t="s">
        <v>3509</v>
      </c>
      <c r="C2141" s="2" t="s">
        <v>141</v>
      </c>
      <c r="E2141" s="3" t="s">
        <v>27</v>
      </c>
      <c r="F2141" s="4">
        <v>56410.02</v>
      </c>
      <c r="G2141" s="4" t="s">
        <v>48</v>
      </c>
      <c r="H2141" s="22" t="s">
        <v>81</v>
      </c>
      <c r="I2141" s="22">
        <v>56410.02</v>
      </c>
      <c r="J2141" s="22"/>
      <c r="K2141" s="22">
        <f t="shared" si="24"/>
        <v>56410.02</v>
      </c>
      <c r="L2141" s="17"/>
      <c r="M2141" s="23" t="s">
        <v>41</v>
      </c>
      <c r="N2141" s="1" t="s">
        <v>3510</v>
      </c>
      <c r="O2141" s="24" t="s">
        <v>3511</v>
      </c>
      <c r="P2141" s="7" t="s">
        <v>777</v>
      </c>
      <c r="R2141" s="7" t="s">
        <v>3434</v>
      </c>
      <c r="S2141" s="3" t="s">
        <v>45</v>
      </c>
      <c r="T2141" s="3" t="s">
        <v>3512</v>
      </c>
    </row>
    <row r="2142" spans="1:23" x14ac:dyDescent="0.25">
      <c r="A2142" s="10">
        <v>46155</v>
      </c>
      <c r="B2142" s="2" t="s">
        <v>3509</v>
      </c>
      <c r="C2142" s="2" t="s">
        <v>141</v>
      </c>
      <c r="E2142" s="3" t="s">
        <v>27</v>
      </c>
      <c r="G2142" s="4" t="s">
        <v>48</v>
      </c>
      <c r="H2142" s="22" t="s">
        <v>3361</v>
      </c>
      <c r="I2142" s="22"/>
      <c r="J2142" s="22">
        <f>I2141</f>
        <v>56410.02</v>
      </c>
      <c r="K2142" s="22">
        <f t="shared" si="24"/>
        <v>56410.02</v>
      </c>
      <c r="L2142" s="17"/>
      <c r="M2142" s="23"/>
      <c r="O2142" s="24"/>
    </row>
    <row r="2143" spans="1:23" ht="36" x14ac:dyDescent="0.25">
      <c r="A2143" s="10">
        <v>46156</v>
      </c>
      <c r="B2143" s="2" t="s">
        <v>3513</v>
      </c>
      <c r="C2143" s="2" t="s">
        <v>95</v>
      </c>
      <c r="D2143" s="2" t="s">
        <v>3514</v>
      </c>
      <c r="E2143" s="3" t="s">
        <v>149</v>
      </c>
      <c r="F2143" s="4">
        <v>15000</v>
      </c>
      <c r="G2143" s="3" t="s">
        <v>1030</v>
      </c>
      <c r="H2143" s="34" t="s">
        <v>78</v>
      </c>
      <c r="I2143" s="22">
        <v>15000</v>
      </c>
      <c r="J2143" s="22"/>
      <c r="K2143" s="22">
        <f t="shared" si="24"/>
        <v>15000</v>
      </c>
      <c r="L2143" s="17">
        <v>15000</v>
      </c>
      <c r="M2143" s="23" t="s">
        <v>41</v>
      </c>
      <c r="N2143" s="1" t="s">
        <v>3515</v>
      </c>
      <c r="O2143" s="60" t="s">
        <v>80</v>
      </c>
      <c r="P2143" s="7" t="s">
        <v>784</v>
      </c>
      <c r="R2143" s="7" t="s">
        <v>3516</v>
      </c>
      <c r="S2143" s="3" t="s">
        <v>1087</v>
      </c>
      <c r="T2143" s="3" t="s">
        <v>1088</v>
      </c>
      <c r="U2143" s="8" t="s">
        <v>3517</v>
      </c>
      <c r="W2143" s="9" t="s">
        <v>3518</v>
      </c>
    </row>
    <row r="2144" spans="1:23" x14ac:dyDescent="0.25">
      <c r="A2144" s="10">
        <v>46156</v>
      </c>
      <c r="B2144" s="2" t="s">
        <v>3513</v>
      </c>
      <c r="C2144" s="2" t="s">
        <v>95</v>
      </c>
      <c r="D2144" s="2" t="s">
        <v>3514</v>
      </c>
      <c r="E2144" s="3" t="s">
        <v>149</v>
      </c>
      <c r="G2144" s="4" t="s">
        <v>48</v>
      </c>
      <c r="H2144" s="34" t="s">
        <v>49</v>
      </c>
      <c r="I2144" s="22"/>
      <c r="J2144" s="22">
        <f>I2143</f>
        <v>15000</v>
      </c>
      <c r="K2144" s="22">
        <f t="shared" si="24"/>
        <v>15000</v>
      </c>
      <c r="L2144" s="32"/>
    </row>
    <row r="2145" spans="1:20" ht="24" x14ac:dyDescent="0.25">
      <c r="A2145" s="10">
        <v>46160</v>
      </c>
      <c r="B2145" s="2" t="s">
        <v>3519</v>
      </c>
      <c r="C2145" s="2" t="s">
        <v>310</v>
      </c>
      <c r="E2145" s="3" t="s">
        <v>27</v>
      </c>
      <c r="F2145" s="4">
        <v>820400</v>
      </c>
      <c r="G2145" s="4" t="s">
        <v>326</v>
      </c>
      <c r="H2145" s="22" t="s">
        <v>731</v>
      </c>
      <c r="I2145" s="22">
        <v>820400</v>
      </c>
      <c r="J2145" s="22"/>
      <c r="K2145" s="22">
        <f t="shared" si="24"/>
        <v>820400</v>
      </c>
      <c r="L2145" s="17">
        <v>820400</v>
      </c>
      <c r="M2145" s="23" t="s">
        <v>41</v>
      </c>
      <c r="N2145" s="1" t="s">
        <v>3520</v>
      </c>
      <c r="O2145" s="7" t="s">
        <v>143</v>
      </c>
      <c r="P2145" s="7" t="s">
        <v>32</v>
      </c>
      <c r="Q2145" s="25" t="s">
        <v>3521</v>
      </c>
      <c r="R2145" s="7" t="s">
        <v>3522</v>
      </c>
      <c r="S2145" s="3" t="s">
        <v>3388</v>
      </c>
      <c r="T2145" s="3" t="s">
        <v>3389</v>
      </c>
    </row>
    <row r="2146" spans="1:20" x14ac:dyDescent="0.25">
      <c r="A2146" s="10">
        <v>46160</v>
      </c>
      <c r="B2146" s="2" t="s">
        <v>3519</v>
      </c>
      <c r="C2146" s="2" t="s">
        <v>310</v>
      </c>
      <c r="E2146" s="3" t="s">
        <v>27</v>
      </c>
      <c r="G2146" s="4" t="s">
        <v>98</v>
      </c>
      <c r="H2146" s="22" t="s">
        <v>3441</v>
      </c>
      <c r="I2146" s="22"/>
      <c r="J2146" s="22">
        <f>I2145</f>
        <v>820400</v>
      </c>
      <c r="K2146" s="22">
        <f t="shared" si="24"/>
        <v>820400</v>
      </c>
      <c r="L2146" s="17"/>
      <c r="M2146" s="23"/>
      <c r="Q2146" s="25"/>
    </row>
    <row r="2147" spans="1:20" ht="36" x14ac:dyDescent="0.25">
      <c r="A2147" s="10">
        <v>46160</v>
      </c>
      <c r="B2147" s="2" t="s">
        <v>3523</v>
      </c>
      <c r="C2147" s="2" t="s">
        <v>141</v>
      </c>
      <c r="E2147" s="3" t="s">
        <v>27</v>
      </c>
      <c r="F2147" s="4">
        <v>258135</v>
      </c>
      <c r="G2147" s="4" t="s">
        <v>48</v>
      </c>
      <c r="H2147" s="22"/>
      <c r="I2147" s="22"/>
      <c r="J2147" s="22"/>
      <c r="K2147" s="22">
        <f t="shared" si="24"/>
        <v>0</v>
      </c>
      <c r="L2147" s="17"/>
      <c r="M2147" s="23" t="s">
        <v>41</v>
      </c>
      <c r="N2147" s="1" t="s">
        <v>3524</v>
      </c>
      <c r="O2147" s="7" t="s">
        <v>143</v>
      </c>
      <c r="P2147" s="7" t="s">
        <v>32</v>
      </c>
      <c r="Q2147" s="25" t="s">
        <v>3525</v>
      </c>
      <c r="R2147" s="7" t="s">
        <v>3522</v>
      </c>
      <c r="S2147" s="3" t="s">
        <v>3388</v>
      </c>
      <c r="T2147" s="3" t="s">
        <v>3389</v>
      </c>
    </row>
    <row r="2148" spans="1:20" ht="48" x14ac:dyDescent="0.25">
      <c r="A2148" s="10">
        <v>46160</v>
      </c>
      <c r="B2148" s="2" t="s">
        <v>3526</v>
      </c>
      <c r="C2148" s="2" t="s">
        <v>141</v>
      </c>
      <c r="E2148" s="3" t="s">
        <v>27</v>
      </c>
      <c r="F2148" s="4">
        <v>911270</v>
      </c>
      <c r="G2148" s="4" t="s">
        <v>48</v>
      </c>
      <c r="H2148" s="22"/>
      <c r="I2148" s="22"/>
      <c r="J2148" s="22"/>
      <c r="K2148" s="22">
        <f t="shared" si="24"/>
        <v>0</v>
      </c>
      <c r="L2148" s="17"/>
      <c r="M2148" s="23" t="s">
        <v>41</v>
      </c>
      <c r="N2148" s="1" t="s">
        <v>3527</v>
      </c>
      <c r="O2148" s="7" t="s">
        <v>143</v>
      </c>
      <c r="P2148" s="7" t="s">
        <v>32</v>
      </c>
      <c r="Q2148" s="25" t="s">
        <v>3528</v>
      </c>
      <c r="R2148" s="7" t="s">
        <v>3522</v>
      </c>
      <c r="S2148" s="3" t="s">
        <v>3388</v>
      </c>
      <c r="T2148" s="3" t="s">
        <v>3389</v>
      </c>
    </row>
    <row r="2149" spans="1:20" ht="24" x14ac:dyDescent="0.25">
      <c r="A2149" s="10">
        <v>46160</v>
      </c>
      <c r="B2149" s="2" t="s">
        <v>3529</v>
      </c>
      <c r="C2149" s="2" t="s">
        <v>141</v>
      </c>
      <c r="E2149" s="3" t="s">
        <v>398</v>
      </c>
      <c r="F2149" s="4">
        <v>10000</v>
      </c>
      <c r="G2149" s="4" t="s">
        <v>167</v>
      </c>
      <c r="H2149" s="22" t="s">
        <v>81</v>
      </c>
      <c r="I2149" s="22">
        <v>10000</v>
      </c>
      <c r="J2149" s="22"/>
      <c r="K2149" s="22">
        <f t="shared" si="24"/>
        <v>10000</v>
      </c>
      <c r="L2149" s="17">
        <v>10000</v>
      </c>
      <c r="M2149" s="23" t="s">
        <v>41</v>
      </c>
      <c r="N2149" s="1" t="s">
        <v>3530</v>
      </c>
      <c r="O2149" s="7" t="s">
        <v>143</v>
      </c>
      <c r="P2149" s="7" t="s">
        <v>32</v>
      </c>
      <c r="Q2149" s="25" t="s">
        <v>3531</v>
      </c>
      <c r="R2149" s="7" t="s">
        <v>3522</v>
      </c>
      <c r="S2149" s="3" t="s">
        <v>3388</v>
      </c>
      <c r="T2149" s="3" t="s">
        <v>3389</v>
      </c>
    </row>
    <row r="2150" spans="1:20" x14ac:dyDescent="0.25">
      <c r="A2150" s="10">
        <v>46160</v>
      </c>
      <c r="B2150" s="2" t="s">
        <v>3529</v>
      </c>
      <c r="C2150" s="2" t="s">
        <v>141</v>
      </c>
      <c r="E2150" s="3" t="s">
        <v>398</v>
      </c>
      <c r="G2150" s="4" t="s">
        <v>98</v>
      </c>
      <c r="H2150" s="22" t="s">
        <v>3441</v>
      </c>
      <c r="I2150" s="22"/>
      <c r="J2150" s="22">
        <f>I2149</f>
        <v>10000</v>
      </c>
      <c r="K2150" s="22">
        <f t="shared" si="24"/>
        <v>10000</v>
      </c>
      <c r="L2150" s="17"/>
      <c r="M2150" s="23"/>
      <c r="Q2150" s="25"/>
    </row>
    <row r="2151" spans="1:20" ht="36" x14ac:dyDescent="0.25">
      <c r="A2151" s="10">
        <v>46160</v>
      </c>
      <c r="B2151" s="2" t="s">
        <v>3532</v>
      </c>
      <c r="C2151" s="2" t="s">
        <v>141</v>
      </c>
      <c r="E2151" s="3" t="s">
        <v>27</v>
      </c>
      <c r="F2151" s="4">
        <v>31835</v>
      </c>
      <c r="G2151" s="4" t="s">
        <v>48</v>
      </c>
      <c r="H2151" s="22"/>
      <c r="I2151" s="22"/>
      <c r="J2151" s="22"/>
      <c r="K2151" s="22">
        <f t="shared" si="24"/>
        <v>0</v>
      </c>
      <c r="L2151" s="17"/>
      <c r="M2151" s="23" t="s">
        <v>41</v>
      </c>
      <c r="N2151" s="1" t="s">
        <v>3533</v>
      </c>
      <c r="O2151" s="7" t="s">
        <v>143</v>
      </c>
      <c r="P2151" s="7" t="s">
        <v>32</v>
      </c>
      <c r="Q2151" s="25" t="s">
        <v>3534</v>
      </c>
      <c r="R2151" s="7" t="s">
        <v>3522</v>
      </c>
      <c r="S2151" s="3" t="s">
        <v>3388</v>
      </c>
      <c r="T2151" s="3" t="s">
        <v>3389</v>
      </c>
    </row>
    <row r="2152" spans="1:20" ht="24" x14ac:dyDescent="0.25">
      <c r="A2152" s="10">
        <v>46160</v>
      </c>
      <c r="B2152" s="2" t="s">
        <v>3535</v>
      </c>
      <c r="C2152" s="2" t="s">
        <v>141</v>
      </c>
      <c r="E2152" s="3" t="s">
        <v>27</v>
      </c>
      <c r="F2152" s="4">
        <v>66500</v>
      </c>
      <c r="G2152" s="4" t="s">
        <v>48</v>
      </c>
      <c r="H2152" s="22"/>
      <c r="I2152" s="22"/>
      <c r="J2152" s="22"/>
      <c r="K2152" s="22">
        <f t="shared" si="24"/>
        <v>0</v>
      </c>
      <c r="L2152" s="17"/>
      <c r="M2152" s="23" t="s">
        <v>41</v>
      </c>
      <c r="N2152" s="1" t="s">
        <v>3536</v>
      </c>
      <c r="O2152" s="7" t="s">
        <v>635</v>
      </c>
      <c r="P2152" s="7" t="s">
        <v>32</v>
      </c>
      <c r="Q2152" s="25" t="s">
        <v>3537</v>
      </c>
      <c r="R2152" s="7" t="s">
        <v>3522</v>
      </c>
      <c r="S2152" s="3" t="s">
        <v>3388</v>
      </c>
      <c r="T2152" s="3" t="s">
        <v>3389</v>
      </c>
    </row>
    <row r="2153" spans="1:20" ht="48" x14ac:dyDescent="0.25">
      <c r="A2153" s="10">
        <v>46160</v>
      </c>
      <c r="B2153" s="2" t="s">
        <v>3538</v>
      </c>
      <c r="C2153" s="2" t="s">
        <v>147</v>
      </c>
      <c r="D2153" s="2" t="s">
        <v>3539</v>
      </c>
      <c r="E2153" s="3" t="s">
        <v>2874</v>
      </c>
      <c r="F2153" s="4">
        <f>4500+10000+10000</f>
        <v>24500</v>
      </c>
      <c r="G2153" s="4" t="s">
        <v>1030</v>
      </c>
      <c r="H2153" s="22" t="s">
        <v>78</v>
      </c>
      <c r="I2153" s="22">
        <v>24500</v>
      </c>
      <c r="J2153" s="22"/>
      <c r="K2153" s="22">
        <f t="shared" si="24"/>
        <v>24500</v>
      </c>
      <c r="L2153" s="17">
        <v>24500</v>
      </c>
      <c r="M2153" s="23" t="s">
        <v>41</v>
      </c>
      <c r="N2153" s="1" t="s">
        <v>3540</v>
      </c>
      <c r="O2153" s="7" t="s">
        <v>3541</v>
      </c>
      <c r="P2153" s="7" t="s">
        <v>81</v>
      </c>
      <c r="R2153" s="7" t="s">
        <v>3522</v>
      </c>
      <c r="S2153" s="3" t="s">
        <v>83</v>
      </c>
      <c r="T2153" s="3" t="s">
        <v>3542</v>
      </c>
    </row>
    <row r="2154" spans="1:20" x14ac:dyDescent="0.25">
      <c r="A2154" s="10">
        <v>46160</v>
      </c>
      <c r="B2154" s="2" t="s">
        <v>3538</v>
      </c>
      <c r="C2154" s="2" t="s">
        <v>147</v>
      </c>
      <c r="D2154" s="2" t="s">
        <v>3539</v>
      </c>
      <c r="E2154" s="3" t="s">
        <v>2874</v>
      </c>
      <c r="G2154" s="4" t="s">
        <v>48</v>
      </c>
      <c r="H2154" s="22" t="s">
        <v>81</v>
      </c>
      <c r="I2154" s="22"/>
      <c r="J2154" s="22">
        <f>I2153</f>
        <v>24500</v>
      </c>
      <c r="K2154" s="22">
        <f t="shared" si="24"/>
        <v>24500</v>
      </c>
      <c r="L2154" s="17"/>
    </row>
    <row r="2155" spans="1:20" ht="24" x14ac:dyDescent="0.25">
      <c r="A2155" s="10">
        <v>46160</v>
      </c>
      <c r="B2155" s="2" t="s">
        <v>3543</v>
      </c>
      <c r="C2155" s="2" t="s">
        <v>95</v>
      </c>
      <c r="D2155" s="2" t="s">
        <v>3544</v>
      </c>
      <c r="E2155" s="3" t="s">
        <v>76</v>
      </c>
      <c r="F2155" s="4">
        <f>10000+2000</f>
        <v>12000</v>
      </c>
      <c r="G2155" s="4" t="s">
        <v>1030</v>
      </c>
      <c r="H2155" s="22" t="s">
        <v>78</v>
      </c>
      <c r="I2155" s="22">
        <v>12000</v>
      </c>
      <c r="J2155" s="22"/>
      <c r="K2155" s="22">
        <f t="shared" si="24"/>
        <v>12000</v>
      </c>
      <c r="L2155" s="17">
        <v>12000</v>
      </c>
      <c r="M2155" s="23" t="s">
        <v>41</v>
      </c>
      <c r="N2155" s="1" t="s">
        <v>3545</v>
      </c>
      <c r="O2155" s="7" t="s">
        <v>3541</v>
      </c>
      <c r="P2155" s="7" t="s">
        <v>81</v>
      </c>
      <c r="R2155" s="7" t="s">
        <v>3522</v>
      </c>
      <c r="S2155" s="3" t="s">
        <v>83</v>
      </c>
      <c r="T2155" s="3" t="s">
        <v>3542</v>
      </c>
    </row>
    <row r="2156" spans="1:20" x14ac:dyDescent="0.25">
      <c r="A2156" s="10">
        <v>46160</v>
      </c>
      <c r="B2156" s="2" t="s">
        <v>3543</v>
      </c>
      <c r="C2156" s="2" t="s">
        <v>95</v>
      </c>
      <c r="D2156" s="2" t="s">
        <v>3544</v>
      </c>
      <c r="E2156" s="3" t="s">
        <v>76</v>
      </c>
      <c r="G2156" s="4" t="s">
        <v>48</v>
      </c>
      <c r="H2156" s="22" t="s">
        <v>81</v>
      </c>
      <c r="I2156" s="22"/>
      <c r="J2156" s="22">
        <f>I2155</f>
        <v>12000</v>
      </c>
      <c r="K2156" s="22">
        <f t="shared" si="24"/>
        <v>12000</v>
      </c>
      <c r="L2156" s="17"/>
      <c r="M2156" s="23"/>
    </row>
    <row r="2157" spans="1:20" x14ac:dyDescent="0.25">
      <c r="A2157" s="10">
        <v>46160</v>
      </c>
      <c r="B2157" s="2" t="s">
        <v>3546</v>
      </c>
      <c r="C2157" s="2" t="s">
        <v>95</v>
      </c>
      <c r="D2157" s="2" t="s">
        <v>3393</v>
      </c>
      <c r="E2157" s="3" t="s">
        <v>575</v>
      </c>
      <c r="F2157" s="4">
        <f>(12000/1.12)+(12000/1.12*0.12)-(12000/1.12*0.01)</f>
        <v>11892.857142857143</v>
      </c>
      <c r="G2157" s="4" t="s">
        <v>3547</v>
      </c>
      <c r="H2157" s="22" t="s">
        <v>809</v>
      </c>
      <c r="I2157" s="22">
        <f>12000/1.12</f>
        <v>10714.285714285714</v>
      </c>
      <c r="J2157" s="22"/>
      <c r="K2157" s="22">
        <f t="shared" si="24"/>
        <v>10714.285714285714</v>
      </c>
      <c r="L2157" s="17"/>
      <c r="M2157" s="6" t="s">
        <v>581</v>
      </c>
      <c r="N2157" s="1" t="s">
        <v>3548</v>
      </c>
    </row>
    <row r="2158" spans="1:20" x14ac:dyDescent="0.25">
      <c r="A2158" s="10">
        <v>46160</v>
      </c>
      <c r="B2158" s="2" t="s">
        <v>3546</v>
      </c>
      <c r="C2158" s="2" t="s">
        <v>95</v>
      </c>
      <c r="D2158" s="2" t="s">
        <v>3393</v>
      </c>
      <c r="E2158" s="3" t="s">
        <v>575</v>
      </c>
      <c r="G2158" s="4" t="s">
        <v>3547</v>
      </c>
      <c r="H2158" s="22" t="s">
        <v>281</v>
      </c>
      <c r="I2158" s="22">
        <f>I2157*0.12</f>
        <v>1285.7142857142856</v>
      </c>
      <c r="J2158" s="22"/>
      <c r="K2158" s="22">
        <f t="shared" si="24"/>
        <v>1285.7142857142856</v>
      </c>
      <c r="L2158" s="17"/>
    </row>
    <row r="2159" spans="1:20" x14ac:dyDescent="0.25">
      <c r="A2159" s="10">
        <v>46160</v>
      </c>
      <c r="B2159" s="2" t="s">
        <v>3546</v>
      </c>
      <c r="C2159" s="2" t="s">
        <v>95</v>
      </c>
      <c r="D2159" s="2" t="s">
        <v>3393</v>
      </c>
      <c r="E2159" s="3" t="s">
        <v>575</v>
      </c>
      <c r="G2159" s="4" t="s">
        <v>3547</v>
      </c>
      <c r="H2159" s="22" t="s">
        <v>282</v>
      </c>
      <c r="I2159" s="22"/>
      <c r="J2159" s="22">
        <f>I2157*0.01</f>
        <v>107.14285714285714</v>
      </c>
      <c r="K2159" s="22">
        <f t="shared" si="24"/>
        <v>107.14285714285714</v>
      </c>
      <c r="L2159" s="17"/>
    </row>
    <row r="2160" spans="1:20" x14ac:dyDescent="0.25">
      <c r="A2160" s="10">
        <v>46160</v>
      </c>
      <c r="B2160" s="2" t="s">
        <v>3546</v>
      </c>
      <c r="C2160" s="2" t="s">
        <v>95</v>
      </c>
      <c r="D2160" s="2" t="s">
        <v>3393</v>
      </c>
      <c r="E2160" s="3" t="s">
        <v>575</v>
      </c>
      <c r="G2160" s="4" t="s">
        <v>48</v>
      </c>
      <c r="H2160" s="22" t="s">
        <v>49</v>
      </c>
      <c r="I2160" s="22"/>
      <c r="J2160" s="22">
        <f>I2157+I2158-J2159</f>
        <v>11892.857142857143</v>
      </c>
      <c r="K2160" s="22">
        <f t="shared" si="24"/>
        <v>11892.857142857143</v>
      </c>
      <c r="L2160" s="17"/>
    </row>
    <row r="2161" spans="1:20" ht="24" x14ac:dyDescent="0.25">
      <c r="A2161" s="10">
        <v>46160</v>
      </c>
      <c r="B2161" s="2" t="s">
        <v>3549</v>
      </c>
      <c r="C2161" s="2" t="s">
        <v>95</v>
      </c>
      <c r="D2161" s="2" t="s">
        <v>3550</v>
      </c>
      <c r="E2161" s="3" t="s">
        <v>2874</v>
      </c>
      <c r="F2161" s="4">
        <v>2500</v>
      </c>
      <c r="G2161" s="4" t="s">
        <v>1030</v>
      </c>
      <c r="H2161" s="22" t="s">
        <v>78</v>
      </c>
      <c r="I2161" s="22">
        <v>2500</v>
      </c>
      <c r="J2161" s="22"/>
      <c r="K2161" s="22">
        <f t="shared" si="24"/>
        <v>2500</v>
      </c>
      <c r="L2161" s="17">
        <v>2500</v>
      </c>
      <c r="M2161" s="23" t="s">
        <v>41</v>
      </c>
      <c r="N2161" s="1" t="s">
        <v>3551</v>
      </c>
      <c r="O2161" s="7" t="s">
        <v>3552</v>
      </c>
      <c r="P2161" s="7" t="s">
        <v>81</v>
      </c>
      <c r="R2161" s="7" t="s">
        <v>3553</v>
      </c>
      <c r="S2161" s="3" t="s">
        <v>83</v>
      </c>
      <c r="T2161" s="3" t="s">
        <v>3554</v>
      </c>
    </row>
    <row r="2162" spans="1:20" x14ac:dyDescent="0.25">
      <c r="A2162" s="10">
        <v>46160</v>
      </c>
      <c r="B2162" s="2" t="s">
        <v>3549</v>
      </c>
      <c r="C2162" s="2" t="s">
        <v>95</v>
      </c>
      <c r="D2162" s="2" t="s">
        <v>3550</v>
      </c>
      <c r="E2162" s="3" t="s">
        <v>2874</v>
      </c>
      <c r="G2162" s="4" t="s">
        <v>48</v>
      </c>
      <c r="H2162" s="22" t="s">
        <v>49</v>
      </c>
      <c r="I2162" s="22"/>
      <c r="J2162" s="22">
        <f>I2161</f>
        <v>2500</v>
      </c>
      <c r="K2162" s="22">
        <f t="shared" si="24"/>
        <v>2500</v>
      </c>
      <c r="L2162" s="17"/>
    </row>
    <row r="2163" spans="1:20" ht="24" x14ac:dyDescent="0.25">
      <c r="A2163" s="10">
        <v>46160</v>
      </c>
      <c r="B2163" s="2" t="s">
        <v>3555</v>
      </c>
      <c r="C2163" s="2" t="s">
        <v>470</v>
      </c>
      <c r="D2163" s="2" t="s">
        <v>3556</v>
      </c>
      <c r="E2163" s="3" t="s">
        <v>261</v>
      </c>
      <c r="F2163" s="4">
        <v>4759.8</v>
      </c>
      <c r="G2163" s="4" t="s">
        <v>48</v>
      </c>
      <c r="H2163" s="22" t="s">
        <v>1953</v>
      </c>
      <c r="I2163" s="22">
        <v>56.28</v>
      </c>
      <c r="J2163" s="22"/>
      <c r="K2163" s="22">
        <f t="shared" si="24"/>
        <v>56.28</v>
      </c>
      <c r="L2163" s="17">
        <v>4761.8</v>
      </c>
      <c r="M2163" s="23" t="s">
        <v>41</v>
      </c>
      <c r="N2163" s="1" t="s">
        <v>3557</v>
      </c>
      <c r="O2163" s="7" t="s">
        <v>3558</v>
      </c>
      <c r="P2163" s="7" t="s">
        <v>81</v>
      </c>
      <c r="R2163" s="7" t="s">
        <v>3559</v>
      </c>
      <c r="S2163" s="3" t="s">
        <v>83</v>
      </c>
    </row>
    <row r="2164" spans="1:20" x14ac:dyDescent="0.25">
      <c r="A2164" s="10">
        <v>46160</v>
      </c>
      <c r="B2164" s="2" t="s">
        <v>3555</v>
      </c>
      <c r="C2164" s="2" t="s">
        <v>470</v>
      </c>
      <c r="D2164" s="2" t="s">
        <v>3556</v>
      </c>
      <c r="E2164" s="3" t="s">
        <v>261</v>
      </c>
      <c r="G2164" s="4" t="s">
        <v>48</v>
      </c>
      <c r="H2164" s="22" t="s">
        <v>786</v>
      </c>
      <c r="I2164" s="22">
        <v>1530.6</v>
      </c>
      <c r="J2164" s="22"/>
      <c r="K2164" s="22">
        <f t="shared" si="24"/>
        <v>1530.6</v>
      </c>
      <c r="L2164" s="17"/>
    </row>
    <row r="2165" spans="1:20" x14ac:dyDescent="0.25">
      <c r="A2165" s="10">
        <v>46160</v>
      </c>
      <c r="B2165" s="2" t="s">
        <v>3555</v>
      </c>
      <c r="C2165" s="2" t="s">
        <v>470</v>
      </c>
      <c r="D2165" s="2" t="s">
        <v>3556</v>
      </c>
      <c r="E2165" s="3" t="s">
        <v>261</v>
      </c>
      <c r="G2165" s="4" t="s">
        <v>48</v>
      </c>
      <c r="H2165" s="22" t="s">
        <v>899</v>
      </c>
      <c r="I2165" s="22">
        <v>1964.29</v>
      </c>
      <c r="J2165" s="22"/>
      <c r="K2165" s="22">
        <f t="shared" si="24"/>
        <v>1964.29</v>
      </c>
      <c r="L2165" s="17"/>
    </row>
    <row r="2166" spans="1:20" x14ac:dyDescent="0.25">
      <c r="A2166" s="10">
        <v>46160</v>
      </c>
      <c r="B2166" s="2" t="s">
        <v>3555</v>
      </c>
      <c r="C2166" s="2" t="s">
        <v>470</v>
      </c>
      <c r="D2166" s="2" t="s">
        <v>3556</v>
      </c>
      <c r="E2166" s="3" t="s">
        <v>261</v>
      </c>
      <c r="G2166" s="4" t="s">
        <v>48</v>
      </c>
      <c r="H2166" s="22" t="s">
        <v>238</v>
      </c>
      <c r="I2166" s="22">
        <v>56.25</v>
      </c>
      <c r="J2166" s="22"/>
      <c r="K2166" s="22">
        <f t="shared" si="24"/>
        <v>56.25</v>
      </c>
      <c r="L2166" s="17"/>
    </row>
    <row r="2167" spans="1:20" x14ac:dyDescent="0.25">
      <c r="A2167" s="10">
        <v>46160</v>
      </c>
      <c r="B2167" s="2" t="s">
        <v>3555</v>
      </c>
      <c r="C2167" s="2" t="s">
        <v>470</v>
      </c>
      <c r="D2167" s="2" t="s">
        <v>3556</v>
      </c>
      <c r="E2167" s="3" t="s">
        <v>261</v>
      </c>
      <c r="G2167" s="4" t="s">
        <v>48</v>
      </c>
      <c r="H2167" s="22" t="s">
        <v>809</v>
      </c>
      <c r="I2167" s="22">
        <v>690</v>
      </c>
      <c r="J2167" s="22"/>
      <c r="K2167" s="22">
        <f t="shared" si="24"/>
        <v>690</v>
      </c>
      <c r="L2167" s="17"/>
    </row>
    <row r="2168" spans="1:20" x14ac:dyDescent="0.25">
      <c r="A2168" s="10">
        <v>46160</v>
      </c>
      <c r="B2168" s="2" t="s">
        <v>3555</v>
      </c>
      <c r="C2168" s="2" t="s">
        <v>470</v>
      </c>
      <c r="D2168" s="2" t="s">
        <v>3556</v>
      </c>
      <c r="E2168" s="3" t="s">
        <v>261</v>
      </c>
      <c r="G2168" s="4" t="s">
        <v>167</v>
      </c>
      <c r="H2168" s="22" t="s">
        <v>168</v>
      </c>
      <c r="I2168" s="22">
        <v>32</v>
      </c>
      <c r="J2168" s="22"/>
      <c r="K2168" s="22">
        <f t="shared" si="24"/>
        <v>32</v>
      </c>
      <c r="L2168" s="17"/>
    </row>
    <row r="2169" spans="1:20" x14ac:dyDescent="0.25">
      <c r="A2169" s="10">
        <v>46160</v>
      </c>
      <c r="B2169" s="2" t="s">
        <v>3555</v>
      </c>
      <c r="C2169" s="2" t="s">
        <v>470</v>
      </c>
      <c r="D2169" s="2" t="s">
        <v>3556</v>
      </c>
      <c r="E2169" s="3" t="s">
        <v>261</v>
      </c>
      <c r="G2169" s="4" t="s">
        <v>48</v>
      </c>
      <c r="H2169" s="22" t="s">
        <v>1187</v>
      </c>
      <c r="I2169" s="22">
        <v>432.38</v>
      </c>
      <c r="J2169" s="22"/>
      <c r="K2169" s="22">
        <f t="shared" si="24"/>
        <v>432.38</v>
      </c>
      <c r="L2169" s="17"/>
    </row>
    <row r="2170" spans="1:20" x14ac:dyDescent="0.25">
      <c r="A2170" s="10">
        <v>46160</v>
      </c>
      <c r="B2170" s="2" t="s">
        <v>3555</v>
      </c>
      <c r="C2170" s="2" t="s">
        <v>470</v>
      </c>
      <c r="D2170" s="2" t="s">
        <v>3556</v>
      </c>
      <c r="E2170" s="3" t="s">
        <v>261</v>
      </c>
      <c r="G2170" s="4" t="s">
        <v>48</v>
      </c>
      <c r="H2170" s="22" t="s">
        <v>49</v>
      </c>
      <c r="I2170" s="22"/>
      <c r="J2170" s="22">
        <f>SUM(I2163:I2169)</f>
        <v>4761.8</v>
      </c>
      <c r="K2170" s="22">
        <f t="shared" si="24"/>
        <v>4761.8</v>
      </c>
      <c r="L2170" s="17"/>
    </row>
    <row r="2171" spans="1:20" ht="24" x14ac:dyDescent="0.25">
      <c r="A2171" s="10">
        <v>46160</v>
      </c>
      <c r="B2171" s="2" t="s">
        <v>3560</v>
      </c>
      <c r="C2171" s="2" t="s">
        <v>2402</v>
      </c>
      <c r="D2171" s="2" t="s">
        <v>3561</v>
      </c>
      <c r="E2171" s="3" t="s">
        <v>3562</v>
      </c>
      <c r="F2171" s="4">
        <f>420000*0.1</f>
        <v>42000</v>
      </c>
      <c r="G2171" s="4" t="s">
        <v>3563</v>
      </c>
      <c r="H2171" s="22"/>
      <c r="I2171" s="22"/>
      <c r="J2171" s="22"/>
      <c r="K2171" s="22">
        <f t="shared" si="24"/>
        <v>0</v>
      </c>
      <c r="L2171" s="17"/>
      <c r="M2171" s="6" t="s">
        <v>581</v>
      </c>
      <c r="N2171" s="1" t="s">
        <v>3564</v>
      </c>
    </row>
    <row r="2172" spans="1:20" ht="24" x14ac:dyDescent="0.25">
      <c r="A2172" s="10">
        <v>46160</v>
      </c>
      <c r="B2172" s="2" t="s">
        <v>3565</v>
      </c>
      <c r="C2172" s="2" t="s">
        <v>3566</v>
      </c>
      <c r="D2172" s="2" t="s">
        <v>3567</v>
      </c>
      <c r="E2172" s="3" t="s">
        <v>3562</v>
      </c>
      <c r="F2172" s="4">
        <f>150000-22500-15000-2678.57</f>
        <v>109821.43</v>
      </c>
      <c r="G2172" s="4" t="s">
        <v>3563</v>
      </c>
      <c r="H2172" s="22"/>
      <c r="I2172" s="22"/>
      <c r="J2172" s="22"/>
      <c r="K2172" s="22">
        <f t="shared" si="24"/>
        <v>0</v>
      </c>
      <c r="L2172" s="17"/>
      <c r="M2172" s="6" t="s">
        <v>581</v>
      </c>
      <c r="N2172" s="1" t="s">
        <v>3568</v>
      </c>
    </row>
    <row r="2173" spans="1:20" ht="24" x14ac:dyDescent="0.25">
      <c r="A2173" s="10">
        <v>46160</v>
      </c>
      <c r="B2173" s="2" t="s">
        <v>3569</v>
      </c>
      <c r="C2173" s="2" t="s">
        <v>2402</v>
      </c>
      <c r="D2173" s="2" t="s">
        <v>3567</v>
      </c>
      <c r="E2173" s="3" t="s">
        <v>3562</v>
      </c>
      <c r="F2173" s="4">
        <f>3000000*0.1</f>
        <v>300000</v>
      </c>
      <c r="G2173" s="4" t="s">
        <v>3563</v>
      </c>
      <c r="H2173" s="22"/>
      <c r="I2173" s="22"/>
      <c r="J2173" s="22"/>
      <c r="K2173" s="22">
        <f t="shared" si="24"/>
        <v>0</v>
      </c>
      <c r="L2173" s="17"/>
      <c r="M2173" s="6" t="s">
        <v>581</v>
      </c>
      <c r="N2173" s="1" t="s">
        <v>3570</v>
      </c>
    </row>
    <row r="2174" spans="1:20" x14ac:dyDescent="0.25">
      <c r="A2174" s="10">
        <v>46161</v>
      </c>
      <c r="B2174" s="2" t="s">
        <v>3571</v>
      </c>
      <c r="C2174" s="2" t="s">
        <v>310</v>
      </c>
      <c r="E2174" s="3" t="s">
        <v>27</v>
      </c>
      <c r="F2174" s="4">
        <v>150000</v>
      </c>
      <c r="G2174" s="4" t="s">
        <v>326</v>
      </c>
      <c r="H2174" s="22" t="s">
        <v>731</v>
      </c>
      <c r="I2174" s="22">
        <v>150000</v>
      </c>
      <c r="J2174" s="22"/>
      <c r="K2174" s="22">
        <f t="shared" si="24"/>
        <v>150000</v>
      </c>
      <c r="L2174" s="17">
        <v>150000</v>
      </c>
      <c r="M2174" s="23" t="s">
        <v>41</v>
      </c>
      <c r="N2174" s="1" t="s">
        <v>3572</v>
      </c>
      <c r="O2174" s="7" t="s">
        <v>313</v>
      </c>
      <c r="P2174" s="7" t="s">
        <v>32</v>
      </c>
      <c r="Q2174" s="25" t="s">
        <v>3573</v>
      </c>
      <c r="R2174" s="7" t="s">
        <v>3434</v>
      </c>
      <c r="S2174" s="3" t="s">
        <v>3388</v>
      </c>
      <c r="T2174" s="3" t="s">
        <v>3389</v>
      </c>
    </row>
    <row r="2175" spans="1:20" x14ac:dyDescent="0.25">
      <c r="A2175" s="10">
        <v>46161</v>
      </c>
      <c r="B2175" s="2" t="s">
        <v>3571</v>
      </c>
      <c r="C2175" s="2" t="s">
        <v>310</v>
      </c>
      <c r="E2175" s="3" t="s">
        <v>27</v>
      </c>
      <c r="G2175" s="4" t="s">
        <v>98</v>
      </c>
      <c r="H2175" s="22" t="s">
        <v>3441</v>
      </c>
      <c r="I2175" s="22"/>
      <c r="J2175" s="22">
        <f>I2174</f>
        <v>150000</v>
      </c>
      <c r="K2175" s="22">
        <f t="shared" si="24"/>
        <v>150000</v>
      </c>
      <c r="L2175" s="17"/>
      <c r="M2175" s="23"/>
      <c r="Q2175" s="25"/>
    </row>
    <row r="2176" spans="1:20" ht="36" x14ac:dyDescent="0.25">
      <c r="A2176" s="10">
        <v>46161</v>
      </c>
      <c r="B2176" s="2" t="s">
        <v>3574</v>
      </c>
      <c r="C2176" s="2" t="s">
        <v>141</v>
      </c>
      <c r="E2176" s="3" t="s">
        <v>27</v>
      </c>
      <c r="F2176" s="4">
        <v>35000</v>
      </c>
      <c r="G2176" s="4" t="s">
        <v>48</v>
      </c>
      <c r="H2176" s="22"/>
      <c r="I2176" s="22"/>
      <c r="J2176" s="22"/>
      <c r="K2176" s="22">
        <f t="shared" si="24"/>
        <v>0</v>
      </c>
      <c r="L2176" s="17"/>
      <c r="M2176" s="6" t="s">
        <v>41</v>
      </c>
      <c r="N2176" s="1" t="s">
        <v>3575</v>
      </c>
      <c r="O2176" s="7" t="s">
        <v>143</v>
      </c>
      <c r="P2176" s="7" t="s">
        <v>32</v>
      </c>
      <c r="Q2176" s="25" t="s">
        <v>3576</v>
      </c>
      <c r="R2176" s="7" t="s">
        <v>3577</v>
      </c>
      <c r="S2176" s="3" t="s">
        <v>3388</v>
      </c>
      <c r="T2176" s="3" t="s">
        <v>3389</v>
      </c>
    </row>
    <row r="2177" spans="1:23" x14ac:dyDescent="0.25">
      <c r="A2177" s="10">
        <v>46161</v>
      </c>
      <c r="B2177" s="2" t="s">
        <v>3578</v>
      </c>
      <c r="C2177" s="2" t="s">
        <v>141</v>
      </c>
      <c r="E2177" s="3" t="s">
        <v>351</v>
      </c>
      <c r="F2177" s="4">
        <v>50000</v>
      </c>
      <c r="G2177" s="4" t="s">
        <v>167</v>
      </c>
      <c r="H2177" s="22"/>
      <c r="I2177" s="22"/>
      <c r="J2177" s="22"/>
      <c r="K2177" s="22">
        <f t="shared" si="24"/>
        <v>0</v>
      </c>
      <c r="L2177" s="17"/>
      <c r="M2177" s="6" t="s">
        <v>41</v>
      </c>
      <c r="N2177" s="1" t="s">
        <v>670</v>
      </c>
      <c r="O2177" s="7" t="s">
        <v>143</v>
      </c>
      <c r="P2177" s="7" t="s">
        <v>32</v>
      </c>
      <c r="Q2177" s="25" t="s">
        <v>3579</v>
      </c>
      <c r="R2177" s="7" t="s">
        <v>3577</v>
      </c>
      <c r="S2177" s="3" t="s">
        <v>3388</v>
      </c>
      <c r="T2177" s="3" t="s">
        <v>3389</v>
      </c>
    </row>
    <row r="2178" spans="1:23" ht="24" x14ac:dyDescent="0.25">
      <c r="A2178" s="10">
        <v>46161</v>
      </c>
      <c r="B2178" s="2" t="s">
        <v>3580</v>
      </c>
      <c r="C2178" s="2" t="s">
        <v>310</v>
      </c>
      <c r="E2178" s="3" t="s">
        <v>27</v>
      </c>
      <c r="F2178" s="4">
        <v>59000</v>
      </c>
      <c r="G2178" s="4" t="s">
        <v>48</v>
      </c>
      <c r="H2178" s="22" t="s">
        <v>3361</v>
      </c>
      <c r="I2178" s="22">
        <v>59000</v>
      </c>
      <c r="J2178" s="22"/>
      <c r="K2178" s="22">
        <f t="shared" si="24"/>
        <v>59000</v>
      </c>
      <c r="L2178" s="17">
        <v>59000</v>
      </c>
      <c r="M2178" s="23" t="s">
        <v>41</v>
      </c>
      <c r="N2178" s="1" t="s">
        <v>3581</v>
      </c>
      <c r="O2178" s="7" t="s">
        <v>3582</v>
      </c>
      <c r="R2178" s="7" t="s">
        <v>3577</v>
      </c>
      <c r="T2178" s="3" t="s">
        <v>3360</v>
      </c>
    </row>
    <row r="2179" spans="1:23" x14ac:dyDescent="0.25">
      <c r="A2179" s="10">
        <v>46161</v>
      </c>
      <c r="B2179" s="2" t="s">
        <v>3580</v>
      </c>
      <c r="C2179" s="2" t="s">
        <v>310</v>
      </c>
      <c r="E2179" s="3" t="s">
        <v>27</v>
      </c>
      <c r="G2179" s="4" t="s">
        <v>326</v>
      </c>
      <c r="H2179" s="22" t="s">
        <v>3583</v>
      </c>
      <c r="I2179" s="22"/>
      <c r="J2179" s="22">
        <f>I2178</f>
        <v>59000</v>
      </c>
      <c r="K2179" s="22">
        <f t="shared" si="24"/>
        <v>59000</v>
      </c>
      <c r="L2179" s="17"/>
      <c r="M2179" s="23"/>
    </row>
    <row r="2180" spans="1:23" ht="24" x14ac:dyDescent="0.25">
      <c r="A2180" s="10">
        <v>46161</v>
      </c>
      <c r="B2180" s="2" t="s">
        <v>3584</v>
      </c>
      <c r="C2180" s="2" t="s">
        <v>310</v>
      </c>
      <c r="E2180" s="3" t="s">
        <v>27</v>
      </c>
      <c r="F2180" s="4">
        <v>370000</v>
      </c>
      <c r="G2180" s="4" t="s">
        <v>48</v>
      </c>
      <c r="H2180" s="22" t="s">
        <v>3361</v>
      </c>
      <c r="I2180" s="22">
        <v>370000</v>
      </c>
      <c r="J2180" s="22"/>
      <c r="K2180" s="22">
        <f t="shared" si="24"/>
        <v>370000</v>
      </c>
      <c r="L2180" s="17">
        <v>370000</v>
      </c>
      <c r="M2180" s="23" t="s">
        <v>41</v>
      </c>
      <c r="N2180" s="1" t="s">
        <v>3585</v>
      </c>
      <c r="O2180" s="7" t="s">
        <v>3582</v>
      </c>
      <c r="R2180" s="7" t="s">
        <v>3577</v>
      </c>
      <c r="T2180" s="3" t="s">
        <v>3360</v>
      </c>
    </row>
    <row r="2181" spans="1:23" x14ac:dyDescent="0.25">
      <c r="A2181" s="10">
        <v>46161</v>
      </c>
      <c r="B2181" s="2" t="s">
        <v>3584</v>
      </c>
      <c r="C2181" s="2" t="s">
        <v>310</v>
      </c>
      <c r="E2181" s="3" t="s">
        <v>27</v>
      </c>
      <c r="G2181" s="4" t="s">
        <v>326</v>
      </c>
      <c r="H2181" s="22" t="s">
        <v>3583</v>
      </c>
      <c r="I2181" s="22"/>
      <c r="J2181" s="22">
        <f>I2180</f>
        <v>370000</v>
      </c>
      <c r="K2181" s="22">
        <f t="shared" si="24"/>
        <v>370000</v>
      </c>
      <c r="L2181" s="17"/>
      <c r="M2181" s="23"/>
    </row>
    <row r="2182" spans="1:23" ht="24" x14ac:dyDescent="0.25">
      <c r="A2182" s="10">
        <v>46161</v>
      </c>
      <c r="B2182" s="2" t="s">
        <v>3586</v>
      </c>
      <c r="C2182" s="2" t="s">
        <v>310</v>
      </c>
      <c r="E2182" s="3" t="s">
        <v>27</v>
      </c>
      <c r="F2182" s="4">
        <v>17000</v>
      </c>
      <c r="G2182" s="4" t="s">
        <v>48</v>
      </c>
      <c r="H2182" s="22" t="s">
        <v>3361</v>
      </c>
      <c r="I2182" s="22">
        <v>17000</v>
      </c>
      <c r="J2182" s="22"/>
      <c r="K2182" s="22">
        <f t="shared" si="24"/>
        <v>17000</v>
      </c>
      <c r="L2182" s="17">
        <v>17000</v>
      </c>
      <c r="M2182" s="23" t="s">
        <v>41</v>
      </c>
      <c r="N2182" s="1" t="s">
        <v>3587</v>
      </c>
      <c r="O2182" s="7" t="s">
        <v>3582</v>
      </c>
      <c r="R2182" s="7" t="s">
        <v>3577</v>
      </c>
      <c r="T2182" s="3" t="s">
        <v>3360</v>
      </c>
    </row>
    <row r="2183" spans="1:23" x14ac:dyDescent="0.25">
      <c r="A2183" s="10">
        <v>46161</v>
      </c>
      <c r="B2183" s="2" t="s">
        <v>3586</v>
      </c>
      <c r="C2183" s="2" t="s">
        <v>310</v>
      </c>
      <c r="E2183" s="3" t="s">
        <v>27</v>
      </c>
      <c r="G2183" s="4" t="s">
        <v>326</v>
      </c>
      <c r="H2183" s="22" t="s">
        <v>3583</v>
      </c>
      <c r="I2183" s="22"/>
      <c r="J2183" s="22">
        <f>I2182</f>
        <v>17000</v>
      </c>
      <c r="K2183" s="22">
        <f t="shared" si="24"/>
        <v>17000</v>
      </c>
      <c r="L2183" s="17"/>
      <c r="M2183" s="23"/>
    </row>
    <row r="2184" spans="1:23" ht="24" x14ac:dyDescent="0.25">
      <c r="A2184" s="10">
        <v>46161</v>
      </c>
      <c r="B2184" s="2" t="s">
        <v>3588</v>
      </c>
      <c r="C2184" s="2" t="s">
        <v>134</v>
      </c>
      <c r="D2184" s="2" t="s">
        <v>3589</v>
      </c>
      <c r="E2184" s="3" t="s">
        <v>3590</v>
      </c>
      <c r="F2184" s="4">
        <v>5000</v>
      </c>
      <c r="G2184" s="4" t="s">
        <v>48</v>
      </c>
      <c r="H2184" s="22" t="s">
        <v>137</v>
      </c>
      <c r="I2184" s="22">
        <v>5000</v>
      </c>
      <c r="J2184" s="22"/>
      <c r="K2184" s="22">
        <f t="shared" si="24"/>
        <v>5000</v>
      </c>
      <c r="L2184" s="17">
        <v>5000</v>
      </c>
      <c r="M2184" s="23" t="s">
        <v>41</v>
      </c>
      <c r="N2184" s="1" t="s">
        <v>3591</v>
      </c>
      <c r="O2184" s="24" t="s">
        <v>3592</v>
      </c>
      <c r="P2184" s="7" t="s">
        <v>81</v>
      </c>
      <c r="R2184" s="7" t="s">
        <v>3577</v>
      </c>
      <c r="S2184" s="3" t="s">
        <v>83</v>
      </c>
      <c r="T2184" s="3" t="s">
        <v>3593</v>
      </c>
      <c r="W2184" s="9" t="s">
        <v>3594</v>
      </c>
    </row>
    <row r="2185" spans="1:23" x14ac:dyDescent="0.25">
      <c r="A2185" s="10">
        <v>46161</v>
      </c>
      <c r="B2185" s="2" t="s">
        <v>3588</v>
      </c>
      <c r="C2185" s="2" t="s">
        <v>134</v>
      </c>
      <c r="D2185" s="2" t="s">
        <v>3589</v>
      </c>
      <c r="E2185" s="3" t="s">
        <v>3590</v>
      </c>
      <c r="G2185" s="4" t="s">
        <v>48</v>
      </c>
      <c r="H2185" s="22" t="s">
        <v>49</v>
      </c>
      <c r="I2185" s="22"/>
      <c r="J2185" s="22">
        <f>I2184</f>
        <v>5000</v>
      </c>
      <c r="K2185" s="22">
        <f t="shared" si="24"/>
        <v>5000</v>
      </c>
      <c r="L2185" s="17"/>
      <c r="M2185" s="23"/>
    </row>
    <row r="2186" spans="1:23" ht="24" x14ac:dyDescent="0.25">
      <c r="A2186" s="10">
        <v>46161</v>
      </c>
      <c r="B2186" s="2" t="s">
        <v>3595</v>
      </c>
      <c r="C2186" s="2" t="s">
        <v>134</v>
      </c>
      <c r="D2186" s="2" t="s">
        <v>3596</v>
      </c>
      <c r="E2186" s="3" t="s">
        <v>2144</v>
      </c>
      <c r="F2186" s="4">
        <v>15000</v>
      </c>
      <c r="G2186" s="4" t="s">
        <v>48</v>
      </c>
      <c r="H2186" s="22" t="s">
        <v>137</v>
      </c>
      <c r="I2186" s="22">
        <v>15000</v>
      </c>
      <c r="J2186" s="22"/>
      <c r="K2186" s="22">
        <f t="shared" si="24"/>
        <v>15000</v>
      </c>
      <c r="L2186" s="17">
        <v>15000</v>
      </c>
      <c r="M2186" s="23" t="s">
        <v>41</v>
      </c>
      <c r="N2186" s="1" t="s">
        <v>3591</v>
      </c>
      <c r="O2186" s="24" t="s">
        <v>3592</v>
      </c>
      <c r="P2186" s="7" t="s">
        <v>81</v>
      </c>
      <c r="R2186" s="7" t="s">
        <v>3577</v>
      </c>
      <c r="S2186" s="3" t="s">
        <v>83</v>
      </c>
      <c r="T2186" s="3" t="s">
        <v>3593</v>
      </c>
      <c r="W2186" s="9" t="s">
        <v>3594</v>
      </c>
    </row>
    <row r="2187" spans="1:23" x14ac:dyDescent="0.25">
      <c r="A2187" s="10">
        <v>46161</v>
      </c>
      <c r="B2187" s="2" t="s">
        <v>3595</v>
      </c>
      <c r="C2187" s="2" t="s">
        <v>134</v>
      </c>
      <c r="D2187" s="2" t="s">
        <v>3596</v>
      </c>
      <c r="E2187" s="3" t="s">
        <v>2144</v>
      </c>
      <c r="G2187" s="4" t="s">
        <v>48</v>
      </c>
      <c r="H2187" s="22" t="s">
        <v>49</v>
      </c>
      <c r="I2187" s="22"/>
      <c r="J2187" s="22">
        <f>I2186</f>
        <v>15000</v>
      </c>
      <c r="K2187" s="22">
        <f t="shared" si="24"/>
        <v>15000</v>
      </c>
      <c r="L2187" s="17"/>
      <c r="M2187" s="23"/>
      <c r="O2187" s="24"/>
    </row>
    <row r="2188" spans="1:23" ht="24" x14ac:dyDescent="0.25">
      <c r="A2188" s="10">
        <v>46161</v>
      </c>
      <c r="B2188" s="2" t="s">
        <v>3597</v>
      </c>
      <c r="C2188" s="2" t="s">
        <v>134</v>
      </c>
      <c r="D2188" s="2" t="s">
        <v>3598</v>
      </c>
      <c r="E2188" s="3" t="s">
        <v>3599</v>
      </c>
      <c r="F2188" s="4">
        <v>5000</v>
      </c>
      <c r="G2188" s="4" t="s">
        <v>48</v>
      </c>
      <c r="H2188" s="22" t="s">
        <v>137</v>
      </c>
      <c r="I2188" s="22">
        <v>5000</v>
      </c>
      <c r="J2188" s="22"/>
      <c r="K2188" s="22">
        <f t="shared" si="24"/>
        <v>5000</v>
      </c>
      <c r="L2188" s="17">
        <v>5000</v>
      </c>
      <c r="M2188" s="23" t="s">
        <v>41</v>
      </c>
      <c r="N2188" s="1" t="s">
        <v>3591</v>
      </c>
      <c r="O2188" s="24" t="s">
        <v>3592</v>
      </c>
      <c r="P2188" s="7" t="s">
        <v>81</v>
      </c>
      <c r="R2188" s="7" t="s">
        <v>3577</v>
      </c>
      <c r="S2188" s="3" t="s">
        <v>83</v>
      </c>
      <c r="T2188" s="3" t="s">
        <v>3593</v>
      </c>
      <c r="W2188" s="9" t="s">
        <v>3594</v>
      </c>
    </row>
    <row r="2189" spans="1:23" x14ac:dyDescent="0.25">
      <c r="A2189" s="10">
        <v>46161</v>
      </c>
      <c r="B2189" s="2" t="s">
        <v>3597</v>
      </c>
      <c r="C2189" s="2" t="s">
        <v>134</v>
      </c>
      <c r="D2189" s="2" t="s">
        <v>3598</v>
      </c>
      <c r="E2189" s="3" t="s">
        <v>3599</v>
      </c>
      <c r="G2189" s="4" t="s">
        <v>48</v>
      </c>
      <c r="H2189" s="22" t="s">
        <v>49</v>
      </c>
      <c r="I2189" s="22"/>
      <c r="J2189" s="22">
        <f>I2188</f>
        <v>5000</v>
      </c>
      <c r="K2189" s="22">
        <f t="shared" si="24"/>
        <v>5000</v>
      </c>
      <c r="L2189" s="17"/>
      <c r="M2189" s="23"/>
      <c r="O2189" s="24"/>
    </row>
    <row r="2190" spans="1:23" ht="24" x14ac:dyDescent="0.25">
      <c r="A2190" s="10">
        <v>46161</v>
      </c>
      <c r="B2190" s="2" t="s">
        <v>3600</v>
      </c>
      <c r="C2190" s="2" t="s">
        <v>134</v>
      </c>
      <c r="D2190" s="2" t="s">
        <v>3601</v>
      </c>
      <c r="E2190" s="3" t="s">
        <v>1431</v>
      </c>
      <c r="F2190" s="4">
        <v>3000</v>
      </c>
      <c r="G2190" s="4" t="s">
        <v>48</v>
      </c>
      <c r="H2190" s="22" t="s">
        <v>137</v>
      </c>
      <c r="I2190" s="22">
        <v>3000</v>
      </c>
      <c r="J2190" s="22"/>
      <c r="K2190" s="22">
        <f t="shared" si="24"/>
        <v>3000</v>
      </c>
      <c r="L2190" s="17">
        <v>3000</v>
      </c>
      <c r="M2190" s="23" t="s">
        <v>41</v>
      </c>
      <c r="N2190" s="1" t="s">
        <v>3591</v>
      </c>
      <c r="O2190" s="24" t="s">
        <v>3592</v>
      </c>
      <c r="P2190" s="7" t="s">
        <v>81</v>
      </c>
      <c r="R2190" s="7" t="s">
        <v>3577</v>
      </c>
      <c r="S2190" s="3" t="s">
        <v>83</v>
      </c>
      <c r="T2190" s="3" t="s">
        <v>3593</v>
      </c>
      <c r="W2190" s="9" t="s">
        <v>3594</v>
      </c>
    </row>
    <row r="2191" spans="1:23" x14ac:dyDescent="0.25">
      <c r="A2191" s="10">
        <v>46161</v>
      </c>
      <c r="B2191" s="2" t="s">
        <v>3600</v>
      </c>
      <c r="C2191" s="2" t="s">
        <v>134</v>
      </c>
      <c r="D2191" s="2" t="s">
        <v>3601</v>
      </c>
      <c r="E2191" s="3" t="s">
        <v>1431</v>
      </c>
      <c r="G2191" s="4" t="s">
        <v>48</v>
      </c>
      <c r="H2191" s="22" t="s">
        <v>49</v>
      </c>
      <c r="I2191" s="22"/>
      <c r="J2191" s="22">
        <f>I2190</f>
        <v>3000</v>
      </c>
      <c r="K2191" s="22">
        <f t="shared" si="24"/>
        <v>3000</v>
      </c>
      <c r="L2191" s="17"/>
    </row>
    <row r="2192" spans="1:23" ht="24" x14ac:dyDescent="0.25">
      <c r="A2192" s="10">
        <v>46161</v>
      </c>
      <c r="B2192" s="2" t="s">
        <v>3602</v>
      </c>
      <c r="C2192" s="2" t="s">
        <v>134</v>
      </c>
      <c r="D2192" s="2" t="s">
        <v>3603</v>
      </c>
      <c r="E2192" s="3" t="s">
        <v>3604</v>
      </c>
      <c r="F2192" s="4">
        <v>5000</v>
      </c>
      <c r="G2192" s="4" t="s">
        <v>48</v>
      </c>
      <c r="H2192" s="22" t="s">
        <v>137</v>
      </c>
      <c r="I2192" s="22">
        <v>5000</v>
      </c>
      <c r="J2192" s="22"/>
      <c r="K2192" s="22">
        <f t="shared" si="24"/>
        <v>5000</v>
      </c>
      <c r="L2192" s="17">
        <v>5000</v>
      </c>
      <c r="M2192" s="23" t="s">
        <v>41</v>
      </c>
      <c r="N2192" s="1" t="s">
        <v>3591</v>
      </c>
      <c r="O2192" s="24" t="s">
        <v>3592</v>
      </c>
      <c r="P2192" s="7" t="s">
        <v>81</v>
      </c>
      <c r="R2192" s="7" t="s">
        <v>3577</v>
      </c>
      <c r="S2192" s="3" t="s">
        <v>83</v>
      </c>
      <c r="T2192" s="3" t="s">
        <v>3593</v>
      </c>
      <c r="W2192" s="9" t="s">
        <v>3594</v>
      </c>
    </row>
    <row r="2193" spans="1:23" x14ac:dyDescent="0.25">
      <c r="A2193" s="10">
        <v>46161</v>
      </c>
      <c r="B2193" s="2" t="s">
        <v>3602</v>
      </c>
      <c r="C2193" s="2" t="s">
        <v>134</v>
      </c>
      <c r="D2193" s="2" t="s">
        <v>3603</v>
      </c>
      <c r="E2193" s="3" t="s">
        <v>3604</v>
      </c>
      <c r="G2193" s="4" t="s">
        <v>48</v>
      </c>
      <c r="H2193" s="22" t="s">
        <v>49</v>
      </c>
      <c r="I2193" s="22"/>
      <c r="J2193" s="22">
        <f>I2192</f>
        <v>5000</v>
      </c>
      <c r="K2193" s="22">
        <f t="shared" si="24"/>
        <v>5000</v>
      </c>
      <c r="L2193" s="17"/>
    </row>
    <row r="2194" spans="1:23" ht="24" x14ac:dyDescent="0.25">
      <c r="A2194" s="10">
        <v>46161</v>
      </c>
      <c r="B2194" s="2" t="s">
        <v>3605</v>
      </c>
      <c r="C2194" s="2" t="s">
        <v>134</v>
      </c>
      <c r="D2194" s="2" t="s">
        <v>3606</v>
      </c>
      <c r="E2194" s="3" t="s">
        <v>1572</v>
      </c>
      <c r="F2194" s="4">
        <v>2000</v>
      </c>
      <c r="G2194" s="4" t="s">
        <v>48</v>
      </c>
      <c r="H2194" s="22" t="s">
        <v>137</v>
      </c>
      <c r="I2194" s="22">
        <v>2000</v>
      </c>
      <c r="J2194" s="22"/>
      <c r="K2194" s="22">
        <f t="shared" si="24"/>
        <v>2000</v>
      </c>
      <c r="L2194" s="17">
        <v>2000</v>
      </c>
      <c r="M2194" s="23" t="s">
        <v>41</v>
      </c>
      <c r="N2194" s="1" t="s">
        <v>3591</v>
      </c>
      <c r="O2194" s="24" t="s">
        <v>3592</v>
      </c>
      <c r="P2194" s="7" t="s">
        <v>81</v>
      </c>
      <c r="R2194" s="7" t="s">
        <v>3577</v>
      </c>
      <c r="S2194" s="3" t="s">
        <v>83</v>
      </c>
      <c r="T2194" s="3" t="s">
        <v>3593</v>
      </c>
      <c r="W2194" s="9" t="s">
        <v>3594</v>
      </c>
    </row>
    <row r="2195" spans="1:23" x14ac:dyDescent="0.25">
      <c r="A2195" s="10">
        <v>46161</v>
      </c>
      <c r="B2195" s="2" t="s">
        <v>3605</v>
      </c>
      <c r="C2195" s="2" t="s">
        <v>134</v>
      </c>
      <c r="D2195" s="2" t="s">
        <v>3606</v>
      </c>
      <c r="E2195" s="3" t="s">
        <v>1572</v>
      </c>
      <c r="G2195" s="4" t="s">
        <v>48</v>
      </c>
      <c r="H2195" s="22" t="s">
        <v>49</v>
      </c>
      <c r="I2195" s="22"/>
      <c r="J2195" s="22">
        <f>I2194</f>
        <v>2000</v>
      </c>
      <c r="K2195" s="22">
        <f t="shared" si="24"/>
        <v>2000</v>
      </c>
      <c r="L2195" s="17"/>
    </row>
    <row r="2196" spans="1:23" ht="24" x14ac:dyDescent="0.25">
      <c r="A2196" s="10">
        <v>46161</v>
      </c>
      <c r="B2196" s="2" t="s">
        <v>3607</v>
      </c>
      <c r="C2196" s="2">
        <v>927404116</v>
      </c>
      <c r="D2196" s="2" t="s">
        <v>3608</v>
      </c>
      <c r="E2196" s="3" t="s">
        <v>1319</v>
      </c>
      <c r="F2196" s="4">
        <f>9596+7</f>
        <v>9603</v>
      </c>
      <c r="G2196" s="4" t="s">
        <v>48</v>
      </c>
      <c r="H2196" s="22" t="s">
        <v>1320</v>
      </c>
      <c r="I2196" s="22">
        <v>9596</v>
      </c>
      <c r="J2196" s="22"/>
      <c r="K2196" s="22">
        <f t="shared" si="24"/>
        <v>9596</v>
      </c>
      <c r="L2196" s="17"/>
      <c r="M2196" s="26" t="s">
        <v>581</v>
      </c>
      <c r="N2196" s="1" t="s">
        <v>3609</v>
      </c>
      <c r="O2196" s="24"/>
    </row>
    <row r="2197" spans="1:23" x14ac:dyDescent="0.25">
      <c r="A2197" s="10">
        <v>46161</v>
      </c>
      <c r="B2197" s="2" t="s">
        <v>3607</v>
      </c>
      <c r="C2197" s="2">
        <v>927404116</v>
      </c>
      <c r="D2197" s="2" t="s">
        <v>3608</v>
      </c>
      <c r="E2197" s="3" t="s">
        <v>1319</v>
      </c>
      <c r="G2197" s="4" t="s">
        <v>48</v>
      </c>
      <c r="H2197" s="22" t="s">
        <v>47</v>
      </c>
      <c r="I2197" s="22">
        <v>7</v>
      </c>
      <c r="J2197" s="22"/>
      <c r="K2197" s="22">
        <f t="shared" si="24"/>
        <v>7</v>
      </c>
      <c r="L2197" s="17"/>
      <c r="M2197" s="26"/>
    </row>
    <row r="2198" spans="1:23" x14ac:dyDescent="0.25">
      <c r="A2198" s="10">
        <v>46161</v>
      </c>
      <c r="B2198" s="2" t="s">
        <v>3607</v>
      </c>
      <c r="C2198" s="2">
        <v>927404116</v>
      </c>
      <c r="D2198" s="2" t="s">
        <v>3608</v>
      </c>
      <c r="E2198" s="3" t="s">
        <v>1319</v>
      </c>
      <c r="G2198" s="4" t="s">
        <v>48</v>
      </c>
      <c r="H2198" s="22" t="s">
        <v>49</v>
      </c>
      <c r="I2198" s="22"/>
      <c r="J2198" s="22">
        <f>I2196+I2197</f>
        <v>9603</v>
      </c>
      <c r="K2198" s="22">
        <f t="shared" si="24"/>
        <v>9603</v>
      </c>
      <c r="L2198" s="17"/>
      <c r="M2198" s="26"/>
    </row>
    <row r="2199" spans="1:23" ht="24" x14ac:dyDescent="0.25">
      <c r="A2199" s="10">
        <v>46161</v>
      </c>
      <c r="B2199" s="2" t="s">
        <v>3610</v>
      </c>
      <c r="C2199" s="2">
        <v>929950485</v>
      </c>
      <c r="D2199" s="2" t="s">
        <v>3608</v>
      </c>
      <c r="E2199" s="3" t="s">
        <v>1319</v>
      </c>
      <c r="F2199" s="4">
        <f>2549+20+7</f>
        <v>2576</v>
      </c>
      <c r="G2199" s="3" t="s">
        <v>110</v>
      </c>
      <c r="H2199" s="22" t="s">
        <v>1320</v>
      </c>
      <c r="I2199" s="22">
        <v>2549</v>
      </c>
      <c r="J2199" s="22"/>
      <c r="K2199" s="22">
        <f t="shared" si="24"/>
        <v>2549</v>
      </c>
      <c r="L2199" s="17"/>
      <c r="M2199" s="23" t="s">
        <v>41</v>
      </c>
      <c r="N2199" s="1" t="s">
        <v>3611</v>
      </c>
      <c r="O2199" s="7" t="s">
        <v>1322</v>
      </c>
      <c r="P2199" s="7" t="s">
        <v>1323</v>
      </c>
      <c r="R2199" s="7" t="s">
        <v>3612</v>
      </c>
      <c r="S2199" s="3" t="s">
        <v>83</v>
      </c>
    </row>
    <row r="2200" spans="1:23" x14ac:dyDescent="0.25">
      <c r="A2200" s="10">
        <v>46161</v>
      </c>
      <c r="B2200" s="2" t="s">
        <v>3610</v>
      </c>
      <c r="C2200" s="2">
        <v>929950485</v>
      </c>
      <c r="D2200" s="2" t="s">
        <v>3608</v>
      </c>
      <c r="E2200" s="3" t="s">
        <v>1319</v>
      </c>
      <c r="G2200" s="3" t="s">
        <v>110</v>
      </c>
      <c r="H2200" s="22" t="s">
        <v>47</v>
      </c>
      <c r="I2200" s="22">
        <v>27</v>
      </c>
      <c r="J2200" s="22"/>
      <c r="K2200" s="22">
        <f t="shared" si="24"/>
        <v>27</v>
      </c>
      <c r="L2200" s="17"/>
      <c r="M2200" s="26"/>
    </row>
    <row r="2201" spans="1:23" x14ac:dyDescent="0.25">
      <c r="A2201" s="10">
        <v>46161</v>
      </c>
      <c r="B2201" s="2" t="s">
        <v>3610</v>
      </c>
      <c r="C2201" s="2">
        <v>929950485</v>
      </c>
      <c r="D2201" s="2" t="s">
        <v>3608</v>
      </c>
      <c r="E2201" s="3" t="s">
        <v>1319</v>
      </c>
      <c r="G2201" s="4" t="s">
        <v>48</v>
      </c>
      <c r="H2201" s="22" t="s">
        <v>49</v>
      </c>
      <c r="I2201" s="22"/>
      <c r="J2201" s="22">
        <f>I2199+I2200</f>
        <v>2576</v>
      </c>
      <c r="K2201" s="22">
        <f t="shared" si="24"/>
        <v>2576</v>
      </c>
      <c r="L2201" s="17"/>
      <c r="M2201" s="26"/>
    </row>
    <row r="2202" spans="1:23" ht="24" x14ac:dyDescent="0.25">
      <c r="A2202" s="10">
        <v>46162</v>
      </c>
      <c r="B2202" s="2" t="s">
        <v>3613</v>
      </c>
      <c r="C2202" s="2" t="s">
        <v>95</v>
      </c>
      <c r="D2202" s="2" t="s">
        <v>3614</v>
      </c>
      <c r="E2202" s="3" t="s">
        <v>76</v>
      </c>
      <c r="F2202" s="4">
        <f>2400+3950+3950</f>
        <v>10300</v>
      </c>
      <c r="G2202" s="4" t="s">
        <v>77</v>
      </c>
      <c r="H2202" s="34" t="s">
        <v>78</v>
      </c>
      <c r="I2202" s="22">
        <v>10300</v>
      </c>
      <c r="J2202" s="22"/>
      <c r="K2202" s="22">
        <f t="shared" si="24"/>
        <v>10300</v>
      </c>
      <c r="L2202" s="17"/>
      <c r="M2202" s="26" t="s">
        <v>581</v>
      </c>
      <c r="N2202" s="1" t="s">
        <v>3615</v>
      </c>
    </row>
    <row r="2203" spans="1:23" x14ac:dyDescent="0.25">
      <c r="A2203" s="10">
        <v>46162</v>
      </c>
      <c r="B2203" s="2" t="s">
        <v>3613</v>
      </c>
      <c r="C2203" s="2" t="s">
        <v>95</v>
      </c>
      <c r="D2203" s="2" t="s">
        <v>3614</v>
      </c>
      <c r="E2203" s="3" t="s">
        <v>76</v>
      </c>
      <c r="G2203" s="4" t="s">
        <v>48</v>
      </c>
      <c r="H2203" s="34" t="s">
        <v>49</v>
      </c>
      <c r="I2203" s="22"/>
      <c r="J2203" s="22">
        <f>I2202</f>
        <v>10300</v>
      </c>
      <c r="K2203" s="22">
        <f t="shared" si="24"/>
        <v>10300</v>
      </c>
      <c r="L2203" s="17"/>
      <c r="M2203" s="26"/>
    </row>
    <row r="2204" spans="1:23" ht="24" x14ac:dyDescent="0.25">
      <c r="A2204" s="10">
        <v>46162</v>
      </c>
      <c r="B2204" s="2" t="s">
        <v>3616</v>
      </c>
      <c r="C2204" s="2" t="s">
        <v>95</v>
      </c>
      <c r="D2204" s="2" t="s">
        <v>3617</v>
      </c>
      <c r="E2204" s="3" t="s">
        <v>76</v>
      </c>
      <c r="F2204" s="4">
        <f>3950+3950</f>
        <v>7900</v>
      </c>
      <c r="G2204" s="4" t="s">
        <v>77</v>
      </c>
      <c r="H2204" s="34" t="s">
        <v>78</v>
      </c>
      <c r="I2204" s="22">
        <v>7900</v>
      </c>
      <c r="J2204" s="22"/>
      <c r="K2204" s="22">
        <f t="shared" si="24"/>
        <v>7900</v>
      </c>
      <c r="L2204" s="17">
        <v>7900</v>
      </c>
      <c r="M2204" s="23" t="s">
        <v>41</v>
      </c>
      <c r="N2204" s="1" t="s">
        <v>3618</v>
      </c>
      <c r="O2204" s="28" t="s">
        <v>80</v>
      </c>
      <c r="P2204" s="7" t="s">
        <v>81</v>
      </c>
      <c r="R2204" s="7" t="s">
        <v>3619</v>
      </c>
      <c r="S2204" s="3" t="s">
        <v>83</v>
      </c>
      <c r="T2204" s="3" t="s">
        <v>3620</v>
      </c>
      <c r="W2204" s="7" t="s">
        <v>3621</v>
      </c>
    </row>
    <row r="2205" spans="1:23" x14ac:dyDescent="0.25">
      <c r="A2205" s="10">
        <v>46162</v>
      </c>
      <c r="B2205" s="2" t="s">
        <v>3616</v>
      </c>
      <c r="C2205" s="2" t="s">
        <v>95</v>
      </c>
      <c r="D2205" s="2" t="s">
        <v>3617</v>
      </c>
      <c r="E2205" s="3" t="s">
        <v>76</v>
      </c>
      <c r="G2205" s="4" t="s">
        <v>48</v>
      </c>
      <c r="H2205" s="34" t="s">
        <v>49</v>
      </c>
      <c r="I2205" s="22"/>
      <c r="J2205" s="22">
        <f>I2204</f>
        <v>7900</v>
      </c>
      <c r="K2205" s="22">
        <f t="shared" si="24"/>
        <v>7900</v>
      </c>
      <c r="L2205" s="17"/>
      <c r="M2205" s="26"/>
    </row>
    <row r="2206" spans="1:23" ht="24" x14ac:dyDescent="0.25">
      <c r="A2206" s="10">
        <v>46162</v>
      </c>
      <c r="B2206" s="2" t="s">
        <v>3622</v>
      </c>
      <c r="C2206" s="2" t="s">
        <v>141</v>
      </c>
      <c r="E2206" s="3" t="s">
        <v>27</v>
      </c>
      <c r="F2206" s="4">
        <v>19425</v>
      </c>
      <c r="G2206" s="4" t="s">
        <v>48</v>
      </c>
      <c r="H2206" s="22" t="s">
        <v>81</v>
      </c>
      <c r="I2206" s="22">
        <v>19425</v>
      </c>
      <c r="J2206" s="22"/>
      <c r="K2206" s="22">
        <f t="shared" si="24"/>
        <v>19425</v>
      </c>
      <c r="L2206" s="17">
        <v>19425</v>
      </c>
      <c r="M2206" s="23" t="s">
        <v>41</v>
      </c>
      <c r="N2206" s="1" t="s">
        <v>3623</v>
      </c>
      <c r="O2206" s="7" t="s">
        <v>143</v>
      </c>
      <c r="P2206" s="7" t="s">
        <v>32</v>
      </c>
      <c r="Q2206" s="25" t="s">
        <v>3624</v>
      </c>
      <c r="R2206" s="7" t="s">
        <v>3553</v>
      </c>
      <c r="S2206" s="3" t="s">
        <v>3388</v>
      </c>
      <c r="T2206" s="3" t="s">
        <v>3389</v>
      </c>
    </row>
    <row r="2207" spans="1:23" x14ac:dyDescent="0.25">
      <c r="A2207" s="10">
        <v>46162</v>
      </c>
      <c r="B2207" s="2" t="s">
        <v>3622</v>
      </c>
      <c r="C2207" s="2" t="s">
        <v>141</v>
      </c>
      <c r="E2207" s="3" t="s">
        <v>27</v>
      </c>
      <c r="G2207" s="4" t="s">
        <v>3625</v>
      </c>
      <c r="H2207" s="22" t="s">
        <v>3441</v>
      </c>
      <c r="I2207" s="22"/>
      <c r="J2207" s="22">
        <f>I2206</f>
        <v>19425</v>
      </c>
      <c r="K2207" s="22">
        <f t="shared" si="24"/>
        <v>19425</v>
      </c>
      <c r="L2207" s="17"/>
      <c r="Q2207" s="25"/>
    </row>
    <row r="2208" spans="1:23" ht="24" x14ac:dyDescent="0.25">
      <c r="A2208" s="10">
        <v>46162</v>
      </c>
      <c r="B2208" s="2" t="s">
        <v>3626</v>
      </c>
      <c r="C2208" s="2" t="s">
        <v>310</v>
      </c>
      <c r="E2208" s="3" t="s">
        <v>27</v>
      </c>
      <c r="F2208" s="4">
        <v>232700</v>
      </c>
      <c r="G2208" s="4" t="s">
        <v>326</v>
      </c>
      <c r="H2208" s="22" t="s">
        <v>731</v>
      </c>
      <c r="I2208" s="22">
        <v>232700</v>
      </c>
      <c r="J2208" s="22"/>
      <c r="K2208" s="22">
        <f t="shared" si="24"/>
        <v>232700</v>
      </c>
      <c r="L2208" s="17">
        <v>232700</v>
      </c>
      <c r="M2208" s="23" t="s">
        <v>41</v>
      </c>
      <c r="N2208" s="1" t="s">
        <v>3627</v>
      </c>
      <c r="O2208" s="24" t="s">
        <v>3628</v>
      </c>
      <c r="P2208" s="7" t="s">
        <v>32</v>
      </c>
      <c r="Q2208" s="25" t="s">
        <v>3629</v>
      </c>
      <c r="R2208" s="7" t="s">
        <v>3553</v>
      </c>
      <c r="S2208" s="3" t="s">
        <v>3388</v>
      </c>
      <c r="T2208" s="3" t="s">
        <v>3389</v>
      </c>
    </row>
    <row r="2209" spans="1:20" x14ac:dyDescent="0.25">
      <c r="A2209" s="10">
        <v>46162</v>
      </c>
      <c r="B2209" s="2" t="s">
        <v>3626</v>
      </c>
      <c r="C2209" s="2" t="s">
        <v>310</v>
      </c>
      <c r="E2209" s="3" t="s">
        <v>27</v>
      </c>
      <c r="G2209" s="4" t="s">
        <v>3625</v>
      </c>
      <c r="H2209" s="22" t="s">
        <v>3441</v>
      </c>
      <c r="I2209" s="22"/>
      <c r="J2209" s="22">
        <f>I2208</f>
        <v>232700</v>
      </c>
      <c r="K2209" s="22">
        <f t="shared" si="24"/>
        <v>232700</v>
      </c>
      <c r="L2209" s="17"/>
      <c r="O2209" s="24"/>
      <c r="Q2209" s="25"/>
    </row>
    <row r="2210" spans="1:20" ht="24" x14ac:dyDescent="0.25">
      <c r="A2210" s="10">
        <v>46162</v>
      </c>
      <c r="B2210" s="2" t="s">
        <v>3630</v>
      </c>
      <c r="C2210" s="2" t="s">
        <v>95</v>
      </c>
      <c r="D2210" s="2" t="s">
        <v>3631</v>
      </c>
      <c r="E2210" s="3" t="s">
        <v>3066</v>
      </c>
      <c r="F2210" s="4">
        <f>1110+925</f>
        <v>2035</v>
      </c>
      <c r="G2210" s="3" t="s">
        <v>1030</v>
      </c>
      <c r="H2210" s="34" t="s">
        <v>78</v>
      </c>
      <c r="I2210" s="22">
        <v>2035</v>
      </c>
      <c r="J2210" s="22"/>
      <c r="K2210" s="22">
        <f t="shared" si="24"/>
        <v>2035</v>
      </c>
      <c r="L2210" s="32"/>
      <c r="M2210" s="23" t="s">
        <v>41</v>
      </c>
      <c r="N2210" s="1" t="s">
        <v>3632</v>
      </c>
    </row>
    <row r="2211" spans="1:20" x14ac:dyDescent="0.25">
      <c r="A2211" s="10">
        <v>46162</v>
      </c>
      <c r="B2211" s="2" t="s">
        <v>3630</v>
      </c>
      <c r="C2211" s="2" t="s">
        <v>95</v>
      </c>
      <c r="D2211" s="2" t="s">
        <v>3631</v>
      </c>
      <c r="E2211" s="3" t="s">
        <v>3066</v>
      </c>
      <c r="G2211" s="4" t="s">
        <v>48</v>
      </c>
      <c r="H2211" s="34" t="s">
        <v>49</v>
      </c>
      <c r="I2211" s="22"/>
      <c r="J2211" s="22">
        <f>I2210</f>
        <v>2035</v>
      </c>
      <c r="K2211" s="22">
        <f t="shared" si="24"/>
        <v>2035</v>
      </c>
      <c r="L2211" s="32"/>
    </row>
    <row r="2212" spans="1:20" ht="24" x14ac:dyDescent="0.25">
      <c r="A2212" s="10">
        <v>46162</v>
      </c>
      <c r="B2212" s="2" t="s">
        <v>3633</v>
      </c>
      <c r="C2212" s="2" t="s">
        <v>3634</v>
      </c>
      <c r="D2212" s="2" t="s">
        <v>3635</v>
      </c>
      <c r="E2212" s="3" t="s">
        <v>114</v>
      </c>
      <c r="F2212" s="4">
        <v>8050</v>
      </c>
      <c r="G2212" s="4" t="s">
        <v>128</v>
      </c>
      <c r="H2212" s="22" t="s">
        <v>1916</v>
      </c>
      <c r="I2212" s="22">
        <v>8050</v>
      </c>
      <c r="J2212" s="22"/>
      <c r="K2212" s="22">
        <f t="shared" si="24"/>
        <v>8050</v>
      </c>
      <c r="L2212" s="17"/>
      <c r="M2212" s="6" t="s">
        <v>581</v>
      </c>
      <c r="N2212" s="1" t="s">
        <v>3636</v>
      </c>
    </row>
    <row r="2213" spans="1:20" x14ac:dyDescent="0.25">
      <c r="A2213" s="10">
        <v>46162</v>
      </c>
      <c r="B2213" s="2" t="s">
        <v>3633</v>
      </c>
      <c r="C2213" s="2" t="s">
        <v>3634</v>
      </c>
      <c r="D2213" s="2" t="s">
        <v>3635</v>
      </c>
      <c r="E2213" s="3" t="s">
        <v>114</v>
      </c>
      <c r="G2213" s="4" t="s">
        <v>48</v>
      </c>
      <c r="H2213" s="34" t="s">
        <v>49</v>
      </c>
      <c r="I2213" s="22"/>
      <c r="J2213" s="22">
        <f>I2212</f>
        <v>8050</v>
      </c>
      <c r="K2213" s="22">
        <f t="shared" si="24"/>
        <v>8050</v>
      </c>
      <c r="L2213" s="17"/>
    </row>
    <row r="2214" spans="1:20" x14ac:dyDescent="0.25">
      <c r="A2214" s="10">
        <v>46162</v>
      </c>
      <c r="B2214" s="2" t="s">
        <v>3637</v>
      </c>
      <c r="C2214" s="2" t="s">
        <v>3638</v>
      </c>
      <c r="D2214" s="2" t="s">
        <v>3635</v>
      </c>
      <c r="E2214" s="3" t="s">
        <v>553</v>
      </c>
      <c r="F2214" s="4">
        <v>400</v>
      </c>
      <c r="G2214" s="4" t="s">
        <v>128</v>
      </c>
      <c r="H2214" s="22" t="s">
        <v>1916</v>
      </c>
      <c r="I2214" s="22">
        <v>400</v>
      </c>
      <c r="J2214" s="22"/>
      <c r="K2214" s="22">
        <f t="shared" si="24"/>
        <v>400</v>
      </c>
      <c r="L2214" s="17"/>
      <c r="M2214" s="6" t="s">
        <v>581</v>
      </c>
      <c r="N2214" s="1" t="s">
        <v>3639</v>
      </c>
    </row>
    <row r="2215" spans="1:20" x14ac:dyDescent="0.25">
      <c r="A2215" s="10">
        <v>46162</v>
      </c>
      <c r="B2215" s="2" t="s">
        <v>3637</v>
      </c>
      <c r="C2215" s="2" t="s">
        <v>3638</v>
      </c>
      <c r="D2215" s="2" t="s">
        <v>3635</v>
      </c>
      <c r="E2215" s="3" t="s">
        <v>553</v>
      </c>
      <c r="G2215" s="4" t="s">
        <v>48</v>
      </c>
      <c r="H2215" s="34" t="s">
        <v>49</v>
      </c>
      <c r="I2215" s="22"/>
      <c r="J2215" s="22">
        <f>I2214</f>
        <v>400</v>
      </c>
      <c r="K2215" s="22">
        <f t="shared" si="24"/>
        <v>400</v>
      </c>
      <c r="L2215" s="17"/>
    </row>
    <row r="2216" spans="1:20" ht="24" x14ac:dyDescent="0.25">
      <c r="A2216" s="10">
        <v>46162</v>
      </c>
      <c r="B2216" s="2" t="s">
        <v>3640</v>
      </c>
      <c r="C2216" s="2" t="s">
        <v>147</v>
      </c>
      <c r="D2216" s="2" t="s">
        <v>3641</v>
      </c>
      <c r="E2216" s="3" t="s">
        <v>1182</v>
      </c>
      <c r="F2216" s="4">
        <f>3000+600</f>
        <v>3600</v>
      </c>
      <c r="G2216" s="4" t="s">
        <v>48</v>
      </c>
      <c r="H2216" s="22" t="s">
        <v>78</v>
      </c>
      <c r="I2216" s="22">
        <v>3600</v>
      </c>
      <c r="J2216" s="22"/>
      <c r="K2216" s="22">
        <f t="shared" si="24"/>
        <v>3600</v>
      </c>
      <c r="L2216" s="17">
        <v>3600</v>
      </c>
      <c r="M2216" s="23" t="s">
        <v>41</v>
      </c>
      <c r="N2216" s="1" t="s">
        <v>3642</v>
      </c>
      <c r="O2216" s="60" t="s">
        <v>1709</v>
      </c>
    </row>
    <row r="2217" spans="1:20" x14ac:dyDescent="0.25">
      <c r="A2217" s="10">
        <v>46162</v>
      </c>
      <c r="B2217" s="2" t="s">
        <v>3640</v>
      </c>
      <c r="C2217" s="2" t="s">
        <v>147</v>
      </c>
      <c r="D2217" s="2" t="s">
        <v>3641</v>
      </c>
      <c r="E2217" s="3" t="s">
        <v>1182</v>
      </c>
      <c r="G2217" s="4" t="s">
        <v>48</v>
      </c>
      <c r="H2217" s="22" t="s">
        <v>49</v>
      </c>
      <c r="I2217" s="22"/>
      <c r="J2217" s="22">
        <f>I2216</f>
        <v>3600</v>
      </c>
      <c r="K2217" s="22">
        <f t="shared" si="24"/>
        <v>3600</v>
      </c>
      <c r="L2217" s="17"/>
    </row>
    <row r="2218" spans="1:20" ht="24" x14ac:dyDescent="0.25">
      <c r="A2218" s="10">
        <v>46162</v>
      </c>
      <c r="B2218" s="2" t="s">
        <v>3643</v>
      </c>
      <c r="C2218" s="2" t="s">
        <v>1331</v>
      </c>
      <c r="D2218" s="2" t="s">
        <v>3644</v>
      </c>
      <c r="E2218" s="3" t="s">
        <v>1333</v>
      </c>
      <c r="F2218" s="4">
        <v>5360.39</v>
      </c>
      <c r="G2218" s="4" t="s">
        <v>98</v>
      </c>
      <c r="H2218" s="22"/>
      <c r="I2218" s="22"/>
      <c r="J2218" s="22"/>
      <c r="K2218" s="22">
        <f t="shared" si="24"/>
        <v>0</v>
      </c>
      <c r="L2218" s="17"/>
      <c r="M2218" s="6" t="s">
        <v>581</v>
      </c>
      <c r="N2218" s="1" t="s">
        <v>3645</v>
      </c>
    </row>
    <row r="2219" spans="1:20" ht="36" x14ac:dyDescent="0.25">
      <c r="A2219" s="10">
        <v>46162</v>
      </c>
      <c r="B2219" s="2" t="s">
        <v>3646</v>
      </c>
      <c r="E2219" s="3" t="s">
        <v>921</v>
      </c>
      <c r="F2219" s="4">
        <f>3200000+734250</f>
        <v>3934250</v>
      </c>
      <c r="G2219" s="4" t="s">
        <v>48</v>
      </c>
      <c r="H2219" s="22"/>
      <c r="I2219" s="22"/>
      <c r="J2219" s="22"/>
      <c r="K2219" s="22">
        <f t="shared" si="24"/>
        <v>0</v>
      </c>
      <c r="L2219" s="17"/>
      <c r="M2219" s="6" t="s">
        <v>581</v>
      </c>
      <c r="N2219" s="1" t="s">
        <v>3647</v>
      </c>
    </row>
    <row r="2220" spans="1:20" x14ac:dyDescent="0.25">
      <c r="A2220" s="10">
        <v>46162</v>
      </c>
      <c r="B2220" s="2" t="s">
        <v>3648</v>
      </c>
      <c r="E2220" s="3" t="s">
        <v>1751</v>
      </c>
      <c r="F2220" s="4">
        <v>345565.78</v>
      </c>
      <c r="G2220" s="4" t="s">
        <v>48</v>
      </c>
      <c r="H2220" s="22"/>
      <c r="I2220" s="22"/>
      <c r="J2220" s="22"/>
      <c r="K2220" s="22">
        <f t="shared" ref="K2220:K2374" si="25">ABS(I2220-J2220)</f>
        <v>0</v>
      </c>
      <c r="L2220" s="17"/>
      <c r="M2220" s="6" t="s">
        <v>581</v>
      </c>
      <c r="N2220" s="1" t="s">
        <v>3649</v>
      </c>
    </row>
    <row r="2221" spans="1:20" ht="72" x14ac:dyDescent="0.25">
      <c r="A2221" s="10">
        <v>46162</v>
      </c>
      <c r="B2221" s="2" t="s">
        <v>3650</v>
      </c>
      <c r="C2221" s="2" t="s">
        <v>95</v>
      </c>
      <c r="D2221" s="2" t="s">
        <v>3651</v>
      </c>
      <c r="E2221" s="3" t="s">
        <v>3066</v>
      </c>
      <c r="F2221" s="4">
        <v>6925</v>
      </c>
      <c r="G2221" s="4" t="s">
        <v>1030</v>
      </c>
      <c r="H2221" s="22" t="s">
        <v>78</v>
      </c>
      <c r="I2221" s="22">
        <v>6925</v>
      </c>
      <c r="J2221" s="22"/>
      <c r="K2221" s="22">
        <f t="shared" si="25"/>
        <v>6925</v>
      </c>
      <c r="L2221" s="17">
        <v>6925</v>
      </c>
      <c r="M2221" s="23" t="s">
        <v>41</v>
      </c>
      <c r="N2221" s="1" t="s">
        <v>3652</v>
      </c>
      <c r="O2221" s="7" t="s">
        <v>3653</v>
      </c>
      <c r="P2221" s="7" t="s">
        <v>81</v>
      </c>
      <c r="R2221" s="7" t="s">
        <v>3553</v>
      </c>
      <c r="S2221" s="3" t="s">
        <v>83</v>
      </c>
      <c r="T2221" s="3" t="s">
        <v>3554</v>
      </c>
    </row>
    <row r="2222" spans="1:20" x14ac:dyDescent="0.25">
      <c r="A2222" s="10">
        <v>46162</v>
      </c>
      <c r="B2222" s="2" t="s">
        <v>3650</v>
      </c>
      <c r="C2222" s="2" t="s">
        <v>95</v>
      </c>
      <c r="D2222" s="2" t="s">
        <v>3651</v>
      </c>
      <c r="E2222" s="3" t="s">
        <v>3066</v>
      </c>
      <c r="G2222" s="4" t="s">
        <v>48</v>
      </c>
      <c r="H2222" s="22" t="s">
        <v>49</v>
      </c>
      <c r="I2222" s="22"/>
      <c r="J2222" s="22">
        <f>I2221</f>
        <v>6925</v>
      </c>
      <c r="K2222" s="22">
        <f t="shared" si="25"/>
        <v>6925</v>
      </c>
      <c r="L2222" s="17"/>
      <c r="M2222" s="23"/>
    </row>
    <row r="2223" spans="1:20" ht="24" x14ac:dyDescent="0.25">
      <c r="A2223" s="10">
        <v>46162</v>
      </c>
      <c r="B2223" s="2" t="s">
        <v>3654</v>
      </c>
      <c r="C2223" s="2" t="s">
        <v>95</v>
      </c>
      <c r="D2223" s="2" t="s">
        <v>3655</v>
      </c>
      <c r="E2223" s="3" t="s">
        <v>2874</v>
      </c>
      <c r="F2223" s="4">
        <v>7000</v>
      </c>
      <c r="G2223" s="4" t="s">
        <v>3656</v>
      </c>
      <c r="H2223" s="22" t="s">
        <v>78</v>
      </c>
      <c r="I2223" s="22">
        <v>7000</v>
      </c>
      <c r="J2223" s="22"/>
      <c r="K2223" s="22">
        <f t="shared" si="25"/>
        <v>7000</v>
      </c>
      <c r="L2223" s="17">
        <v>7000</v>
      </c>
      <c r="M2223" s="23" t="s">
        <v>41</v>
      </c>
      <c r="N2223" s="1" t="s">
        <v>3657</v>
      </c>
      <c r="O2223" s="24" t="s">
        <v>3552</v>
      </c>
      <c r="P2223" s="7" t="s">
        <v>81</v>
      </c>
      <c r="R2223" s="7" t="s">
        <v>3553</v>
      </c>
      <c r="S2223" s="3" t="s">
        <v>83</v>
      </c>
      <c r="T2223" s="3" t="s">
        <v>3554</v>
      </c>
    </row>
    <row r="2224" spans="1:20" x14ac:dyDescent="0.25">
      <c r="A2224" s="10">
        <v>46162</v>
      </c>
      <c r="B2224" s="2" t="s">
        <v>3654</v>
      </c>
      <c r="C2224" s="2" t="s">
        <v>95</v>
      </c>
      <c r="D2224" s="2" t="s">
        <v>3655</v>
      </c>
      <c r="E2224" s="3" t="s">
        <v>2874</v>
      </c>
      <c r="G2224" s="4" t="s">
        <v>48</v>
      </c>
      <c r="H2224" s="22" t="s">
        <v>49</v>
      </c>
      <c r="I2224" s="22"/>
      <c r="J2224" s="22">
        <f>I2223</f>
        <v>7000</v>
      </c>
      <c r="K2224" s="22">
        <f t="shared" si="25"/>
        <v>7000</v>
      </c>
      <c r="L2224" s="17"/>
      <c r="M2224" s="23"/>
    </row>
    <row r="2225" spans="1:23" ht="24" x14ac:dyDescent="0.25">
      <c r="A2225" s="10">
        <v>46162</v>
      </c>
      <c r="B2225" s="2" t="s">
        <v>3658</v>
      </c>
      <c r="C2225" s="2" t="s">
        <v>134</v>
      </c>
      <c r="D2225" s="2" t="s">
        <v>3659</v>
      </c>
      <c r="E2225" s="3" t="s">
        <v>3660</v>
      </c>
      <c r="F2225" s="4">
        <v>3000</v>
      </c>
      <c r="G2225" s="4" t="s">
        <v>48</v>
      </c>
      <c r="H2225" s="22" t="s">
        <v>137</v>
      </c>
      <c r="I2225" s="22">
        <v>3000</v>
      </c>
      <c r="J2225" s="22"/>
      <c r="K2225" s="22">
        <f t="shared" si="25"/>
        <v>3000</v>
      </c>
      <c r="L2225" s="17">
        <v>3000</v>
      </c>
      <c r="M2225" s="23" t="s">
        <v>41</v>
      </c>
      <c r="N2225" s="1" t="s">
        <v>3661</v>
      </c>
      <c r="O2225" s="24" t="s">
        <v>3552</v>
      </c>
      <c r="P2225" s="7" t="s">
        <v>81</v>
      </c>
      <c r="R2225" s="7" t="s">
        <v>3553</v>
      </c>
      <c r="S2225" s="3" t="s">
        <v>83</v>
      </c>
      <c r="T2225" s="3" t="s">
        <v>3554</v>
      </c>
    </row>
    <row r="2226" spans="1:23" x14ac:dyDescent="0.25">
      <c r="A2226" s="10">
        <v>46162</v>
      </c>
      <c r="B2226" s="2" t="s">
        <v>3658</v>
      </c>
      <c r="C2226" s="2" t="s">
        <v>134</v>
      </c>
      <c r="D2226" s="2" t="s">
        <v>3659</v>
      </c>
      <c r="E2226" s="3" t="s">
        <v>3660</v>
      </c>
      <c r="G2226" s="4" t="s">
        <v>48</v>
      </c>
      <c r="H2226" s="22" t="s">
        <v>49</v>
      </c>
      <c r="I2226" s="22"/>
      <c r="J2226" s="22">
        <f>I2225</f>
        <v>3000</v>
      </c>
      <c r="K2226" s="22">
        <f t="shared" si="25"/>
        <v>3000</v>
      </c>
      <c r="L2226" s="17"/>
      <c r="M2226" s="23"/>
    </row>
    <row r="2227" spans="1:23" ht="24" x14ac:dyDescent="0.25">
      <c r="A2227" s="10">
        <v>46162</v>
      </c>
      <c r="B2227" s="2" t="s">
        <v>3662</v>
      </c>
      <c r="C2227" s="2" t="s">
        <v>95</v>
      </c>
      <c r="D2227" s="2" t="s">
        <v>3663</v>
      </c>
      <c r="E2227" s="3" t="s">
        <v>3066</v>
      </c>
      <c r="F2227" s="4">
        <v>25000</v>
      </c>
      <c r="G2227" s="4" t="s">
        <v>1030</v>
      </c>
      <c r="H2227" s="22" t="s">
        <v>78</v>
      </c>
      <c r="I2227" s="22">
        <v>24496</v>
      </c>
      <c r="J2227" s="22"/>
      <c r="K2227" s="22">
        <f t="shared" si="25"/>
        <v>24496</v>
      </c>
      <c r="L2227" s="17">
        <v>25000</v>
      </c>
      <c r="M2227" s="23" t="s">
        <v>41</v>
      </c>
      <c r="N2227" s="1" t="s">
        <v>3664</v>
      </c>
      <c r="P2227" s="7" t="s">
        <v>81</v>
      </c>
      <c r="R2227" s="7" t="s">
        <v>3522</v>
      </c>
      <c r="S2227" s="3" t="s">
        <v>83</v>
      </c>
      <c r="V2227" s="9">
        <f>25000-24496</f>
        <v>504</v>
      </c>
      <c r="W2227" s="9" t="s">
        <v>3665</v>
      </c>
    </row>
    <row r="2228" spans="1:23" x14ac:dyDescent="0.25">
      <c r="A2228" s="10">
        <v>46162</v>
      </c>
      <c r="B2228" s="2" t="s">
        <v>3662</v>
      </c>
      <c r="C2228" s="2" t="s">
        <v>95</v>
      </c>
      <c r="D2228" s="2" t="s">
        <v>3663</v>
      </c>
      <c r="E2228" s="3" t="s">
        <v>3066</v>
      </c>
      <c r="G2228" s="4" t="s">
        <v>48</v>
      </c>
      <c r="H2228" s="22" t="s">
        <v>49</v>
      </c>
      <c r="I2228" s="22"/>
      <c r="J2228" s="22">
        <f>I2227</f>
        <v>24496</v>
      </c>
      <c r="K2228" s="22">
        <f t="shared" si="25"/>
        <v>24496</v>
      </c>
      <c r="L2228" s="17"/>
      <c r="M2228" s="23"/>
    </row>
    <row r="2229" spans="1:23" ht="24" x14ac:dyDescent="0.25">
      <c r="A2229" s="10">
        <v>46162</v>
      </c>
      <c r="B2229" s="2" t="s">
        <v>3666</v>
      </c>
      <c r="D2229" s="2" t="s">
        <v>3667</v>
      </c>
      <c r="E2229" s="3" t="s">
        <v>275</v>
      </c>
      <c r="F2229" s="4">
        <f>(13984.57-274.21)+274.21-45.7</f>
        <v>13938.869999999999</v>
      </c>
      <c r="G2229" s="4" t="s">
        <v>48</v>
      </c>
      <c r="H2229" s="22" t="s">
        <v>276</v>
      </c>
      <c r="I2229" s="22">
        <v>13710.36</v>
      </c>
      <c r="J2229" s="22"/>
      <c r="K2229" s="22">
        <f t="shared" si="25"/>
        <v>13710.36</v>
      </c>
      <c r="L2229" s="17"/>
      <c r="M2229" s="6" t="s">
        <v>581</v>
      </c>
      <c r="N2229" s="1" t="s">
        <v>3668</v>
      </c>
    </row>
    <row r="2230" spans="1:23" x14ac:dyDescent="0.25">
      <c r="A2230" s="10">
        <v>46162</v>
      </c>
      <c r="B2230" s="2" t="s">
        <v>3666</v>
      </c>
      <c r="D2230" s="2" t="s">
        <v>3667</v>
      </c>
      <c r="E2230" s="3" t="s">
        <v>275</v>
      </c>
      <c r="G2230" s="4" t="s">
        <v>48</v>
      </c>
      <c r="H2230" s="22" t="s">
        <v>281</v>
      </c>
      <c r="I2230" s="22">
        <v>274.20999999999998</v>
      </c>
      <c r="J2230" s="22"/>
      <c r="K2230" s="22">
        <f t="shared" si="25"/>
        <v>274.20999999999998</v>
      </c>
      <c r="L2230" s="17"/>
    </row>
    <row r="2231" spans="1:23" x14ac:dyDescent="0.25">
      <c r="A2231" s="10">
        <v>46162</v>
      </c>
      <c r="B2231" s="2" t="s">
        <v>3666</v>
      </c>
      <c r="D2231" s="2" t="s">
        <v>3667</v>
      </c>
      <c r="E2231" s="3" t="s">
        <v>275</v>
      </c>
      <c r="G2231" s="4" t="s">
        <v>48</v>
      </c>
      <c r="H2231" s="22" t="s">
        <v>282</v>
      </c>
      <c r="I2231" s="22"/>
      <c r="J2231" s="22">
        <v>45.7</v>
      </c>
      <c r="K2231" s="22">
        <f t="shared" si="25"/>
        <v>45.7</v>
      </c>
      <c r="L2231" s="17"/>
    </row>
    <row r="2232" spans="1:23" x14ac:dyDescent="0.25">
      <c r="A2232" s="10">
        <v>46162</v>
      </c>
      <c r="B2232" s="2" t="s">
        <v>3666</v>
      </c>
      <c r="D2232" s="2" t="s">
        <v>3667</v>
      </c>
      <c r="E2232" s="3" t="s">
        <v>275</v>
      </c>
      <c r="G2232" s="4" t="s">
        <v>48</v>
      </c>
      <c r="H2232" s="22" t="s">
        <v>49</v>
      </c>
      <c r="I2232" s="22"/>
      <c r="J2232" s="22">
        <f>I2229+I2230-J2231</f>
        <v>13938.869999999999</v>
      </c>
      <c r="K2232" s="22">
        <f t="shared" si="25"/>
        <v>13938.869999999999</v>
      </c>
      <c r="L2232" s="17"/>
    </row>
    <row r="2233" spans="1:23" ht="24" x14ac:dyDescent="0.25">
      <c r="A2233" s="10">
        <v>46162</v>
      </c>
      <c r="B2233" s="2" t="s">
        <v>3669</v>
      </c>
      <c r="D2233" s="2" t="s">
        <v>3667</v>
      </c>
      <c r="E2233" s="3" t="s">
        <v>275</v>
      </c>
      <c r="F2233" s="4">
        <f>(21015.77-412.08)+412.08-68.68</f>
        <v>20947.09</v>
      </c>
      <c r="G2233" s="4" t="s">
        <v>128</v>
      </c>
      <c r="H2233" s="22" t="s">
        <v>276</v>
      </c>
      <c r="I2233" s="22">
        <v>20603.689999999999</v>
      </c>
      <c r="J2233" s="22"/>
      <c r="K2233" s="22">
        <f t="shared" si="25"/>
        <v>20603.689999999999</v>
      </c>
      <c r="L2233" s="17">
        <v>20950</v>
      </c>
      <c r="M2233" s="6" t="s">
        <v>41</v>
      </c>
      <c r="N2233" s="1" t="s">
        <v>3670</v>
      </c>
      <c r="T2233" s="3" t="s">
        <v>3671</v>
      </c>
    </row>
    <row r="2234" spans="1:23" x14ac:dyDescent="0.25">
      <c r="A2234" s="10">
        <v>46162</v>
      </c>
      <c r="B2234" s="2" t="s">
        <v>3669</v>
      </c>
      <c r="D2234" s="2" t="s">
        <v>3667</v>
      </c>
      <c r="E2234" s="3" t="s">
        <v>275</v>
      </c>
      <c r="G2234" s="4" t="s">
        <v>128</v>
      </c>
      <c r="H2234" s="22" t="s">
        <v>281</v>
      </c>
      <c r="I2234" s="22">
        <v>412.08</v>
      </c>
      <c r="J2234" s="22"/>
      <c r="K2234" s="22">
        <f t="shared" si="25"/>
        <v>412.08</v>
      </c>
      <c r="L2234" s="17"/>
    </row>
    <row r="2235" spans="1:23" x14ac:dyDescent="0.25">
      <c r="A2235" s="10">
        <v>46162</v>
      </c>
      <c r="B2235" s="2" t="s">
        <v>3669</v>
      </c>
      <c r="D2235" s="2" t="s">
        <v>3667</v>
      </c>
      <c r="E2235" s="3" t="s">
        <v>275</v>
      </c>
      <c r="G2235" s="4" t="s">
        <v>128</v>
      </c>
      <c r="H2235" s="22" t="s">
        <v>282</v>
      </c>
      <c r="I2235" s="22"/>
      <c r="J2235" s="22">
        <v>68.680000000000007</v>
      </c>
      <c r="K2235" s="22">
        <f t="shared" si="25"/>
        <v>68.680000000000007</v>
      </c>
      <c r="L2235" s="17"/>
    </row>
    <row r="2236" spans="1:23" x14ac:dyDescent="0.25">
      <c r="A2236" s="10">
        <v>46162</v>
      </c>
      <c r="B2236" s="2" t="s">
        <v>3669</v>
      </c>
      <c r="D2236" s="2" t="s">
        <v>3667</v>
      </c>
      <c r="E2236" s="3" t="s">
        <v>275</v>
      </c>
      <c r="G2236" s="4" t="s">
        <v>48</v>
      </c>
      <c r="H2236" s="22" t="s">
        <v>49</v>
      </c>
      <c r="I2236" s="22"/>
      <c r="J2236" s="22">
        <f>I2233+I2234-J2235</f>
        <v>20947.09</v>
      </c>
      <c r="K2236" s="22">
        <f t="shared" si="25"/>
        <v>20947.09</v>
      </c>
      <c r="L2236" s="17"/>
    </row>
    <row r="2237" spans="1:23" ht="24" x14ac:dyDescent="0.25">
      <c r="A2237" s="10">
        <v>46163</v>
      </c>
      <c r="B2237" s="2" t="s">
        <v>3672</v>
      </c>
      <c r="C2237" s="2" t="s">
        <v>141</v>
      </c>
      <c r="E2237" s="3" t="s">
        <v>27</v>
      </c>
      <c r="F2237" s="4">
        <v>70900</v>
      </c>
      <c r="G2237" s="4" t="s">
        <v>48</v>
      </c>
      <c r="H2237" s="22" t="s">
        <v>81</v>
      </c>
      <c r="I2237" s="22">
        <v>70700</v>
      </c>
      <c r="J2237" s="22"/>
      <c r="K2237" s="22">
        <f t="shared" si="25"/>
        <v>70700</v>
      </c>
      <c r="L2237" s="17">
        <v>70900</v>
      </c>
      <c r="M2237" s="23" t="s">
        <v>41</v>
      </c>
      <c r="N2237" s="1" t="s">
        <v>3673</v>
      </c>
      <c r="O2237" s="7" t="s">
        <v>635</v>
      </c>
      <c r="P2237" s="7" t="s">
        <v>32</v>
      </c>
      <c r="Q2237" s="25" t="s">
        <v>3674</v>
      </c>
      <c r="R2237" s="7" t="s">
        <v>3675</v>
      </c>
      <c r="S2237" s="3" t="s">
        <v>1630</v>
      </c>
      <c r="T2237" s="3" t="s">
        <v>3676</v>
      </c>
    </row>
    <row r="2238" spans="1:23" x14ac:dyDescent="0.25">
      <c r="A2238" s="10">
        <v>46163</v>
      </c>
      <c r="B2238" s="2" t="s">
        <v>3672</v>
      </c>
      <c r="C2238" s="2" t="s">
        <v>141</v>
      </c>
      <c r="E2238" s="3" t="s">
        <v>27</v>
      </c>
      <c r="G2238" s="4" t="s">
        <v>48</v>
      </c>
      <c r="H2238" s="22" t="s">
        <v>47</v>
      </c>
      <c r="I2238" s="22">
        <v>200</v>
      </c>
      <c r="J2238" s="22"/>
      <c r="K2238" s="22">
        <f t="shared" si="25"/>
        <v>200</v>
      </c>
      <c r="L2238" s="17"/>
      <c r="Q2238" s="25"/>
    </row>
    <row r="2239" spans="1:23" x14ac:dyDescent="0.25">
      <c r="A2239" s="10">
        <v>46163</v>
      </c>
      <c r="B2239" s="2" t="s">
        <v>3672</v>
      </c>
      <c r="C2239" s="2" t="s">
        <v>141</v>
      </c>
      <c r="E2239" s="3" t="s">
        <v>27</v>
      </c>
      <c r="G2239" s="4" t="s">
        <v>326</v>
      </c>
      <c r="H2239" s="22" t="s">
        <v>327</v>
      </c>
      <c r="I2239" s="22"/>
      <c r="J2239" s="22">
        <f>I2237+I2238</f>
        <v>70900</v>
      </c>
      <c r="K2239" s="22">
        <f t="shared" si="25"/>
        <v>70900</v>
      </c>
      <c r="L2239" s="17"/>
      <c r="Q2239" s="25"/>
    </row>
    <row r="2240" spans="1:23" ht="24" x14ac:dyDescent="0.25">
      <c r="A2240" s="10">
        <v>46163</v>
      </c>
      <c r="B2240" s="2" t="s">
        <v>3677</v>
      </c>
      <c r="C2240" s="2" t="s">
        <v>310</v>
      </c>
      <c r="E2240" s="3" t="s">
        <v>27</v>
      </c>
      <c r="F2240" s="4">
        <v>100000</v>
      </c>
      <c r="G2240" s="4" t="s">
        <v>326</v>
      </c>
      <c r="H2240" s="22" t="s">
        <v>81</v>
      </c>
      <c r="I2240" s="22">
        <v>99800</v>
      </c>
      <c r="J2240" s="22"/>
      <c r="K2240" s="22">
        <f t="shared" si="25"/>
        <v>99800</v>
      </c>
      <c r="L2240" s="17">
        <v>100000</v>
      </c>
      <c r="M2240" s="23" t="s">
        <v>41</v>
      </c>
      <c r="N2240" s="1" t="s">
        <v>3678</v>
      </c>
      <c r="O2240" s="7" t="s">
        <v>668</v>
      </c>
      <c r="P2240" s="7" t="s">
        <v>32</v>
      </c>
      <c r="Q2240" s="25" t="s">
        <v>3679</v>
      </c>
      <c r="R2240" s="7" t="s">
        <v>3675</v>
      </c>
      <c r="S2240" s="3" t="s">
        <v>1630</v>
      </c>
      <c r="T2240" s="3" t="s">
        <v>3676</v>
      </c>
    </row>
    <row r="2241" spans="1:23" x14ac:dyDescent="0.25">
      <c r="A2241" s="10">
        <v>46163</v>
      </c>
      <c r="B2241" s="2" t="s">
        <v>3677</v>
      </c>
      <c r="C2241" s="2" t="s">
        <v>310</v>
      </c>
      <c r="E2241" s="3" t="s">
        <v>27</v>
      </c>
      <c r="G2241" s="4" t="s">
        <v>326</v>
      </c>
      <c r="H2241" s="22" t="s">
        <v>47</v>
      </c>
      <c r="I2241" s="22">
        <v>200</v>
      </c>
      <c r="J2241" s="22"/>
      <c r="K2241" s="22">
        <f t="shared" si="25"/>
        <v>200</v>
      </c>
      <c r="L2241" s="17"/>
      <c r="Q2241" s="25"/>
    </row>
    <row r="2242" spans="1:23" x14ac:dyDescent="0.25">
      <c r="A2242" s="10">
        <v>46163</v>
      </c>
      <c r="B2242" s="2" t="s">
        <v>3677</v>
      </c>
      <c r="C2242" s="2" t="s">
        <v>310</v>
      </c>
      <c r="E2242" s="3" t="s">
        <v>27</v>
      </c>
      <c r="G2242" s="4" t="s">
        <v>326</v>
      </c>
      <c r="H2242" s="22" t="s">
        <v>327</v>
      </c>
      <c r="I2242" s="22"/>
      <c r="J2242" s="22">
        <f>I2240+I2241</f>
        <v>100000</v>
      </c>
      <c r="K2242" s="22">
        <f t="shared" si="25"/>
        <v>100000</v>
      </c>
      <c r="L2242" s="17"/>
      <c r="Q2242" s="25"/>
    </row>
    <row r="2243" spans="1:23" x14ac:dyDescent="0.25">
      <c r="A2243" s="10">
        <v>46163</v>
      </c>
      <c r="B2243" s="2" t="s">
        <v>3680</v>
      </c>
      <c r="E2243" s="3" t="s">
        <v>398</v>
      </c>
      <c r="F2243" s="4">
        <v>50000</v>
      </c>
      <c r="G2243" s="4" t="s">
        <v>167</v>
      </c>
      <c r="H2243" s="22" t="s">
        <v>168</v>
      </c>
      <c r="I2243" s="22">
        <v>50000</v>
      </c>
      <c r="J2243" s="22"/>
      <c r="K2243" s="22">
        <f t="shared" si="25"/>
        <v>50000</v>
      </c>
      <c r="L2243" s="17">
        <v>50000</v>
      </c>
      <c r="M2243" s="23" t="s">
        <v>41</v>
      </c>
      <c r="N2243" s="1" t="s">
        <v>3681</v>
      </c>
      <c r="O2243" s="7" t="s">
        <v>313</v>
      </c>
      <c r="P2243" s="7" t="s">
        <v>32</v>
      </c>
      <c r="Q2243" s="25" t="s">
        <v>3682</v>
      </c>
      <c r="R2243" s="7" t="s">
        <v>3553</v>
      </c>
      <c r="S2243" s="3" t="s">
        <v>3388</v>
      </c>
      <c r="T2243" s="3" t="s">
        <v>3389</v>
      </c>
      <c r="W2243" s="9" t="s">
        <v>3683</v>
      </c>
    </row>
    <row r="2244" spans="1:23" x14ac:dyDescent="0.25">
      <c r="A2244" s="10">
        <v>46163</v>
      </c>
      <c r="B2244" s="2" t="s">
        <v>3680</v>
      </c>
      <c r="E2244" s="3" t="s">
        <v>398</v>
      </c>
      <c r="G2244" s="4" t="s">
        <v>98</v>
      </c>
      <c r="H2244" s="22" t="s">
        <v>3441</v>
      </c>
      <c r="I2244" s="22"/>
      <c r="J2244" s="22">
        <f>I2243</f>
        <v>50000</v>
      </c>
      <c r="K2244" s="22">
        <f t="shared" si="25"/>
        <v>50000</v>
      </c>
      <c r="L2244" s="17"/>
      <c r="M2244" s="23"/>
      <c r="Q2244" s="25"/>
    </row>
    <row r="2245" spans="1:23" ht="24" x14ac:dyDescent="0.25">
      <c r="A2245" s="10">
        <v>46163</v>
      </c>
      <c r="B2245" s="2" t="s">
        <v>3684</v>
      </c>
      <c r="C2245" s="2" t="s">
        <v>310</v>
      </c>
      <c r="E2245" s="3" t="s">
        <v>27</v>
      </c>
      <c r="F2245" s="4">
        <v>285500</v>
      </c>
      <c r="G2245" s="4" t="s">
        <v>48</v>
      </c>
      <c r="H2245" s="22" t="s">
        <v>3361</v>
      </c>
      <c r="I2245" s="22">
        <v>285500</v>
      </c>
      <c r="J2245" s="22"/>
      <c r="K2245" s="22">
        <f t="shared" si="25"/>
        <v>285500</v>
      </c>
      <c r="L2245" s="17">
        <v>285500</v>
      </c>
      <c r="M2245" s="23" t="s">
        <v>41</v>
      </c>
      <c r="N2245" s="1" t="s">
        <v>3685</v>
      </c>
      <c r="O2245" s="7" t="s">
        <v>313</v>
      </c>
      <c r="P2245" s="7" t="s">
        <v>32</v>
      </c>
      <c r="Q2245" s="25" t="s">
        <v>3686</v>
      </c>
      <c r="R2245" s="7" t="s">
        <v>3553</v>
      </c>
      <c r="S2245" s="3" t="s">
        <v>1630</v>
      </c>
      <c r="T2245" s="3" t="s">
        <v>3676</v>
      </c>
      <c r="W2245" s="9" t="s">
        <v>3683</v>
      </c>
    </row>
    <row r="2246" spans="1:23" x14ac:dyDescent="0.25">
      <c r="A2246" s="10">
        <v>46163</v>
      </c>
      <c r="B2246" s="2" t="s">
        <v>3684</v>
      </c>
      <c r="C2246" s="2" t="s">
        <v>310</v>
      </c>
      <c r="E2246" s="3" t="s">
        <v>27</v>
      </c>
      <c r="G2246" s="4" t="s">
        <v>326</v>
      </c>
      <c r="H2246" s="22" t="s">
        <v>327</v>
      </c>
      <c r="I2246" s="22"/>
      <c r="J2246" s="22">
        <f>I2245</f>
        <v>285500</v>
      </c>
      <c r="K2246" s="22">
        <f t="shared" si="25"/>
        <v>285500</v>
      </c>
      <c r="L2246" s="17"/>
      <c r="M2246" s="23"/>
      <c r="Q2246" s="25"/>
    </row>
    <row r="2247" spans="1:23" ht="24" x14ac:dyDescent="0.25">
      <c r="A2247" s="10">
        <v>46163</v>
      </c>
      <c r="B2247" s="2" t="s">
        <v>3687</v>
      </c>
      <c r="E2247" s="3" t="s">
        <v>3688</v>
      </c>
      <c r="F2247" s="4">
        <v>50000</v>
      </c>
      <c r="G2247" s="4" t="s">
        <v>167</v>
      </c>
      <c r="H2247" s="22" t="s">
        <v>168</v>
      </c>
      <c r="I2247" s="22">
        <v>50000</v>
      </c>
      <c r="J2247" s="22"/>
      <c r="K2247" s="22">
        <f t="shared" si="25"/>
        <v>50000</v>
      </c>
      <c r="L2247" s="17">
        <v>50000</v>
      </c>
      <c r="M2247" s="23" t="s">
        <v>41</v>
      </c>
      <c r="N2247" s="1" t="s">
        <v>3689</v>
      </c>
      <c r="O2247" s="7" t="s">
        <v>313</v>
      </c>
      <c r="P2247" s="7" t="s">
        <v>32</v>
      </c>
      <c r="Q2247" s="25" t="s">
        <v>3690</v>
      </c>
      <c r="R2247" s="7" t="s">
        <v>3553</v>
      </c>
      <c r="S2247" s="3" t="s">
        <v>3388</v>
      </c>
      <c r="T2247" s="3" t="s">
        <v>3389</v>
      </c>
      <c r="W2247" s="9" t="s">
        <v>3683</v>
      </c>
    </row>
    <row r="2248" spans="1:23" x14ac:dyDescent="0.25">
      <c r="A2248" s="10">
        <v>46163</v>
      </c>
      <c r="B2248" s="2" t="s">
        <v>3687</v>
      </c>
      <c r="E2248" s="3" t="s">
        <v>3688</v>
      </c>
      <c r="G2248" s="4" t="s">
        <v>98</v>
      </c>
      <c r="H2248" s="22" t="s">
        <v>3441</v>
      </c>
      <c r="I2248" s="22"/>
      <c r="J2248" s="22">
        <f>I2247</f>
        <v>50000</v>
      </c>
      <c r="K2248" s="22">
        <f t="shared" si="25"/>
        <v>50000</v>
      </c>
      <c r="L2248" s="17"/>
      <c r="M2248" s="23"/>
      <c r="Q2248" s="25"/>
    </row>
    <row r="2249" spans="1:23" ht="36" x14ac:dyDescent="0.25">
      <c r="A2249" s="10">
        <v>46163</v>
      </c>
      <c r="B2249" s="2" t="s">
        <v>3691</v>
      </c>
      <c r="C2249" s="2" t="s">
        <v>141</v>
      </c>
      <c r="E2249" s="3" t="s">
        <v>27</v>
      </c>
      <c r="F2249" s="4">
        <v>102000</v>
      </c>
      <c r="G2249" s="4" t="s">
        <v>48</v>
      </c>
      <c r="H2249" s="22" t="s">
        <v>81</v>
      </c>
      <c r="I2249" s="22">
        <v>102000</v>
      </c>
      <c r="J2249" s="22"/>
      <c r="K2249" s="22">
        <f t="shared" si="25"/>
        <v>102000</v>
      </c>
      <c r="L2249" s="17">
        <v>102000</v>
      </c>
      <c r="M2249" s="23" t="s">
        <v>41</v>
      </c>
      <c r="N2249" s="1" t="s">
        <v>3692</v>
      </c>
      <c r="O2249" s="7" t="s">
        <v>143</v>
      </c>
      <c r="P2249" s="7" t="s">
        <v>32</v>
      </c>
      <c r="Q2249" s="25" t="s">
        <v>3693</v>
      </c>
      <c r="R2249" s="7" t="s">
        <v>3553</v>
      </c>
      <c r="S2249" s="3" t="s">
        <v>145</v>
      </c>
      <c r="T2249" s="3" t="s">
        <v>324</v>
      </c>
      <c r="W2249" s="9" t="s">
        <v>3683</v>
      </c>
    </row>
    <row r="2250" spans="1:23" x14ac:dyDescent="0.25">
      <c r="A2250" s="10">
        <v>46163</v>
      </c>
      <c r="B2250" s="2" t="s">
        <v>3691</v>
      </c>
      <c r="C2250" s="2" t="s">
        <v>141</v>
      </c>
      <c r="E2250" s="3" t="s">
        <v>27</v>
      </c>
      <c r="G2250" s="4" t="s">
        <v>48</v>
      </c>
      <c r="H2250" s="22" t="s">
        <v>334</v>
      </c>
      <c r="I2250" s="22"/>
      <c r="J2250" s="22">
        <f>I2249</f>
        <v>102000</v>
      </c>
      <c r="K2250" s="22">
        <f t="shared" si="25"/>
        <v>102000</v>
      </c>
      <c r="L2250" s="17"/>
      <c r="M2250" s="23"/>
      <c r="Q2250" s="25"/>
    </row>
    <row r="2251" spans="1:23" ht="24" x14ac:dyDescent="0.25">
      <c r="A2251" s="10">
        <v>46163</v>
      </c>
      <c r="B2251" s="2" t="s">
        <v>3694</v>
      </c>
      <c r="C2251" s="2" t="s">
        <v>310</v>
      </c>
      <c r="E2251" s="3" t="s">
        <v>27</v>
      </c>
      <c r="F2251" s="4">
        <v>143233</v>
      </c>
      <c r="G2251" s="4" t="s">
        <v>48</v>
      </c>
      <c r="H2251" s="22" t="s">
        <v>3012</v>
      </c>
      <c r="I2251" s="22">
        <v>143233</v>
      </c>
      <c r="J2251" s="22"/>
      <c r="K2251" s="22">
        <f t="shared" si="25"/>
        <v>143233</v>
      </c>
      <c r="L2251" s="17">
        <v>143233</v>
      </c>
      <c r="M2251" s="23" t="s">
        <v>41</v>
      </c>
      <c r="N2251" s="1" t="s">
        <v>3695</v>
      </c>
      <c r="O2251" s="7" t="s">
        <v>116</v>
      </c>
      <c r="P2251" s="7" t="s">
        <v>81</v>
      </c>
      <c r="Q2251" s="25"/>
      <c r="R2251" s="7" t="s">
        <v>3522</v>
      </c>
      <c r="S2251" s="3" t="s">
        <v>83</v>
      </c>
      <c r="W2251" s="9" t="s">
        <v>3696</v>
      </c>
    </row>
    <row r="2252" spans="1:23" x14ac:dyDescent="0.25">
      <c r="A2252" s="10">
        <v>46163</v>
      </c>
      <c r="B2252" s="2" t="s">
        <v>3694</v>
      </c>
      <c r="C2252" s="2" t="s">
        <v>310</v>
      </c>
      <c r="E2252" s="3" t="s">
        <v>27</v>
      </c>
      <c r="G2252" s="4" t="s">
        <v>48</v>
      </c>
      <c r="H2252" s="22" t="s">
        <v>81</v>
      </c>
      <c r="I2252" s="22"/>
      <c r="J2252" s="22">
        <f>I2251</f>
        <v>143233</v>
      </c>
      <c r="K2252" s="22">
        <f t="shared" si="25"/>
        <v>143233</v>
      </c>
      <c r="L2252" s="17"/>
      <c r="M2252" s="23"/>
      <c r="Q2252" s="25"/>
    </row>
    <row r="2253" spans="1:23" ht="24" x14ac:dyDescent="0.25">
      <c r="A2253" s="10">
        <v>46163</v>
      </c>
      <c r="B2253" s="2" t="s">
        <v>3697</v>
      </c>
      <c r="C2253" s="2" t="s">
        <v>310</v>
      </c>
      <c r="E2253" s="3" t="s">
        <v>27</v>
      </c>
      <c r="F2253" s="4">
        <v>45404.91</v>
      </c>
      <c r="G2253" s="4" t="s">
        <v>48</v>
      </c>
      <c r="H2253" s="22" t="s">
        <v>3012</v>
      </c>
      <c r="I2253" s="22">
        <v>45404.91</v>
      </c>
      <c r="J2253" s="22"/>
      <c r="K2253" s="22">
        <f t="shared" si="25"/>
        <v>45404.91</v>
      </c>
      <c r="L2253" s="17">
        <v>45404.91</v>
      </c>
      <c r="M2253" s="23" t="s">
        <v>41</v>
      </c>
      <c r="N2253" s="1" t="s">
        <v>3698</v>
      </c>
      <c r="O2253" s="7" t="s">
        <v>116</v>
      </c>
      <c r="P2253" s="7" t="s">
        <v>81</v>
      </c>
      <c r="Q2253" s="25"/>
      <c r="R2253" s="7" t="s">
        <v>3522</v>
      </c>
      <c r="S2253" s="3" t="s">
        <v>83</v>
      </c>
      <c r="W2253" s="9" t="s">
        <v>3696</v>
      </c>
    </row>
    <row r="2254" spans="1:23" x14ac:dyDescent="0.25">
      <c r="A2254" s="10">
        <v>46163</v>
      </c>
      <c r="B2254" s="2" t="s">
        <v>3697</v>
      </c>
      <c r="C2254" s="2" t="s">
        <v>310</v>
      </c>
      <c r="E2254" s="3" t="s">
        <v>27</v>
      </c>
      <c r="G2254" s="4" t="s">
        <v>48</v>
      </c>
      <c r="H2254" s="22" t="s">
        <v>81</v>
      </c>
      <c r="I2254" s="22"/>
      <c r="J2254" s="22">
        <f>I2253</f>
        <v>45404.91</v>
      </c>
      <c r="K2254" s="22">
        <f t="shared" si="25"/>
        <v>45404.91</v>
      </c>
      <c r="L2254" s="17"/>
      <c r="M2254" s="23"/>
      <c r="Q2254" s="25"/>
    </row>
    <row r="2255" spans="1:23" x14ac:dyDescent="0.25">
      <c r="A2255" s="10">
        <v>46163</v>
      </c>
      <c r="B2255" s="2" t="s">
        <v>3699</v>
      </c>
      <c r="C2255" s="2" t="s">
        <v>38</v>
      </c>
      <c r="E2255" s="3" t="s">
        <v>3700</v>
      </c>
      <c r="F2255" s="4">
        <f>284280+2348.4</f>
        <v>286628.40000000002</v>
      </c>
      <c r="G2255" s="4" t="s">
        <v>48</v>
      </c>
      <c r="H2255" s="22"/>
      <c r="I2255" s="22"/>
      <c r="J2255" s="22"/>
      <c r="K2255" s="22">
        <f t="shared" si="25"/>
        <v>0</v>
      </c>
      <c r="L2255" s="17"/>
      <c r="M2255" s="23" t="s">
        <v>41</v>
      </c>
      <c r="N2255" s="1" t="s">
        <v>3701</v>
      </c>
      <c r="Q2255" s="25"/>
    </row>
    <row r="2256" spans="1:23" ht="36" x14ac:dyDescent="0.25">
      <c r="A2256" s="10">
        <v>46163</v>
      </c>
      <c r="B2256" s="2" t="s">
        <v>3702</v>
      </c>
      <c r="C2256" s="2" t="s">
        <v>38</v>
      </c>
      <c r="E2256" s="3" t="s">
        <v>3703</v>
      </c>
      <c r="F2256" s="4">
        <f>57529.62+2348.4</f>
        <v>59878.020000000004</v>
      </c>
      <c r="G2256" s="4" t="s">
        <v>326</v>
      </c>
      <c r="H2256" s="22"/>
      <c r="I2256" s="22"/>
      <c r="J2256" s="22"/>
      <c r="K2256" s="22">
        <f t="shared" si="25"/>
        <v>0</v>
      </c>
      <c r="L2256" s="17"/>
      <c r="M2256" s="23" t="s">
        <v>41</v>
      </c>
      <c r="N2256" s="1" t="s">
        <v>3704</v>
      </c>
      <c r="O2256" s="7" t="s">
        <v>3705</v>
      </c>
      <c r="Q2256" s="25"/>
      <c r="R2256" s="7" t="s">
        <v>3675</v>
      </c>
    </row>
    <row r="2257" spans="1:20" ht="36" x14ac:dyDescent="0.25">
      <c r="A2257" s="10">
        <v>46163</v>
      </c>
      <c r="B2257" s="2" t="s">
        <v>3706</v>
      </c>
      <c r="C2257" s="2" t="s">
        <v>38</v>
      </c>
      <c r="E2257" s="3" t="s">
        <v>3707</v>
      </c>
      <c r="F2257" s="4">
        <f>16068+2348.4</f>
        <v>18416.400000000001</v>
      </c>
      <c r="G2257" s="4" t="s">
        <v>326</v>
      </c>
      <c r="H2257" s="22" t="s">
        <v>40</v>
      </c>
      <c r="I2257" s="22">
        <f>260*61.8</f>
        <v>16068</v>
      </c>
      <c r="J2257" s="22"/>
      <c r="K2257" s="22">
        <f t="shared" si="25"/>
        <v>16068</v>
      </c>
      <c r="L2257" s="17">
        <v>18416.400000000001</v>
      </c>
      <c r="M2257" s="23" t="s">
        <v>41</v>
      </c>
      <c r="N2257" s="1" t="s">
        <v>3708</v>
      </c>
      <c r="O2257" s="7" t="s">
        <v>3709</v>
      </c>
      <c r="Q2257" s="25"/>
      <c r="R2257" s="7" t="s">
        <v>3675</v>
      </c>
      <c r="T2257" s="3" t="s">
        <v>3710</v>
      </c>
    </row>
    <row r="2258" spans="1:20" x14ac:dyDescent="0.25">
      <c r="A2258" s="10">
        <v>46163</v>
      </c>
      <c r="B2258" s="2" t="s">
        <v>3706</v>
      </c>
      <c r="C2258" s="2" t="s">
        <v>38</v>
      </c>
      <c r="E2258" s="3" t="s">
        <v>3707</v>
      </c>
      <c r="H2258" s="22" t="s">
        <v>47</v>
      </c>
      <c r="I2258" s="22">
        <f>38*61.8</f>
        <v>2348.4</v>
      </c>
      <c r="J2258" s="22"/>
      <c r="K2258" s="22">
        <f t="shared" si="25"/>
        <v>2348.4</v>
      </c>
      <c r="L2258" s="17"/>
      <c r="M2258" s="23"/>
      <c r="Q2258" s="25"/>
    </row>
    <row r="2259" spans="1:20" x14ac:dyDescent="0.25">
      <c r="A2259" s="10">
        <v>46163</v>
      </c>
      <c r="B2259" s="2" t="s">
        <v>3706</v>
      </c>
      <c r="C2259" s="2" t="s">
        <v>38</v>
      </c>
      <c r="E2259" s="3" t="s">
        <v>3707</v>
      </c>
      <c r="H2259" s="22" t="s">
        <v>49</v>
      </c>
      <c r="I2259" s="22"/>
      <c r="J2259" s="22">
        <f>I2257+I2258</f>
        <v>18416.400000000001</v>
      </c>
      <c r="K2259" s="22">
        <f t="shared" si="25"/>
        <v>18416.400000000001</v>
      </c>
      <c r="L2259" s="17"/>
      <c r="M2259" s="23"/>
      <c r="Q2259" s="25"/>
    </row>
    <row r="2260" spans="1:20" ht="36" x14ac:dyDescent="0.25">
      <c r="A2260" s="10">
        <v>46163</v>
      </c>
      <c r="B2260" s="2" t="s">
        <v>3711</v>
      </c>
      <c r="C2260" s="2" t="s">
        <v>38</v>
      </c>
      <c r="E2260" s="3" t="s">
        <v>3712</v>
      </c>
      <c r="F2260" s="4">
        <f>370800+2348.4</f>
        <v>373148.4</v>
      </c>
      <c r="G2260" s="4" t="s">
        <v>326</v>
      </c>
      <c r="H2260" s="22" t="s">
        <v>40</v>
      </c>
      <c r="I2260" s="22">
        <f>6000*61.8</f>
        <v>370800</v>
      </c>
      <c r="J2260" s="22"/>
      <c r="K2260" s="22">
        <f t="shared" si="25"/>
        <v>370800</v>
      </c>
      <c r="L2260" s="17">
        <v>373148.4</v>
      </c>
      <c r="M2260" s="23" t="s">
        <v>41</v>
      </c>
      <c r="N2260" s="1" t="s">
        <v>3713</v>
      </c>
      <c r="O2260" s="7" t="s">
        <v>3714</v>
      </c>
      <c r="Q2260" s="25"/>
      <c r="R2260" s="7" t="s">
        <v>3675</v>
      </c>
      <c r="T2260" s="3" t="s">
        <v>3715</v>
      </c>
    </row>
    <row r="2261" spans="1:20" x14ac:dyDescent="0.25">
      <c r="A2261" s="10">
        <v>46163</v>
      </c>
      <c r="B2261" s="2" t="s">
        <v>3711</v>
      </c>
      <c r="C2261" s="2" t="s">
        <v>38</v>
      </c>
      <c r="E2261" s="3" t="s">
        <v>3712</v>
      </c>
      <c r="G2261" s="4" t="s">
        <v>326</v>
      </c>
      <c r="H2261" s="22" t="s">
        <v>47</v>
      </c>
      <c r="I2261" s="22">
        <f>38*61.8</f>
        <v>2348.4</v>
      </c>
      <c r="J2261" s="22"/>
      <c r="K2261" s="22">
        <f t="shared" si="25"/>
        <v>2348.4</v>
      </c>
      <c r="L2261" s="17"/>
      <c r="M2261" s="23"/>
      <c r="Q2261" s="25"/>
    </row>
    <row r="2262" spans="1:20" x14ac:dyDescent="0.25">
      <c r="A2262" s="10">
        <v>46163</v>
      </c>
      <c r="B2262" s="2" t="s">
        <v>3711</v>
      </c>
      <c r="C2262" s="2" t="s">
        <v>38</v>
      </c>
      <c r="E2262" s="3" t="s">
        <v>3712</v>
      </c>
      <c r="G2262" s="4" t="s">
        <v>3716</v>
      </c>
      <c r="H2262" s="22" t="s">
        <v>49</v>
      </c>
      <c r="I2262" s="22"/>
      <c r="J2262" s="22">
        <f>I2260+I2261</f>
        <v>373148.4</v>
      </c>
      <c r="K2262" s="22">
        <f t="shared" si="25"/>
        <v>373148.4</v>
      </c>
      <c r="L2262" s="17"/>
      <c r="M2262" s="23"/>
      <c r="Q2262" s="25"/>
    </row>
    <row r="2263" spans="1:20" ht="24" x14ac:dyDescent="0.25">
      <c r="A2263" s="10">
        <v>46164</v>
      </c>
      <c r="B2263" s="2" t="s">
        <v>3717</v>
      </c>
      <c r="C2263" s="2" t="s">
        <v>95</v>
      </c>
      <c r="D2263" s="2" t="s">
        <v>3718</v>
      </c>
      <c r="E2263" s="3" t="s">
        <v>76</v>
      </c>
      <c r="F2263" s="4">
        <f>10000+1400</f>
        <v>11400</v>
      </c>
      <c r="G2263" s="4" t="s">
        <v>1030</v>
      </c>
      <c r="H2263" s="22" t="s">
        <v>78</v>
      </c>
      <c r="I2263" s="22">
        <v>11400</v>
      </c>
      <c r="J2263" s="22"/>
      <c r="K2263" s="22">
        <f t="shared" si="25"/>
        <v>11400</v>
      </c>
      <c r="L2263" s="17"/>
      <c r="M2263" s="26" t="s">
        <v>581</v>
      </c>
      <c r="N2263" s="1" t="s">
        <v>3719</v>
      </c>
      <c r="Q2263" s="25"/>
    </row>
    <row r="2264" spans="1:20" x14ac:dyDescent="0.25">
      <c r="A2264" s="10">
        <v>46164</v>
      </c>
      <c r="B2264" s="2" t="s">
        <v>3717</v>
      </c>
      <c r="C2264" s="2" t="s">
        <v>95</v>
      </c>
      <c r="D2264" s="2" t="s">
        <v>3718</v>
      </c>
      <c r="E2264" s="3" t="s">
        <v>76</v>
      </c>
      <c r="G2264" s="4" t="s">
        <v>3716</v>
      </c>
      <c r="H2264" s="22" t="s">
        <v>49</v>
      </c>
      <c r="I2264" s="22"/>
      <c r="J2264" s="22">
        <f>I2263</f>
        <v>11400</v>
      </c>
      <c r="K2264" s="22">
        <f t="shared" si="25"/>
        <v>11400</v>
      </c>
      <c r="L2264" s="17"/>
      <c r="M2264" s="26"/>
      <c r="Q2264" s="25"/>
    </row>
    <row r="2265" spans="1:20" ht="36" x14ac:dyDescent="0.25">
      <c r="A2265" s="10">
        <v>46164</v>
      </c>
      <c r="B2265" s="2" t="s">
        <v>3720</v>
      </c>
      <c r="C2265" s="2" t="s">
        <v>95</v>
      </c>
      <c r="D2265" s="2" t="s">
        <v>3721</v>
      </c>
      <c r="E2265" s="3" t="s">
        <v>149</v>
      </c>
      <c r="F2265" s="4">
        <v>2000</v>
      </c>
      <c r="G2265" s="4" t="s">
        <v>3722</v>
      </c>
      <c r="H2265" s="22" t="s">
        <v>78</v>
      </c>
      <c r="I2265" s="22">
        <v>2000</v>
      </c>
      <c r="J2265" s="22"/>
      <c r="K2265" s="22">
        <f t="shared" si="25"/>
        <v>2000</v>
      </c>
      <c r="L2265" s="17"/>
      <c r="M2265" s="26" t="s">
        <v>581</v>
      </c>
      <c r="N2265" s="1" t="s">
        <v>3723</v>
      </c>
      <c r="Q2265" s="25"/>
    </row>
    <row r="2266" spans="1:20" x14ac:dyDescent="0.25">
      <c r="A2266" s="10">
        <v>46164</v>
      </c>
      <c r="B2266" s="2" t="s">
        <v>3720</v>
      </c>
      <c r="C2266" s="2" t="s">
        <v>95</v>
      </c>
      <c r="D2266" s="2" t="s">
        <v>3721</v>
      </c>
      <c r="E2266" s="3" t="s">
        <v>149</v>
      </c>
      <c r="G2266" s="4" t="s">
        <v>3716</v>
      </c>
      <c r="H2266" s="22" t="s">
        <v>49</v>
      </c>
      <c r="I2266" s="22"/>
      <c r="J2266" s="22">
        <f>I2265</f>
        <v>2000</v>
      </c>
      <c r="K2266" s="22">
        <f t="shared" si="25"/>
        <v>2000</v>
      </c>
      <c r="L2266" s="17"/>
      <c r="M2266" s="23"/>
      <c r="Q2266" s="25"/>
    </row>
    <row r="2267" spans="1:20" x14ac:dyDescent="0.25">
      <c r="A2267" s="10">
        <v>46164</v>
      </c>
      <c r="B2267" s="2" t="s">
        <v>3724</v>
      </c>
      <c r="C2267" s="2" t="s">
        <v>396</v>
      </c>
      <c r="D2267" s="2" t="s">
        <v>3725</v>
      </c>
      <c r="E2267" s="3" t="s">
        <v>467</v>
      </c>
      <c r="F2267" s="4">
        <f>1000+1786.7+1000+334+840+1000+3690+1922.39+1000</f>
        <v>12573.09</v>
      </c>
      <c r="G2267" s="4" t="s">
        <v>167</v>
      </c>
      <c r="H2267" s="22" t="s">
        <v>899</v>
      </c>
      <c r="I2267" s="22">
        <v>5287.86</v>
      </c>
      <c r="J2267" s="22"/>
      <c r="K2267" s="22">
        <f t="shared" si="25"/>
        <v>5287.86</v>
      </c>
      <c r="L2267" s="17"/>
      <c r="M2267" s="26" t="s">
        <v>581</v>
      </c>
      <c r="N2267" s="1" t="s">
        <v>3726</v>
      </c>
      <c r="Q2267" s="25"/>
    </row>
    <row r="2268" spans="1:20" x14ac:dyDescent="0.25">
      <c r="A2268" s="10">
        <v>46164</v>
      </c>
      <c r="B2268" s="2" t="s">
        <v>3724</v>
      </c>
      <c r="C2268" s="2" t="s">
        <v>396</v>
      </c>
      <c r="D2268" s="2" t="s">
        <v>3725</v>
      </c>
      <c r="E2268" s="3" t="s">
        <v>467</v>
      </c>
      <c r="G2268" s="4" t="s">
        <v>28</v>
      </c>
      <c r="H2268" s="22" t="s">
        <v>40</v>
      </c>
      <c r="I2268" s="22">
        <v>2643.48</v>
      </c>
      <c r="J2268" s="22"/>
      <c r="K2268" s="22">
        <f t="shared" si="25"/>
        <v>2643.48</v>
      </c>
      <c r="L2268" s="17"/>
      <c r="M2268" s="26"/>
      <c r="Q2268" s="25"/>
    </row>
    <row r="2269" spans="1:20" x14ac:dyDescent="0.25">
      <c r="A2269" s="10">
        <v>46164</v>
      </c>
      <c r="B2269" s="2" t="s">
        <v>3724</v>
      </c>
      <c r="C2269" s="2" t="s">
        <v>396</v>
      </c>
      <c r="D2269" s="2" t="s">
        <v>3725</v>
      </c>
      <c r="E2269" s="3" t="s">
        <v>467</v>
      </c>
      <c r="G2269" s="4" t="s">
        <v>167</v>
      </c>
      <c r="H2269" s="22" t="s">
        <v>809</v>
      </c>
      <c r="I2269" s="22">
        <v>3690</v>
      </c>
      <c r="J2269" s="22"/>
      <c r="K2269" s="22">
        <f t="shared" si="25"/>
        <v>3690</v>
      </c>
      <c r="L2269" s="17"/>
      <c r="M2269" s="26"/>
      <c r="Q2269" s="25"/>
    </row>
    <row r="2270" spans="1:20" x14ac:dyDescent="0.25">
      <c r="A2270" s="10">
        <v>46164</v>
      </c>
      <c r="B2270" s="2" t="s">
        <v>3724</v>
      </c>
      <c r="C2270" s="2" t="s">
        <v>396</v>
      </c>
      <c r="D2270" s="2" t="s">
        <v>3725</v>
      </c>
      <c r="E2270" s="3" t="s">
        <v>467</v>
      </c>
      <c r="G2270" s="4" t="s">
        <v>28</v>
      </c>
      <c r="H2270" s="22" t="s">
        <v>104</v>
      </c>
      <c r="I2270" s="22">
        <v>317.22000000000003</v>
      </c>
      <c r="J2270" s="22"/>
      <c r="K2270" s="22">
        <f t="shared" si="25"/>
        <v>317.22000000000003</v>
      </c>
      <c r="L2270" s="17"/>
      <c r="M2270" s="26"/>
      <c r="Q2270" s="25"/>
    </row>
    <row r="2271" spans="1:20" x14ac:dyDescent="0.25">
      <c r="A2271" s="10">
        <v>46164</v>
      </c>
      <c r="B2271" s="2" t="s">
        <v>3724</v>
      </c>
      <c r="C2271" s="2" t="s">
        <v>396</v>
      </c>
      <c r="D2271" s="2" t="s">
        <v>3725</v>
      </c>
      <c r="E2271" s="3" t="s">
        <v>467</v>
      </c>
      <c r="G2271" s="4" t="s">
        <v>48</v>
      </c>
      <c r="H2271" s="22" t="s">
        <v>1187</v>
      </c>
      <c r="I2271" s="22">
        <v>634.53</v>
      </c>
      <c r="J2271" s="22"/>
      <c r="K2271" s="22">
        <f t="shared" si="25"/>
        <v>634.53</v>
      </c>
      <c r="L2271" s="17"/>
      <c r="M2271" s="26"/>
      <c r="Q2271" s="25"/>
    </row>
    <row r="2272" spans="1:20" x14ac:dyDescent="0.25">
      <c r="A2272" s="10">
        <v>46164</v>
      </c>
      <c r="B2272" s="2" t="s">
        <v>3724</v>
      </c>
      <c r="C2272" s="2" t="s">
        <v>396</v>
      </c>
      <c r="D2272" s="2" t="s">
        <v>3725</v>
      </c>
      <c r="E2272" s="3" t="s">
        <v>467</v>
      </c>
      <c r="G2272" s="4" t="s">
        <v>48</v>
      </c>
      <c r="H2272" s="22" t="s">
        <v>49</v>
      </c>
      <c r="I2272" s="22"/>
      <c r="J2272" s="22">
        <f>I2267+I2268+I2269+I2270+I2271</f>
        <v>12573.09</v>
      </c>
      <c r="K2272" s="22">
        <f t="shared" si="25"/>
        <v>12573.09</v>
      </c>
      <c r="L2272" s="17"/>
      <c r="M2272" s="23"/>
      <c r="Q2272" s="25"/>
    </row>
    <row r="2273" spans="1:20" ht="24" x14ac:dyDescent="0.25">
      <c r="A2273" s="10">
        <v>46164</v>
      </c>
      <c r="B2273" s="2" t="s">
        <v>3727</v>
      </c>
      <c r="C2273" s="2" t="s">
        <v>95</v>
      </c>
      <c r="D2273" s="2" t="s">
        <v>3728</v>
      </c>
      <c r="E2273" s="3" t="s">
        <v>2874</v>
      </c>
      <c r="F2273" s="4">
        <v>6000</v>
      </c>
      <c r="G2273" s="4" t="s">
        <v>1030</v>
      </c>
      <c r="H2273" s="22" t="s">
        <v>78</v>
      </c>
      <c r="I2273" s="22">
        <v>6000</v>
      </c>
      <c r="J2273" s="22"/>
      <c r="K2273" s="22">
        <f t="shared" si="25"/>
        <v>6000</v>
      </c>
      <c r="L2273" s="17"/>
      <c r="M2273" s="26" t="s">
        <v>581</v>
      </c>
      <c r="N2273" s="1" t="s">
        <v>3729</v>
      </c>
      <c r="Q2273" s="25"/>
    </row>
    <row r="2274" spans="1:20" x14ac:dyDescent="0.25">
      <c r="A2274" s="10">
        <v>46164</v>
      </c>
      <c r="B2274" s="2" t="s">
        <v>3727</v>
      </c>
      <c r="C2274" s="2" t="s">
        <v>95</v>
      </c>
      <c r="D2274" s="2" t="s">
        <v>3728</v>
      </c>
      <c r="E2274" s="3" t="s">
        <v>2874</v>
      </c>
      <c r="G2274" s="4" t="s">
        <v>48</v>
      </c>
      <c r="H2274" s="22" t="s">
        <v>49</v>
      </c>
      <c r="I2274" s="22"/>
      <c r="J2274" s="22">
        <f>I2273</f>
        <v>6000</v>
      </c>
      <c r="K2274" s="22">
        <f t="shared" si="25"/>
        <v>6000</v>
      </c>
      <c r="L2274" s="17"/>
      <c r="M2274" s="26"/>
      <c r="Q2274" s="25"/>
    </row>
    <row r="2275" spans="1:20" ht="36" x14ac:dyDescent="0.25">
      <c r="A2275" s="10">
        <v>46164</v>
      </c>
      <c r="B2275" s="2" t="s">
        <v>3730</v>
      </c>
      <c r="C2275" s="2" t="s">
        <v>147</v>
      </c>
      <c r="D2275" s="2" t="s">
        <v>3731</v>
      </c>
      <c r="E2275" s="3" t="s">
        <v>2874</v>
      </c>
      <c r="F2275" s="4">
        <f>1800+10000+5000</f>
        <v>16800</v>
      </c>
      <c r="G2275" s="4" t="s">
        <v>1030</v>
      </c>
      <c r="H2275" s="22" t="s">
        <v>78</v>
      </c>
      <c r="I2275" s="22">
        <v>16800</v>
      </c>
      <c r="J2275" s="22"/>
      <c r="K2275" s="22">
        <f t="shared" si="25"/>
        <v>16800</v>
      </c>
      <c r="L2275" s="17"/>
      <c r="M2275" s="26" t="s">
        <v>581</v>
      </c>
      <c r="N2275" s="1" t="s">
        <v>3732</v>
      </c>
      <c r="Q2275" s="25"/>
    </row>
    <row r="2276" spans="1:20" x14ac:dyDescent="0.25">
      <c r="A2276" s="10">
        <v>46164</v>
      </c>
      <c r="B2276" s="2" t="s">
        <v>3730</v>
      </c>
      <c r="C2276" s="2" t="s">
        <v>147</v>
      </c>
      <c r="D2276" s="2" t="s">
        <v>3731</v>
      </c>
      <c r="E2276" s="3" t="s">
        <v>2874</v>
      </c>
      <c r="G2276" s="4" t="s">
        <v>48</v>
      </c>
      <c r="H2276" s="22" t="s">
        <v>49</v>
      </c>
      <c r="I2276" s="22"/>
      <c r="J2276" s="22">
        <f>I2275</f>
        <v>16800</v>
      </c>
      <c r="K2276" s="22">
        <f t="shared" si="25"/>
        <v>16800</v>
      </c>
      <c r="L2276" s="17"/>
      <c r="M2276" s="26"/>
      <c r="Q2276" s="25"/>
    </row>
    <row r="2277" spans="1:20" ht="36" x14ac:dyDescent="0.25">
      <c r="A2277" s="10">
        <v>46164</v>
      </c>
      <c r="B2277" s="2" t="s">
        <v>3733</v>
      </c>
      <c r="C2277" s="2" t="s">
        <v>141</v>
      </c>
      <c r="E2277" s="3" t="s">
        <v>27</v>
      </c>
      <c r="F2277" s="4">
        <v>62900</v>
      </c>
      <c r="G2277" s="4" t="s">
        <v>48</v>
      </c>
      <c r="H2277" s="22" t="s">
        <v>81</v>
      </c>
      <c r="I2277" s="22">
        <v>62700</v>
      </c>
      <c r="J2277" s="22"/>
      <c r="K2277" s="22">
        <f t="shared" si="25"/>
        <v>62700</v>
      </c>
      <c r="L2277" s="17">
        <v>62900</v>
      </c>
      <c r="M2277" s="23" t="s">
        <v>41</v>
      </c>
      <c r="N2277" s="1" t="s">
        <v>3734</v>
      </c>
      <c r="O2277" s="7" t="s">
        <v>143</v>
      </c>
      <c r="P2277" s="7" t="s">
        <v>32</v>
      </c>
      <c r="Q2277" s="25" t="s">
        <v>3735</v>
      </c>
      <c r="R2277" s="7" t="s">
        <v>3736</v>
      </c>
      <c r="S2277" s="3" t="s">
        <v>1630</v>
      </c>
      <c r="T2277" s="3" t="s">
        <v>3676</v>
      </c>
    </row>
    <row r="2278" spans="1:20" x14ac:dyDescent="0.25">
      <c r="A2278" s="10">
        <v>46164</v>
      </c>
      <c r="B2278" s="2" t="s">
        <v>3733</v>
      </c>
      <c r="C2278" s="2" t="s">
        <v>141</v>
      </c>
      <c r="E2278" s="3" t="s">
        <v>27</v>
      </c>
      <c r="G2278" s="4" t="s">
        <v>48</v>
      </c>
      <c r="H2278" s="22" t="s">
        <v>47</v>
      </c>
      <c r="I2278" s="22">
        <v>200</v>
      </c>
      <c r="J2278" s="22"/>
      <c r="K2278" s="22">
        <f t="shared" si="25"/>
        <v>200</v>
      </c>
      <c r="L2278" s="17"/>
      <c r="M2278" s="23"/>
      <c r="Q2278" s="25"/>
    </row>
    <row r="2279" spans="1:20" x14ac:dyDescent="0.25">
      <c r="A2279" s="10">
        <v>46164</v>
      </c>
      <c r="B2279" s="2" t="s">
        <v>3733</v>
      </c>
      <c r="C2279" s="2" t="s">
        <v>141</v>
      </c>
      <c r="E2279" s="3" t="s">
        <v>27</v>
      </c>
      <c r="G2279" s="4" t="s">
        <v>326</v>
      </c>
      <c r="H2279" s="22" t="s">
        <v>49</v>
      </c>
      <c r="I2279" s="22"/>
      <c r="J2279" s="22">
        <f>I2277+I2278</f>
        <v>62900</v>
      </c>
      <c r="K2279" s="22">
        <f t="shared" si="25"/>
        <v>62900</v>
      </c>
      <c r="L2279" s="17"/>
      <c r="M2279" s="23"/>
      <c r="Q2279" s="25"/>
    </row>
    <row r="2280" spans="1:20" ht="24" x14ac:dyDescent="0.25">
      <c r="A2280" s="10">
        <v>46167</v>
      </c>
      <c r="B2280" s="2" t="s">
        <v>3737</v>
      </c>
      <c r="C2280" s="2" t="s">
        <v>95</v>
      </c>
      <c r="D2280" s="2" t="s">
        <v>3738</v>
      </c>
      <c r="E2280" s="3" t="s">
        <v>2874</v>
      </c>
      <c r="F2280" s="4">
        <v>4243</v>
      </c>
      <c r="G2280" s="4" t="s">
        <v>1030</v>
      </c>
      <c r="H2280" s="22" t="s">
        <v>78</v>
      </c>
      <c r="I2280" s="22">
        <v>4243</v>
      </c>
      <c r="J2280" s="22"/>
      <c r="K2280" s="22">
        <f t="shared" si="25"/>
        <v>4243</v>
      </c>
      <c r="L2280" s="17"/>
      <c r="M2280" s="26" t="s">
        <v>581</v>
      </c>
      <c r="N2280" s="1" t="s">
        <v>3739</v>
      </c>
      <c r="Q2280" s="25"/>
    </row>
    <row r="2281" spans="1:20" x14ac:dyDescent="0.25">
      <c r="A2281" s="10">
        <v>46167</v>
      </c>
      <c r="B2281" s="2" t="s">
        <v>3737</v>
      </c>
      <c r="C2281" s="2" t="s">
        <v>95</v>
      </c>
      <c r="D2281" s="2" t="s">
        <v>3738</v>
      </c>
      <c r="E2281" s="3" t="s">
        <v>2874</v>
      </c>
      <c r="G2281" s="4" t="s">
        <v>48</v>
      </c>
      <c r="H2281" s="22" t="s">
        <v>49</v>
      </c>
      <c r="I2281" s="22"/>
      <c r="J2281" s="22">
        <f>I2280</f>
        <v>4243</v>
      </c>
      <c r="K2281" s="22">
        <f t="shared" si="25"/>
        <v>4243</v>
      </c>
      <c r="L2281" s="17"/>
      <c r="M2281" s="26"/>
      <c r="Q2281" s="25"/>
    </row>
    <row r="2282" spans="1:20" ht="24" x14ac:dyDescent="0.25">
      <c r="A2282" s="10">
        <v>46167</v>
      </c>
      <c r="B2282" s="2" t="s">
        <v>3740</v>
      </c>
      <c r="C2282" s="2" t="s">
        <v>95</v>
      </c>
      <c r="D2282" s="2" t="s">
        <v>3741</v>
      </c>
      <c r="E2282" s="3" t="s">
        <v>293</v>
      </c>
      <c r="F2282" s="4">
        <v>500</v>
      </c>
      <c r="G2282" s="4" t="s">
        <v>48</v>
      </c>
      <c r="H2282" s="22" t="s">
        <v>78</v>
      </c>
      <c r="I2282" s="22">
        <v>500</v>
      </c>
      <c r="J2282" s="22"/>
      <c r="K2282" s="22">
        <f t="shared" si="25"/>
        <v>500</v>
      </c>
      <c r="L2282" s="17">
        <v>500</v>
      </c>
      <c r="M2282" s="23" t="s">
        <v>41</v>
      </c>
      <c r="N2282" s="1" t="s">
        <v>3742</v>
      </c>
      <c r="O2282" s="24" t="s">
        <v>3313</v>
      </c>
      <c r="P2282" s="7" t="s">
        <v>81</v>
      </c>
      <c r="Q2282" s="25"/>
      <c r="R2282" s="7" t="s">
        <v>3314</v>
      </c>
      <c r="S2282" s="3" t="s">
        <v>83</v>
      </c>
      <c r="T2282" s="3" t="s">
        <v>3315</v>
      </c>
    </row>
    <row r="2283" spans="1:20" x14ac:dyDescent="0.25">
      <c r="A2283" s="10">
        <v>46167</v>
      </c>
      <c r="B2283" s="2" t="s">
        <v>3740</v>
      </c>
      <c r="C2283" s="2" t="s">
        <v>95</v>
      </c>
      <c r="D2283" s="2" t="s">
        <v>3741</v>
      </c>
      <c r="E2283" s="3" t="s">
        <v>293</v>
      </c>
      <c r="G2283" s="4" t="s">
        <v>48</v>
      </c>
      <c r="H2283" s="22" t="s">
        <v>49</v>
      </c>
      <c r="I2283" s="22"/>
      <c r="J2283" s="22">
        <f>I2282</f>
        <v>500</v>
      </c>
      <c r="K2283" s="22">
        <f t="shared" si="25"/>
        <v>500</v>
      </c>
      <c r="L2283" s="17"/>
      <c r="M2283" s="26"/>
      <c r="Q2283" s="25"/>
    </row>
    <row r="2284" spans="1:20" ht="24" x14ac:dyDescent="0.25">
      <c r="A2284" s="10">
        <v>46167</v>
      </c>
      <c r="B2284" s="2" t="s">
        <v>3743</v>
      </c>
      <c r="C2284" s="2" t="s">
        <v>95</v>
      </c>
      <c r="D2284" s="2" t="s">
        <v>3744</v>
      </c>
      <c r="E2284" s="3" t="s">
        <v>2874</v>
      </c>
      <c r="F2284" s="4">
        <v>5000</v>
      </c>
      <c r="G2284" s="4" t="s">
        <v>1030</v>
      </c>
      <c r="H2284" s="22" t="s">
        <v>78</v>
      </c>
      <c r="I2284" s="22">
        <v>5000</v>
      </c>
      <c r="J2284" s="22"/>
      <c r="K2284" s="22">
        <f t="shared" si="25"/>
        <v>5000</v>
      </c>
      <c r="L2284" s="17"/>
      <c r="M2284" s="26" t="s">
        <v>581</v>
      </c>
      <c r="N2284" s="1" t="s">
        <v>3745</v>
      </c>
      <c r="Q2284" s="25"/>
    </row>
    <row r="2285" spans="1:20" x14ac:dyDescent="0.25">
      <c r="A2285" s="10">
        <v>46167</v>
      </c>
      <c r="B2285" s="2" t="s">
        <v>3743</v>
      </c>
      <c r="C2285" s="2" t="s">
        <v>95</v>
      </c>
      <c r="D2285" s="2" t="s">
        <v>3744</v>
      </c>
      <c r="E2285" s="3" t="s">
        <v>2874</v>
      </c>
      <c r="G2285" s="4" t="s">
        <v>48</v>
      </c>
      <c r="H2285" s="22" t="s">
        <v>49</v>
      </c>
      <c r="I2285" s="22"/>
      <c r="J2285" s="22">
        <f>I2284</f>
        <v>5000</v>
      </c>
      <c r="K2285" s="22">
        <f t="shared" si="25"/>
        <v>5000</v>
      </c>
      <c r="L2285" s="17"/>
      <c r="M2285" s="26"/>
      <c r="Q2285" s="25"/>
    </row>
    <row r="2286" spans="1:20" ht="36" x14ac:dyDescent="0.25">
      <c r="A2286" s="10">
        <v>46167</v>
      </c>
      <c r="B2286" s="2" t="s">
        <v>3746</v>
      </c>
      <c r="C2286" s="2" t="s">
        <v>95</v>
      </c>
      <c r="D2286" s="2" t="s">
        <v>3747</v>
      </c>
      <c r="E2286" s="3" t="s">
        <v>261</v>
      </c>
      <c r="F2286" s="4">
        <v>16650</v>
      </c>
      <c r="G2286" s="4" t="s">
        <v>77</v>
      </c>
      <c r="H2286" s="22" t="s">
        <v>824</v>
      </c>
      <c r="I2286" s="22">
        <v>16650</v>
      </c>
      <c r="J2286" s="22"/>
      <c r="K2286" s="22">
        <f t="shared" si="25"/>
        <v>16650</v>
      </c>
      <c r="L2286" s="17"/>
      <c r="M2286" s="26" t="s">
        <v>581</v>
      </c>
      <c r="N2286" s="1" t="s">
        <v>3748</v>
      </c>
      <c r="Q2286" s="25"/>
    </row>
    <row r="2287" spans="1:20" x14ac:dyDescent="0.25">
      <c r="A2287" s="10">
        <v>46167</v>
      </c>
      <c r="B2287" s="2" t="s">
        <v>3746</v>
      </c>
      <c r="C2287" s="2" t="s">
        <v>95</v>
      </c>
      <c r="D2287" s="2" t="s">
        <v>3747</v>
      </c>
      <c r="E2287" s="3" t="s">
        <v>261</v>
      </c>
      <c r="G2287" s="4" t="s">
        <v>48</v>
      </c>
      <c r="H2287" s="22" t="s">
        <v>49</v>
      </c>
      <c r="I2287" s="22"/>
      <c r="J2287" s="22">
        <f>I2286</f>
        <v>16650</v>
      </c>
      <c r="K2287" s="22">
        <f t="shared" si="25"/>
        <v>16650</v>
      </c>
      <c r="L2287" s="17"/>
      <c r="M2287" s="26"/>
      <c r="Q2287" s="25"/>
    </row>
    <row r="2288" spans="1:20" ht="24" x14ac:dyDescent="0.25">
      <c r="A2288" s="10">
        <v>46167</v>
      </c>
      <c r="B2288" s="2" t="s">
        <v>3749</v>
      </c>
      <c r="C2288" s="2" t="s">
        <v>95</v>
      </c>
      <c r="D2288" s="2" t="s">
        <v>3750</v>
      </c>
      <c r="E2288" s="3" t="s">
        <v>2874</v>
      </c>
      <c r="F2288" s="4">
        <v>1960</v>
      </c>
      <c r="G2288" s="4" t="s">
        <v>1030</v>
      </c>
      <c r="H2288" s="22" t="s">
        <v>78</v>
      </c>
      <c r="I2288" s="22">
        <v>1960</v>
      </c>
      <c r="J2288" s="22"/>
      <c r="K2288" s="22">
        <f t="shared" si="25"/>
        <v>1960</v>
      </c>
      <c r="L2288" s="17"/>
      <c r="M2288" s="26" t="s">
        <v>581</v>
      </c>
      <c r="N2288" s="1" t="s">
        <v>3751</v>
      </c>
      <c r="Q2288" s="25"/>
    </row>
    <row r="2289" spans="1:20" x14ac:dyDescent="0.25">
      <c r="A2289" s="10">
        <v>46167</v>
      </c>
      <c r="B2289" s="2" t="s">
        <v>3749</v>
      </c>
      <c r="C2289" s="2" t="s">
        <v>95</v>
      </c>
      <c r="D2289" s="2" t="s">
        <v>3750</v>
      </c>
      <c r="E2289" s="3" t="s">
        <v>2874</v>
      </c>
      <c r="G2289" s="4" t="s">
        <v>48</v>
      </c>
      <c r="H2289" s="22" t="s">
        <v>49</v>
      </c>
      <c r="I2289" s="22"/>
      <c r="J2289" s="22">
        <f>I2288</f>
        <v>1960</v>
      </c>
      <c r="K2289" s="22">
        <f t="shared" si="25"/>
        <v>1960</v>
      </c>
      <c r="L2289" s="17"/>
      <c r="M2289" s="26"/>
      <c r="Q2289" s="25"/>
    </row>
    <row r="2290" spans="1:20" x14ac:dyDescent="0.25">
      <c r="A2290" s="10">
        <v>46167</v>
      </c>
      <c r="B2290" s="2" t="s">
        <v>3752</v>
      </c>
      <c r="E2290" s="3" t="s">
        <v>398</v>
      </c>
      <c r="F2290" s="4">
        <v>40000</v>
      </c>
      <c r="G2290" s="4" t="s">
        <v>167</v>
      </c>
      <c r="H2290" s="22" t="s">
        <v>168</v>
      </c>
      <c r="I2290" s="22">
        <v>40000</v>
      </c>
      <c r="J2290" s="22"/>
      <c r="K2290" s="22">
        <f t="shared" si="25"/>
        <v>40000</v>
      </c>
      <c r="L2290" s="17">
        <v>40000</v>
      </c>
      <c r="M2290" s="23" t="s">
        <v>41</v>
      </c>
      <c r="N2290" s="1" t="s">
        <v>3753</v>
      </c>
      <c r="O2290" s="7" t="s">
        <v>313</v>
      </c>
      <c r="P2290" s="7" t="s">
        <v>32</v>
      </c>
      <c r="Q2290" s="25" t="s">
        <v>3754</v>
      </c>
      <c r="R2290" s="7" t="s">
        <v>3619</v>
      </c>
      <c r="S2290" s="3" t="s">
        <v>1630</v>
      </c>
      <c r="T2290" s="3" t="s">
        <v>3676</v>
      </c>
    </row>
    <row r="2291" spans="1:20" x14ac:dyDescent="0.25">
      <c r="A2291" s="10">
        <v>46167</v>
      </c>
      <c r="B2291" s="2" t="s">
        <v>3752</v>
      </c>
      <c r="E2291" s="3" t="s">
        <v>398</v>
      </c>
      <c r="G2291" s="4" t="s">
        <v>326</v>
      </c>
      <c r="H2291" s="22" t="s">
        <v>327</v>
      </c>
      <c r="I2291" s="22"/>
      <c r="J2291" s="22">
        <f>I2290</f>
        <v>40000</v>
      </c>
      <c r="K2291" s="22">
        <f t="shared" si="25"/>
        <v>40000</v>
      </c>
      <c r="L2291" s="17"/>
      <c r="M2291" s="26"/>
      <c r="Q2291" s="25"/>
    </row>
    <row r="2292" spans="1:20" ht="24" x14ac:dyDescent="0.25">
      <c r="A2292" s="10">
        <v>46167</v>
      </c>
      <c r="B2292" s="2" t="s">
        <v>3755</v>
      </c>
      <c r="C2292" s="2" t="s">
        <v>141</v>
      </c>
      <c r="E2292" s="3" t="s">
        <v>27</v>
      </c>
      <c r="F2292" s="4">
        <v>200000</v>
      </c>
      <c r="G2292" s="4" t="s">
        <v>48</v>
      </c>
      <c r="H2292" s="22" t="s">
        <v>81</v>
      </c>
      <c r="I2292" s="22">
        <v>200000</v>
      </c>
      <c r="J2292" s="22"/>
      <c r="K2292" s="22">
        <f t="shared" si="25"/>
        <v>200000</v>
      </c>
      <c r="L2292" s="17">
        <v>200000</v>
      </c>
      <c r="M2292" s="23" t="s">
        <v>41</v>
      </c>
      <c r="N2292" s="1" t="s">
        <v>3756</v>
      </c>
      <c r="O2292" s="7" t="s">
        <v>143</v>
      </c>
      <c r="P2292" s="7" t="s">
        <v>32</v>
      </c>
      <c r="Q2292" s="25" t="s">
        <v>3757</v>
      </c>
      <c r="R2292" s="7" t="s">
        <v>3619</v>
      </c>
      <c r="S2292" s="3" t="s">
        <v>1630</v>
      </c>
      <c r="T2292" s="3" t="s">
        <v>3676</v>
      </c>
    </row>
    <row r="2293" spans="1:20" x14ac:dyDescent="0.25">
      <c r="A2293" s="10">
        <v>46167</v>
      </c>
      <c r="B2293" s="2" t="s">
        <v>3755</v>
      </c>
      <c r="C2293" s="2" t="s">
        <v>141</v>
      </c>
      <c r="E2293" s="3" t="s">
        <v>27</v>
      </c>
      <c r="G2293" s="4" t="s">
        <v>326</v>
      </c>
      <c r="H2293" s="22" t="s">
        <v>327</v>
      </c>
      <c r="I2293" s="22"/>
      <c r="J2293" s="22">
        <f>I2292</f>
        <v>200000</v>
      </c>
      <c r="K2293" s="22">
        <f t="shared" si="25"/>
        <v>200000</v>
      </c>
      <c r="L2293" s="17"/>
      <c r="M2293" s="23"/>
      <c r="Q2293" s="25"/>
    </row>
    <row r="2294" spans="1:20" x14ac:dyDescent="0.25">
      <c r="A2294" s="10">
        <v>46167</v>
      </c>
      <c r="B2294" s="2" t="s">
        <v>3758</v>
      </c>
      <c r="C2294" s="2" t="s">
        <v>164</v>
      </c>
      <c r="D2294" s="31" t="s">
        <v>180</v>
      </c>
      <c r="E2294" s="3" t="s">
        <v>181</v>
      </c>
      <c r="F2294" s="4">
        <v>50000</v>
      </c>
      <c r="G2294" s="4" t="s">
        <v>167</v>
      </c>
      <c r="H2294" s="22" t="s">
        <v>168</v>
      </c>
      <c r="I2294" s="22">
        <v>50000</v>
      </c>
      <c r="J2294" s="22"/>
      <c r="K2294" s="22">
        <f t="shared" si="25"/>
        <v>50000</v>
      </c>
      <c r="L2294" s="17">
        <v>50000</v>
      </c>
      <c r="M2294" s="23" t="s">
        <v>41</v>
      </c>
      <c r="N2294" s="1" t="s">
        <v>1735</v>
      </c>
      <c r="O2294" s="7" t="s">
        <v>177</v>
      </c>
      <c r="P2294" s="7" t="s">
        <v>81</v>
      </c>
      <c r="Q2294" s="25"/>
      <c r="R2294" s="7" t="s">
        <v>3619</v>
      </c>
      <c r="S2294" s="3" t="s">
        <v>83</v>
      </c>
      <c r="T2294" s="3" t="s">
        <v>3759</v>
      </c>
    </row>
    <row r="2295" spans="1:20" x14ac:dyDescent="0.25">
      <c r="A2295" s="10">
        <v>46167</v>
      </c>
      <c r="B2295" s="2" t="s">
        <v>3758</v>
      </c>
      <c r="C2295" s="2" t="s">
        <v>164</v>
      </c>
      <c r="D2295" s="31" t="s">
        <v>180</v>
      </c>
      <c r="E2295" s="3" t="s">
        <v>181</v>
      </c>
      <c r="G2295" s="4" t="s">
        <v>48</v>
      </c>
      <c r="H2295" s="22" t="s">
        <v>81</v>
      </c>
      <c r="I2295" s="22"/>
      <c r="J2295" s="22">
        <f>I2294</f>
        <v>50000</v>
      </c>
      <c r="K2295" s="22">
        <f t="shared" si="25"/>
        <v>50000</v>
      </c>
      <c r="L2295" s="17"/>
      <c r="M2295" s="26"/>
      <c r="Q2295" s="25"/>
    </row>
    <row r="2296" spans="1:20" x14ac:dyDescent="0.25">
      <c r="A2296" s="10">
        <v>46167</v>
      </c>
      <c r="B2296" s="2" t="s">
        <v>3760</v>
      </c>
      <c r="C2296" s="2" t="s">
        <v>164</v>
      </c>
      <c r="D2296" s="31" t="s">
        <v>165</v>
      </c>
      <c r="E2296" s="3" t="s">
        <v>166</v>
      </c>
      <c r="F2296" s="4">
        <v>50000</v>
      </c>
      <c r="G2296" s="4" t="s">
        <v>167</v>
      </c>
      <c r="H2296" s="22" t="s">
        <v>168</v>
      </c>
      <c r="I2296" s="22">
        <v>50000</v>
      </c>
      <c r="J2296" s="22"/>
      <c r="K2296" s="22">
        <f t="shared" si="25"/>
        <v>50000</v>
      </c>
      <c r="L2296" s="17">
        <v>50000</v>
      </c>
      <c r="M2296" s="23" t="s">
        <v>41</v>
      </c>
      <c r="N2296" s="1" t="s">
        <v>1738</v>
      </c>
      <c r="O2296" s="7" t="s">
        <v>177</v>
      </c>
      <c r="P2296" s="7" t="s">
        <v>81</v>
      </c>
      <c r="Q2296" s="25"/>
      <c r="R2296" s="7" t="s">
        <v>3619</v>
      </c>
      <c r="S2296" s="3" t="s">
        <v>83</v>
      </c>
      <c r="T2296" s="3" t="s">
        <v>3759</v>
      </c>
    </row>
    <row r="2297" spans="1:20" x14ac:dyDescent="0.25">
      <c r="A2297" s="10">
        <v>46167</v>
      </c>
      <c r="B2297" s="2" t="s">
        <v>3760</v>
      </c>
      <c r="C2297" s="2" t="s">
        <v>164</v>
      </c>
      <c r="D2297" s="31" t="s">
        <v>165</v>
      </c>
      <c r="E2297" s="3" t="s">
        <v>166</v>
      </c>
      <c r="G2297" s="4" t="s">
        <v>48</v>
      </c>
      <c r="H2297" s="22" t="s">
        <v>81</v>
      </c>
      <c r="I2297" s="22"/>
      <c r="J2297" s="22">
        <f>I2296</f>
        <v>50000</v>
      </c>
      <c r="K2297" s="22">
        <f t="shared" si="25"/>
        <v>50000</v>
      </c>
      <c r="L2297" s="17"/>
      <c r="M2297" s="26"/>
      <c r="Q2297" s="25"/>
    </row>
    <row r="2298" spans="1:20" ht="24" x14ac:dyDescent="0.25">
      <c r="A2298" s="10">
        <v>46167</v>
      </c>
      <c r="B2298" s="2" t="s">
        <v>3761</v>
      </c>
      <c r="C2298" s="2" t="s">
        <v>164</v>
      </c>
      <c r="D2298" s="31" t="s">
        <v>189</v>
      </c>
      <c r="E2298" s="3" t="s">
        <v>190</v>
      </c>
      <c r="F2298" s="4">
        <v>50000</v>
      </c>
      <c r="G2298" s="4" t="s">
        <v>167</v>
      </c>
      <c r="H2298" s="22" t="s">
        <v>168</v>
      </c>
      <c r="I2298" s="22">
        <v>50000</v>
      </c>
      <c r="J2298" s="22"/>
      <c r="K2298" s="22">
        <f t="shared" si="25"/>
        <v>50000</v>
      </c>
      <c r="L2298" s="17">
        <v>50000</v>
      </c>
      <c r="M2298" s="23" t="s">
        <v>41</v>
      </c>
      <c r="N2298" s="1" t="s">
        <v>3762</v>
      </c>
      <c r="O2298" s="7" t="s">
        <v>177</v>
      </c>
      <c r="P2298" s="7" t="s">
        <v>81</v>
      </c>
      <c r="Q2298" s="25"/>
      <c r="R2298" s="7" t="s">
        <v>3619</v>
      </c>
      <c r="S2298" s="3" t="s">
        <v>83</v>
      </c>
      <c r="T2298" s="3" t="s">
        <v>3759</v>
      </c>
    </row>
    <row r="2299" spans="1:20" x14ac:dyDescent="0.25">
      <c r="A2299" s="10">
        <v>46167</v>
      </c>
      <c r="B2299" s="2" t="s">
        <v>3761</v>
      </c>
      <c r="C2299" s="2" t="s">
        <v>164</v>
      </c>
      <c r="D2299" s="31" t="s">
        <v>189</v>
      </c>
      <c r="E2299" s="3" t="s">
        <v>190</v>
      </c>
      <c r="G2299" s="4" t="s">
        <v>48</v>
      </c>
      <c r="H2299" s="22" t="s">
        <v>81</v>
      </c>
      <c r="I2299" s="22"/>
      <c r="J2299" s="22">
        <f>I2298</f>
        <v>50000</v>
      </c>
      <c r="K2299" s="22">
        <f t="shared" si="25"/>
        <v>50000</v>
      </c>
      <c r="L2299" s="17"/>
      <c r="M2299" s="26"/>
      <c r="Q2299" s="25"/>
    </row>
    <row r="2300" spans="1:20" x14ac:dyDescent="0.25">
      <c r="A2300" s="10">
        <v>46167</v>
      </c>
      <c r="B2300" s="2" t="s">
        <v>3763</v>
      </c>
      <c r="C2300" s="2" t="s">
        <v>173</v>
      </c>
      <c r="D2300" s="31" t="s">
        <v>174</v>
      </c>
      <c r="E2300" s="3" t="s">
        <v>175</v>
      </c>
      <c r="F2300" s="4">
        <v>50000</v>
      </c>
      <c r="G2300" s="4" t="s">
        <v>167</v>
      </c>
      <c r="H2300" s="22" t="s">
        <v>168</v>
      </c>
      <c r="I2300" s="22">
        <v>50000</v>
      </c>
      <c r="J2300" s="22"/>
      <c r="K2300" s="22">
        <f t="shared" si="25"/>
        <v>50000</v>
      </c>
      <c r="L2300" s="17">
        <v>50000</v>
      </c>
      <c r="M2300" s="23" t="s">
        <v>41</v>
      </c>
      <c r="N2300" s="1" t="s">
        <v>1740</v>
      </c>
      <c r="O2300" s="7" t="s">
        <v>177</v>
      </c>
      <c r="P2300" s="7" t="s">
        <v>81</v>
      </c>
      <c r="Q2300" s="25"/>
      <c r="R2300" s="7" t="s">
        <v>3619</v>
      </c>
      <c r="S2300" s="3" t="s">
        <v>83</v>
      </c>
      <c r="T2300" s="3" t="s">
        <v>3759</v>
      </c>
    </row>
    <row r="2301" spans="1:20" x14ac:dyDescent="0.25">
      <c r="A2301" s="10">
        <v>46167</v>
      </c>
      <c r="B2301" s="2" t="s">
        <v>3763</v>
      </c>
      <c r="C2301" s="2" t="s">
        <v>173</v>
      </c>
      <c r="D2301" s="31" t="s">
        <v>174</v>
      </c>
      <c r="E2301" s="3" t="s">
        <v>175</v>
      </c>
      <c r="G2301" s="4" t="s">
        <v>48</v>
      </c>
      <c r="H2301" s="22" t="s">
        <v>81</v>
      </c>
      <c r="I2301" s="22"/>
      <c r="J2301" s="22">
        <f>I2300</f>
        <v>50000</v>
      </c>
      <c r="K2301" s="22">
        <f t="shared" si="25"/>
        <v>50000</v>
      </c>
      <c r="L2301" s="17"/>
      <c r="M2301" s="26"/>
      <c r="Q2301" s="25"/>
    </row>
    <row r="2302" spans="1:20" ht="38.4" customHeight="1" x14ac:dyDescent="0.25">
      <c r="A2302" s="10">
        <v>46167</v>
      </c>
      <c r="B2302" s="2" t="s">
        <v>3764</v>
      </c>
      <c r="C2302" s="2" t="s">
        <v>147</v>
      </c>
      <c r="D2302" s="2" t="s">
        <v>3765</v>
      </c>
      <c r="E2302" s="3" t="s">
        <v>955</v>
      </c>
      <c r="F2302" s="4">
        <v>25000</v>
      </c>
      <c r="G2302" s="4" t="s">
        <v>3656</v>
      </c>
      <c r="H2302" s="22" t="s">
        <v>78</v>
      </c>
      <c r="I2302" s="22">
        <v>12500</v>
      </c>
      <c r="J2302" s="22"/>
      <c r="K2302" s="22">
        <f t="shared" si="25"/>
        <v>12500</v>
      </c>
      <c r="L2302" s="17">
        <v>25000</v>
      </c>
      <c r="M2302" s="23" t="s">
        <v>41</v>
      </c>
      <c r="N2302" s="44" t="s">
        <v>3766</v>
      </c>
      <c r="O2302" s="7" t="s">
        <v>3767</v>
      </c>
      <c r="P2302" s="7" t="s">
        <v>81</v>
      </c>
      <c r="Q2302" s="25"/>
      <c r="R2302" s="7" t="s">
        <v>3619</v>
      </c>
      <c r="S2302" s="3" t="s">
        <v>83</v>
      </c>
      <c r="T2302" s="3" t="s">
        <v>3768</v>
      </c>
    </row>
    <row r="2303" spans="1:20" ht="12" customHeight="1" x14ac:dyDescent="0.25">
      <c r="A2303" s="10">
        <v>46167</v>
      </c>
      <c r="B2303" s="2" t="s">
        <v>3764</v>
      </c>
      <c r="C2303" s="2" t="s">
        <v>147</v>
      </c>
      <c r="D2303" s="2" t="s">
        <v>3765</v>
      </c>
      <c r="E2303" s="3" t="s">
        <v>955</v>
      </c>
      <c r="G2303" s="4" t="s">
        <v>1030</v>
      </c>
      <c r="H2303" s="22" t="s">
        <v>78</v>
      </c>
      <c r="I2303" s="22">
        <v>12500</v>
      </c>
      <c r="J2303" s="22"/>
      <c r="K2303" s="22">
        <f t="shared" si="25"/>
        <v>12500</v>
      </c>
      <c r="L2303" s="17"/>
      <c r="M2303" s="26"/>
      <c r="N2303" s="44"/>
      <c r="Q2303" s="25"/>
    </row>
    <row r="2304" spans="1:20" ht="12" customHeight="1" x14ac:dyDescent="0.25">
      <c r="A2304" s="10">
        <v>46167</v>
      </c>
      <c r="B2304" s="2" t="s">
        <v>3764</v>
      </c>
      <c r="C2304" s="2" t="s">
        <v>147</v>
      </c>
      <c r="D2304" s="2" t="s">
        <v>3765</v>
      </c>
      <c r="E2304" s="3" t="s">
        <v>955</v>
      </c>
      <c r="G2304" s="4" t="s">
        <v>48</v>
      </c>
      <c r="H2304" s="22" t="s">
        <v>49</v>
      </c>
      <c r="I2304" s="22"/>
      <c r="J2304" s="22">
        <f>I2302+I2303</f>
        <v>25000</v>
      </c>
      <c r="K2304" s="22">
        <f t="shared" si="25"/>
        <v>25000</v>
      </c>
      <c r="L2304" s="17"/>
      <c r="M2304" s="26"/>
      <c r="N2304" s="44"/>
      <c r="Q2304" s="25"/>
    </row>
    <row r="2305" spans="1:20" ht="24" x14ac:dyDescent="0.25">
      <c r="A2305" s="10">
        <v>46167</v>
      </c>
      <c r="B2305" s="2" t="s">
        <v>3769</v>
      </c>
      <c r="C2305" s="2" t="s">
        <v>95</v>
      </c>
      <c r="D2305" s="2" t="s">
        <v>3770</v>
      </c>
      <c r="E2305" s="3" t="s">
        <v>76</v>
      </c>
      <c r="F2305" s="4">
        <v>68000</v>
      </c>
      <c r="G2305" s="4" t="s">
        <v>128</v>
      </c>
      <c r="H2305" s="22" t="s">
        <v>78</v>
      </c>
      <c r="I2305" s="22">
        <v>68000</v>
      </c>
      <c r="J2305" s="22"/>
      <c r="K2305" s="22">
        <f t="shared" si="25"/>
        <v>68000</v>
      </c>
      <c r="L2305" s="17"/>
      <c r="M2305" s="26" t="s">
        <v>581</v>
      </c>
      <c r="N2305" s="1" t="s">
        <v>3771</v>
      </c>
      <c r="Q2305" s="25"/>
    </row>
    <row r="2306" spans="1:20" x14ac:dyDescent="0.25">
      <c r="A2306" s="10">
        <v>46167</v>
      </c>
      <c r="B2306" s="2" t="s">
        <v>3769</v>
      </c>
      <c r="C2306" s="2" t="s">
        <v>95</v>
      </c>
      <c r="D2306" s="2" t="s">
        <v>3770</v>
      </c>
      <c r="E2306" s="3" t="s">
        <v>76</v>
      </c>
      <c r="G2306" s="4" t="s">
        <v>48</v>
      </c>
      <c r="H2306" s="22" t="s">
        <v>49</v>
      </c>
      <c r="I2306" s="22"/>
      <c r="J2306" s="22">
        <f>I2305</f>
        <v>68000</v>
      </c>
      <c r="K2306" s="22">
        <f t="shared" si="25"/>
        <v>68000</v>
      </c>
      <c r="L2306" s="17"/>
      <c r="M2306" s="26"/>
      <c r="Q2306" s="25"/>
    </row>
    <row r="2307" spans="1:20" ht="24" x14ac:dyDescent="0.25">
      <c r="A2307" s="10">
        <v>46167</v>
      </c>
      <c r="B2307" s="2" t="s">
        <v>3772</v>
      </c>
      <c r="C2307" s="2" t="s">
        <v>95</v>
      </c>
      <c r="D2307" s="2" t="s">
        <v>3773</v>
      </c>
      <c r="E2307" s="3" t="s">
        <v>2447</v>
      </c>
      <c r="F2307" s="4">
        <v>150</v>
      </c>
      <c r="G2307" s="4" t="s">
        <v>48</v>
      </c>
      <c r="H2307" s="22" t="s">
        <v>1958</v>
      </c>
      <c r="I2307" s="22">
        <v>150</v>
      </c>
      <c r="J2307" s="22"/>
      <c r="K2307" s="22">
        <f t="shared" si="25"/>
        <v>150</v>
      </c>
      <c r="L2307" s="17"/>
      <c r="M2307" s="26" t="s">
        <v>581</v>
      </c>
      <c r="N2307" s="1" t="s">
        <v>3774</v>
      </c>
      <c r="Q2307" s="25"/>
    </row>
    <row r="2308" spans="1:20" x14ac:dyDescent="0.25">
      <c r="A2308" s="10">
        <v>46167</v>
      </c>
      <c r="B2308" s="2" t="s">
        <v>3772</v>
      </c>
      <c r="C2308" s="2" t="s">
        <v>95</v>
      </c>
      <c r="D2308" s="2" t="s">
        <v>3773</v>
      </c>
      <c r="E2308" s="3" t="s">
        <v>2447</v>
      </c>
      <c r="G2308" s="4" t="s">
        <v>48</v>
      </c>
      <c r="H2308" s="22" t="s">
        <v>81</v>
      </c>
      <c r="I2308" s="22"/>
      <c r="J2308" s="22">
        <f>I2307</f>
        <v>150</v>
      </c>
      <c r="K2308" s="22">
        <f t="shared" si="25"/>
        <v>150</v>
      </c>
      <c r="L2308" s="17"/>
      <c r="M2308" s="26"/>
      <c r="Q2308" s="25"/>
    </row>
    <row r="2309" spans="1:20" ht="24" x14ac:dyDescent="0.25">
      <c r="A2309" s="10">
        <v>46167</v>
      </c>
      <c r="B2309" s="2" t="s">
        <v>3775</v>
      </c>
      <c r="C2309" s="2" t="s">
        <v>141</v>
      </c>
      <c r="E2309" s="3" t="s">
        <v>27</v>
      </c>
      <c r="F2309" s="4">
        <v>100000</v>
      </c>
      <c r="G2309" s="4" t="s">
        <v>48</v>
      </c>
      <c r="H2309" s="22" t="s">
        <v>81</v>
      </c>
      <c r="I2309" s="22">
        <v>99800</v>
      </c>
      <c r="J2309" s="22"/>
      <c r="K2309" s="22">
        <f t="shared" si="25"/>
        <v>99800</v>
      </c>
      <c r="L2309" s="17">
        <v>100000</v>
      </c>
      <c r="M2309" s="23" t="s">
        <v>41</v>
      </c>
      <c r="N2309" s="1" t="s">
        <v>3776</v>
      </c>
      <c r="O2309" s="7" t="s">
        <v>143</v>
      </c>
      <c r="P2309" s="7" t="s">
        <v>32</v>
      </c>
      <c r="Q2309" s="25" t="s">
        <v>3777</v>
      </c>
      <c r="R2309" s="7" t="s">
        <v>3619</v>
      </c>
      <c r="S2309" s="3" t="s">
        <v>1630</v>
      </c>
      <c r="T2309" s="3" t="s">
        <v>3676</v>
      </c>
    </row>
    <row r="2310" spans="1:20" x14ac:dyDescent="0.25">
      <c r="A2310" s="10">
        <v>46167</v>
      </c>
      <c r="B2310" s="2" t="s">
        <v>3775</v>
      </c>
      <c r="C2310" s="2" t="s">
        <v>141</v>
      </c>
      <c r="E2310" s="3" t="s">
        <v>27</v>
      </c>
      <c r="G2310" s="4" t="s">
        <v>48</v>
      </c>
      <c r="H2310" s="22" t="s">
        <v>47</v>
      </c>
      <c r="I2310" s="22">
        <v>200</v>
      </c>
      <c r="J2310" s="22"/>
      <c r="K2310" s="22">
        <f t="shared" si="25"/>
        <v>200</v>
      </c>
      <c r="L2310" s="17"/>
      <c r="M2310" s="23"/>
      <c r="Q2310" s="25"/>
    </row>
    <row r="2311" spans="1:20" x14ac:dyDescent="0.25">
      <c r="A2311" s="10">
        <v>46167</v>
      </c>
      <c r="B2311" s="2" t="s">
        <v>3775</v>
      </c>
      <c r="C2311" s="2" t="s">
        <v>141</v>
      </c>
      <c r="E2311" s="3" t="s">
        <v>27</v>
      </c>
      <c r="G2311" s="4" t="s">
        <v>326</v>
      </c>
      <c r="H2311" s="22" t="s">
        <v>327</v>
      </c>
      <c r="I2311" s="22"/>
      <c r="J2311" s="22">
        <f>I2309+I2310</f>
        <v>100000</v>
      </c>
      <c r="K2311" s="22">
        <f t="shared" si="25"/>
        <v>100000</v>
      </c>
      <c r="L2311" s="17"/>
      <c r="M2311" s="23"/>
      <c r="Q2311" s="25"/>
    </row>
    <row r="2312" spans="1:20" ht="24" x14ac:dyDescent="0.25">
      <c r="A2312" s="10">
        <v>46167</v>
      </c>
      <c r="B2312" s="2" t="s">
        <v>3778</v>
      </c>
      <c r="C2312" s="2" t="s">
        <v>3779</v>
      </c>
      <c r="D2312" s="2" t="s">
        <v>3780</v>
      </c>
      <c r="E2312" s="3" t="s">
        <v>1826</v>
      </c>
      <c r="F2312" s="4">
        <v>9000</v>
      </c>
      <c r="G2312" s="4" t="s">
        <v>48</v>
      </c>
      <c r="H2312" s="22" t="s">
        <v>1827</v>
      </c>
      <c r="I2312" s="22">
        <v>9000</v>
      </c>
      <c r="J2312" s="22"/>
      <c r="K2312" s="22">
        <f t="shared" si="25"/>
        <v>9000</v>
      </c>
      <c r="L2312" s="17"/>
      <c r="M2312" s="6" t="s">
        <v>581</v>
      </c>
      <c r="N2312" s="1" t="s">
        <v>3781</v>
      </c>
      <c r="Q2312" s="25"/>
    </row>
    <row r="2313" spans="1:20" x14ac:dyDescent="0.25">
      <c r="A2313" s="10">
        <v>46167</v>
      </c>
      <c r="B2313" s="2" t="s">
        <v>3778</v>
      </c>
      <c r="C2313" s="2" t="s">
        <v>3779</v>
      </c>
      <c r="D2313" s="2" t="s">
        <v>3780</v>
      </c>
      <c r="E2313" s="3" t="s">
        <v>1826</v>
      </c>
      <c r="G2313" s="4" t="s">
        <v>48</v>
      </c>
      <c r="H2313" s="22" t="s">
        <v>49</v>
      </c>
      <c r="I2313" s="22"/>
      <c r="J2313" s="22">
        <f>I2312</f>
        <v>9000</v>
      </c>
      <c r="K2313" s="22">
        <f t="shared" si="25"/>
        <v>9000</v>
      </c>
      <c r="L2313" s="17"/>
      <c r="Q2313" s="25"/>
    </row>
    <row r="2314" spans="1:20" ht="24" x14ac:dyDescent="0.25">
      <c r="A2314" s="10">
        <v>46170</v>
      </c>
      <c r="B2314" s="2" t="s">
        <v>3782</v>
      </c>
      <c r="C2314" s="2" t="s">
        <v>259</v>
      </c>
      <c r="D2314" s="31" t="s">
        <v>3465</v>
      </c>
      <c r="E2314" s="3" t="s">
        <v>614</v>
      </c>
      <c r="F2314" s="4">
        <v>459552.71</v>
      </c>
      <c r="G2314" s="4" t="s">
        <v>167</v>
      </c>
      <c r="H2314" s="22" t="s">
        <v>973</v>
      </c>
      <c r="I2314" s="22">
        <v>459552.71</v>
      </c>
      <c r="J2314" s="22"/>
      <c r="K2314" s="22">
        <f t="shared" si="25"/>
        <v>459552.71</v>
      </c>
      <c r="L2314" s="17">
        <v>459552.71</v>
      </c>
      <c r="M2314" s="23" t="s">
        <v>41</v>
      </c>
      <c r="N2314" s="1" t="s">
        <v>3783</v>
      </c>
      <c r="O2314" s="24" t="s">
        <v>3090</v>
      </c>
      <c r="P2314" s="7" t="s">
        <v>81</v>
      </c>
      <c r="Q2314" s="25"/>
      <c r="R2314" s="7" t="s">
        <v>3559</v>
      </c>
      <c r="S2314" s="3" t="s">
        <v>83</v>
      </c>
      <c r="T2314" s="3" t="s">
        <v>3315</v>
      </c>
    </row>
    <row r="2315" spans="1:20" x14ac:dyDescent="0.25">
      <c r="A2315" s="10">
        <v>46170</v>
      </c>
      <c r="B2315" s="2" t="s">
        <v>3782</v>
      </c>
      <c r="C2315" s="2" t="s">
        <v>259</v>
      </c>
      <c r="D2315" s="31" t="s">
        <v>3465</v>
      </c>
      <c r="E2315" s="3" t="s">
        <v>614</v>
      </c>
      <c r="G2315" s="4" t="s">
        <v>48</v>
      </c>
      <c r="H2315" s="22" t="s">
        <v>49</v>
      </c>
      <c r="I2315" s="22"/>
      <c r="J2315" s="22">
        <f>I2314</f>
        <v>459552.71</v>
      </c>
      <c r="K2315" s="22">
        <f t="shared" si="25"/>
        <v>459552.71</v>
      </c>
      <c r="L2315" s="17"/>
      <c r="Q2315" s="25"/>
    </row>
    <row r="2316" spans="1:20" x14ac:dyDescent="0.25">
      <c r="A2316" s="10">
        <v>46170</v>
      </c>
      <c r="B2316" s="2" t="s">
        <v>3784</v>
      </c>
      <c r="C2316" s="2" t="s">
        <v>259</v>
      </c>
      <c r="D2316" s="2" t="s">
        <v>3785</v>
      </c>
      <c r="E2316" s="3" t="s">
        <v>2563</v>
      </c>
      <c r="F2316" s="4">
        <v>54050</v>
      </c>
      <c r="G2316" s="4" t="s">
        <v>128</v>
      </c>
      <c r="H2316" s="22" t="s">
        <v>267</v>
      </c>
      <c r="I2316" s="22">
        <v>54050</v>
      </c>
      <c r="J2316" s="22"/>
      <c r="K2316" s="22">
        <f t="shared" si="25"/>
        <v>54050</v>
      </c>
      <c r="L2316" s="17">
        <v>54050</v>
      </c>
      <c r="M2316" s="23" t="s">
        <v>41</v>
      </c>
      <c r="N2316" s="1" t="s">
        <v>3786</v>
      </c>
      <c r="O2316" s="7" t="s">
        <v>913</v>
      </c>
      <c r="P2316" s="7" t="s">
        <v>81</v>
      </c>
      <c r="Q2316" s="25"/>
      <c r="R2316" s="7" t="s">
        <v>3559</v>
      </c>
      <c r="S2316" s="3" t="s">
        <v>83</v>
      </c>
      <c r="T2316" s="3" t="s">
        <v>3671</v>
      </c>
    </row>
    <row r="2317" spans="1:20" x14ac:dyDescent="0.25">
      <c r="A2317" s="10">
        <v>46170</v>
      </c>
      <c r="B2317" s="2" t="s">
        <v>3784</v>
      </c>
      <c r="C2317" s="2" t="s">
        <v>259</v>
      </c>
      <c r="D2317" s="2" t="s">
        <v>3785</v>
      </c>
      <c r="E2317" s="3" t="s">
        <v>2563</v>
      </c>
      <c r="G2317" s="4" t="s">
        <v>48</v>
      </c>
      <c r="H2317" s="22" t="s">
        <v>81</v>
      </c>
      <c r="I2317" s="22"/>
      <c r="J2317" s="22">
        <f>I2316</f>
        <v>54050</v>
      </c>
      <c r="K2317" s="22">
        <f t="shared" si="25"/>
        <v>54050</v>
      </c>
      <c r="L2317" s="17"/>
      <c r="Q2317" s="25"/>
    </row>
    <row r="2318" spans="1:20" x14ac:dyDescent="0.25">
      <c r="A2318" s="10">
        <v>46170</v>
      </c>
      <c r="B2318" s="2" t="s">
        <v>3787</v>
      </c>
      <c r="C2318" s="2" t="s">
        <v>259</v>
      </c>
      <c r="D2318" s="2" t="s">
        <v>3785</v>
      </c>
      <c r="E2318" s="3" t="s">
        <v>2563</v>
      </c>
      <c r="F2318" s="4">
        <f>27825+8190+8525+5800+61174.38+19175+19456.25+15405+16730</f>
        <v>182280.63</v>
      </c>
      <c r="G2318" s="4" t="s">
        <v>262</v>
      </c>
      <c r="H2318" s="22" t="s">
        <v>263</v>
      </c>
      <c r="I2318" s="22">
        <v>27825</v>
      </c>
      <c r="J2318" s="22"/>
      <c r="K2318" s="22">
        <f t="shared" si="25"/>
        <v>27825</v>
      </c>
      <c r="L2318" s="17">
        <v>182280.63</v>
      </c>
      <c r="M2318" s="23" t="s">
        <v>41</v>
      </c>
      <c r="N2318" s="1" t="s">
        <v>3788</v>
      </c>
      <c r="O2318" s="7" t="s">
        <v>913</v>
      </c>
      <c r="P2318" s="7" t="s">
        <v>81</v>
      </c>
      <c r="Q2318" s="25"/>
      <c r="R2318" s="7" t="s">
        <v>3559</v>
      </c>
      <c r="S2318" s="3" t="s">
        <v>83</v>
      </c>
      <c r="T2318" s="3" t="s">
        <v>3315</v>
      </c>
    </row>
    <row r="2319" spans="1:20" x14ac:dyDescent="0.25">
      <c r="A2319" s="10">
        <v>46170</v>
      </c>
      <c r="B2319" s="2" t="s">
        <v>3787</v>
      </c>
      <c r="C2319" s="2" t="s">
        <v>259</v>
      </c>
      <c r="D2319" s="2" t="s">
        <v>3785</v>
      </c>
      <c r="E2319" s="3" t="s">
        <v>2563</v>
      </c>
      <c r="G2319" s="4" t="s">
        <v>265</v>
      </c>
      <c r="H2319" s="22" t="s">
        <v>266</v>
      </c>
      <c r="I2319" s="22">
        <v>8190</v>
      </c>
      <c r="J2319" s="22"/>
      <c r="K2319" s="22">
        <f t="shared" si="25"/>
        <v>8190</v>
      </c>
      <c r="L2319" s="17"/>
      <c r="Q2319" s="25"/>
    </row>
    <row r="2320" spans="1:20" x14ac:dyDescent="0.25">
      <c r="A2320" s="10">
        <v>46170</v>
      </c>
      <c r="B2320" s="2" t="s">
        <v>3787</v>
      </c>
      <c r="C2320" s="2" t="s">
        <v>259</v>
      </c>
      <c r="D2320" s="2" t="s">
        <v>3785</v>
      </c>
      <c r="E2320" s="3" t="s">
        <v>2563</v>
      </c>
      <c r="G2320" s="4" t="s">
        <v>28</v>
      </c>
      <c r="H2320" s="22" t="s">
        <v>3095</v>
      </c>
      <c r="I2320" s="22">
        <v>8525</v>
      </c>
      <c r="J2320" s="22"/>
      <c r="K2320" s="22">
        <f t="shared" si="25"/>
        <v>8525</v>
      </c>
      <c r="L2320" s="17"/>
      <c r="Q2320" s="25"/>
    </row>
    <row r="2321" spans="1:20" x14ac:dyDescent="0.25">
      <c r="A2321" s="10">
        <v>46170</v>
      </c>
      <c r="B2321" s="2" t="s">
        <v>3787</v>
      </c>
      <c r="C2321" s="2" t="s">
        <v>259</v>
      </c>
      <c r="D2321" s="2" t="s">
        <v>3785</v>
      </c>
      <c r="E2321" s="3" t="s">
        <v>2563</v>
      </c>
      <c r="G2321" s="4" t="s">
        <v>268</v>
      </c>
      <c r="H2321" s="22" t="s">
        <v>267</v>
      </c>
      <c r="I2321" s="22">
        <v>5800</v>
      </c>
      <c r="J2321" s="22"/>
      <c r="K2321" s="22">
        <f t="shared" si="25"/>
        <v>5800</v>
      </c>
      <c r="L2321" s="17"/>
      <c r="Q2321" s="25"/>
    </row>
    <row r="2322" spans="1:20" x14ac:dyDescent="0.25">
      <c r="A2322" s="10">
        <v>46170</v>
      </c>
      <c r="B2322" s="2" t="s">
        <v>3787</v>
      </c>
      <c r="C2322" s="2" t="s">
        <v>259</v>
      </c>
      <c r="D2322" s="2" t="s">
        <v>3785</v>
      </c>
      <c r="E2322" s="3" t="s">
        <v>2563</v>
      </c>
      <c r="G2322" s="4" t="s">
        <v>77</v>
      </c>
      <c r="H2322" s="22" t="s">
        <v>269</v>
      </c>
      <c r="I2322" s="22">
        <v>61174.38</v>
      </c>
      <c r="J2322" s="22"/>
      <c r="K2322" s="22">
        <f t="shared" si="25"/>
        <v>61174.38</v>
      </c>
      <c r="L2322" s="17"/>
      <c r="Q2322" s="25"/>
    </row>
    <row r="2323" spans="1:20" x14ac:dyDescent="0.25">
      <c r="A2323" s="10">
        <v>46170</v>
      </c>
      <c r="B2323" s="2" t="s">
        <v>3787</v>
      </c>
      <c r="C2323" s="2" t="s">
        <v>259</v>
      </c>
      <c r="D2323" s="2" t="s">
        <v>3785</v>
      </c>
      <c r="E2323" s="3" t="s">
        <v>2563</v>
      </c>
      <c r="G2323" s="4" t="s">
        <v>28</v>
      </c>
      <c r="H2323" s="22" t="s">
        <v>267</v>
      </c>
      <c r="I2323" s="22">
        <v>19175</v>
      </c>
      <c r="J2323" s="22"/>
      <c r="K2323" s="22">
        <f t="shared" si="25"/>
        <v>19175</v>
      </c>
      <c r="L2323" s="17"/>
      <c r="Q2323" s="25"/>
    </row>
    <row r="2324" spans="1:20" x14ac:dyDescent="0.25">
      <c r="A2324" s="10">
        <v>46170</v>
      </c>
      <c r="B2324" s="2" t="s">
        <v>3787</v>
      </c>
      <c r="C2324" s="2" t="s">
        <v>259</v>
      </c>
      <c r="D2324" s="2" t="s">
        <v>3785</v>
      </c>
      <c r="E2324" s="3" t="s">
        <v>2563</v>
      </c>
      <c r="G2324" s="4" t="s">
        <v>28</v>
      </c>
      <c r="H2324" s="22" t="s">
        <v>270</v>
      </c>
      <c r="I2324" s="22">
        <f>19456.25/2</f>
        <v>9728.125</v>
      </c>
      <c r="J2324" s="22"/>
      <c r="K2324" s="22">
        <f t="shared" si="25"/>
        <v>9728.125</v>
      </c>
      <c r="L2324" s="17"/>
      <c r="Q2324" s="25"/>
    </row>
    <row r="2325" spans="1:20" x14ac:dyDescent="0.25">
      <c r="A2325" s="10">
        <v>46170</v>
      </c>
      <c r="B2325" s="2" t="s">
        <v>3787</v>
      </c>
      <c r="C2325" s="2" t="s">
        <v>259</v>
      </c>
      <c r="D2325" s="2" t="s">
        <v>3785</v>
      </c>
      <c r="E2325" s="3" t="s">
        <v>2563</v>
      </c>
      <c r="G2325" s="4" t="s">
        <v>268</v>
      </c>
      <c r="H2325" s="22" t="s">
        <v>270</v>
      </c>
      <c r="I2325" s="22">
        <f>19456.25/2</f>
        <v>9728.125</v>
      </c>
      <c r="J2325" s="22"/>
      <c r="K2325" s="22">
        <f t="shared" si="25"/>
        <v>9728.125</v>
      </c>
      <c r="L2325" s="17"/>
      <c r="Q2325" s="25"/>
    </row>
    <row r="2326" spans="1:20" x14ac:dyDescent="0.25">
      <c r="A2326" s="10">
        <v>46170</v>
      </c>
      <c r="B2326" s="2" t="s">
        <v>3787</v>
      </c>
      <c r="C2326" s="2" t="s">
        <v>259</v>
      </c>
      <c r="D2326" s="2" t="s">
        <v>3785</v>
      </c>
      <c r="E2326" s="3" t="s">
        <v>2563</v>
      </c>
      <c r="G2326" s="4" t="s">
        <v>1030</v>
      </c>
      <c r="H2326" s="22" t="s">
        <v>271</v>
      </c>
      <c r="I2326" s="22">
        <v>15405</v>
      </c>
      <c r="J2326" s="22"/>
      <c r="K2326" s="22">
        <f t="shared" si="25"/>
        <v>15405</v>
      </c>
      <c r="L2326" s="17"/>
      <c r="Q2326" s="25"/>
    </row>
    <row r="2327" spans="1:20" x14ac:dyDescent="0.25">
      <c r="A2327" s="10">
        <v>46170</v>
      </c>
      <c r="B2327" s="2" t="s">
        <v>3787</v>
      </c>
      <c r="C2327" s="2" t="s">
        <v>259</v>
      </c>
      <c r="D2327" s="2" t="s">
        <v>3785</v>
      </c>
      <c r="E2327" s="3" t="s">
        <v>2563</v>
      </c>
      <c r="G2327" s="4" t="s">
        <v>1030</v>
      </c>
      <c r="H2327" s="22" t="s">
        <v>267</v>
      </c>
      <c r="I2327" s="22">
        <v>16730</v>
      </c>
      <c r="J2327" s="22"/>
      <c r="K2327" s="22">
        <f t="shared" si="25"/>
        <v>16730</v>
      </c>
      <c r="L2327" s="17"/>
      <c r="Q2327" s="25"/>
    </row>
    <row r="2328" spans="1:20" x14ac:dyDescent="0.25">
      <c r="A2328" s="10">
        <v>46170</v>
      </c>
      <c r="B2328" s="2" t="s">
        <v>3787</v>
      </c>
      <c r="C2328" s="2" t="s">
        <v>259</v>
      </c>
      <c r="D2328" s="2" t="s">
        <v>3785</v>
      </c>
      <c r="E2328" s="3" t="s">
        <v>2563</v>
      </c>
      <c r="G2328" s="4" t="s">
        <v>48</v>
      </c>
      <c r="H2328" s="22" t="s">
        <v>49</v>
      </c>
      <c r="I2328" s="22"/>
      <c r="J2328" s="22">
        <f>SUM(I2318:I2327)</f>
        <v>182280.63</v>
      </c>
      <c r="K2328" s="22">
        <f t="shared" si="25"/>
        <v>182280.63</v>
      </c>
      <c r="L2328" s="17"/>
      <c r="Q2328" s="25"/>
    </row>
    <row r="2329" spans="1:20" ht="24" x14ac:dyDescent="0.25">
      <c r="A2329" s="10">
        <v>46170</v>
      </c>
      <c r="B2329" s="2" t="s">
        <v>3789</v>
      </c>
      <c r="C2329" s="2" t="s">
        <v>259</v>
      </c>
      <c r="D2329" s="2" t="s">
        <v>3785</v>
      </c>
      <c r="E2329" s="3" t="s">
        <v>27</v>
      </c>
      <c r="F2329" s="4">
        <v>184698.44</v>
      </c>
      <c r="G2329" s="4" t="s">
        <v>48</v>
      </c>
      <c r="H2329" s="22" t="s">
        <v>973</v>
      </c>
      <c r="I2329" s="22">
        <v>189140.79</v>
      </c>
      <c r="J2329" s="22"/>
      <c r="K2329" s="22">
        <f t="shared" si="25"/>
        <v>189140.79</v>
      </c>
      <c r="L2329" s="17">
        <v>184698.44</v>
      </c>
      <c r="M2329" s="23" t="s">
        <v>41</v>
      </c>
      <c r="N2329" s="1" t="s">
        <v>3790</v>
      </c>
      <c r="O2329" s="24" t="s">
        <v>3090</v>
      </c>
      <c r="P2329" s="7" t="s">
        <v>81</v>
      </c>
      <c r="Q2329" s="25"/>
      <c r="R2329" s="7" t="s">
        <v>3559</v>
      </c>
      <c r="S2329" s="3" t="s">
        <v>83</v>
      </c>
      <c r="T2329" s="3" t="s">
        <v>3315</v>
      </c>
    </row>
    <row r="2330" spans="1:20" x14ac:dyDescent="0.25">
      <c r="A2330" s="10">
        <v>46170</v>
      </c>
      <c r="B2330" s="2" t="s">
        <v>3789</v>
      </c>
      <c r="C2330" s="2" t="s">
        <v>259</v>
      </c>
      <c r="D2330" s="2" t="s">
        <v>3785</v>
      </c>
      <c r="E2330" s="3" t="s">
        <v>27</v>
      </c>
      <c r="G2330" s="4" t="s">
        <v>48</v>
      </c>
      <c r="H2330" s="22" t="s">
        <v>3091</v>
      </c>
      <c r="I2330" s="22"/>
      <c r="J2330" s="22">
        <v>325</v>
      </c>
      <c r="K2330" s="22">
        <f t="shared" si="25"/>
        <v>325</v>
      </c>
      <c r="L2330" s="17"/>
      <c r="Q2330" s="25"/>
    </row>
    <row r="2331" spans="1:20" x14ac:dyDescent="0.25">
      <c r="A2331" s="10">
        <v>46170</v>
      </c>
      <c r="B2331" s="2" t="s">
        <v>3789</v>
      </c>
      <c r="C2331" s="2" t="s">
        <v>259</v>
      </c>
      <c r="D2331" s="2" t="s">
        <v>3785</v>
      </c>
      <c r="E2331" s="3" t="s">
        <v>27</v>
      </c>
      <c r="G2331" s="4" t="s">
        <v>48</v>
      </c>
      <c r="H2331" s="22" t="s">
        <v>976</v>
      </c>
      <c r="I2331" s="22"/>
      <c r="J2331" s="22">
        <v>1367.35</v>
      </c>
      <c r="K2331" s="22">
        <f t="shared" si="25"/>
        <v>1367.35</v>
      </c>
      <c r="L2331" s="17"/>
      <c r="Q2331" s="25"/>
    </row>
    <row r="2332" spans="1:20" x14ac:dyDescent="0.25">
      <c r="A2332" s="10">
        <v>46170</v>
      </c>
      <c r="B2332" s="2" t="s">
        <v>3789</v>
      </c>
      <c r="C2332" s="2" t="s">
        <v>259</v>
      </c>
      <c r="D2332" s="2" t="s">
        <v>3785</v>
      </c>
      <c r="E2332" s="3" t="s">
        <v>27</v>
      </c>
      <c r="G2332" s="4" t="s">
        <v>48</v>
      </c>
      <c r="H2332" s="22" t="s">
        <v>979</v>
      </c>
      <c r="I2332" s="22"/>
      <c r="J2332" s="22">
        <v>625</v>
      </c>
      <c r="K2332" s="22">
        <f t="shared" si="25"/>
        <v>625</v>
      </c>
      <c r="L2332" s="17"/>
      <c r="Q2332" s="25"/>
    </row>
    <row r="2333" spans="1:20" x14ac:dyDescent="0.25">
      <c r="A2333" s="10">
        <v>46170</v>
      </c>
      <c r="B2333" s="2" t="s">
        <v>3789</v>
      </c>
      <c r="C2333" s="2" t="s">
        <v>259</v>
      </c>
      <c r="D2333" s="2" t="s">
        <v>3785</v>
      </c>
      <c r="E2333" s="3" t="s">
        <v>27</v>
      </c>
      <c r="G2333" s="4" t="s">
        <v>48</v>
      </c>
      <c r="H2333" s="22" t="s">
        <v>3092</v>
      </c>
      <c r="I2333" s="22"/>
      <c r="J2333" s="22">
        <v>625</v>
      </c>
      <c r="K2333" s="22">
        <f t="shared" si="25"/>
        <v>625</v>
      </c>
      <c r="L2333" s="17"/>
      <c r="Q2333" s="25"/>
    </row>
    <row r="2334" spans="1:20" x14ac:dyDescent="0.25">
      <c r="A2334" s="10">
        <v>46170</v>
      </c>
      <c r="B2334" s="2" t="s">
        <v>3789</v>
      </c>
      <c r="C2334" s="2" t="s">
        <v>259</v>
      </c>
      <c r="D2334" s="2" t="s">
        <v>3785</v>
      </c>
      <c r="E2334" s="3" t="s">
        <v>27</v>
      </c>
      <c r="G2334" s="4" t="s">
        <v>48</v>
      </c>
      <c r="H2334" s="22" t="s">
        <v>3791</v>
      </c>
      <c r="I2334" s="22"/>
      <c r="J2334" s="22">
        <v>1500</v>
      </c>
      <c r="K2334" s="22">
        <f t="shared" si="25"/>
        <v>1500</v>
      </c>
      <c r="L2334" s="17"/>
      <c r="Q2334" s="25"/>
    </row>
    <row r="2335" spans="1:20" x14ac:dyDescent="0.25">
      <c r="A2335" s="10">
        <v>46170</v>
      </c>
      <c r="B2335" s="2" t="s">
        <v>3789</v>
      </c>
      <c r="C2335" s="2" t="s">
        <v>259</v>
      </c>
      <c r="D2335" s="2" t="s">
        <v>3785</v>
      </c>
      <c r="E2335" s="3" t="s">
        <v>27</v>
      </c>
      <c r="G2335" s="4" t="s">
        <v>48</v>
      </c>
      <c r="H2335" s="22" t="s">
        <v>49</v>
      </c>
      <c r="I2335" s="22"/>
      <c r="J2335" s="22">
        <f>I2329-J2330-J2331-J2332-J2333-J2334</f>
        <v>184698.44</v>
      </c>
      <c r="K2335" s="22">
        <f t="shared" si="25"/>
        <v>184698.44</v>
      </c>
      <c r="L2335" s="17"/>
      <c r="Q2335" s="25"/>
    </row>
    <row r="2336" spans="1:20" ht="24" x14ac:dyDescent="0.25">
      <c r="A2336" s="10">
        <v>46170</v>
      </c>
      <c r="B2336" s="2" t="s">
        <v>3792</v>
      </c>
      <c r="C2336" s="2" t="s">
        <v>259</v>
      </c>
      <c r="D2336" s="2" t="s">
        <v>3785</v>
      </c>
      <c r="E2336" s="3" t="s">
        <v>27</v>
      </c>
      <c r="F2336" s="4">
        <v>251412.64</v>
      </c>
      <c r="G2336" s="4" t="s">
        <v>326</v>
      </c>
      <c r="H2336" s="22" t="s">
        <v>973</v>
      </c>
      <c r="I2336" s="22">
        <v>264162.63</v>
      </c>
      <c r="J2336" s="22"/>
      <c r="K2336" s="22">
        <f t="shared" si="25"/>
        <v>264162.63</v>
      </c>
      <c r="L2336" s="17">
        <v>251412.64</v>
      </c>
      <c r="M2336" s="23" t="s">
        <v>41</v>
      </c>
      <c r="N2336" s="1" t="s">
        <v>3793</v>
      </c>
      <c r="O2336" s="24" t="s">
        <v>3090</v>
      </c>
      <c r="P2336" s="7" t="s">
        <v>81</v>
      </c>
      <c r="Q2336" s="25"/>
      <c r="R2336" s="7" t="s">
        <v>3559</v>
      </c>
      <c r="S2336" s="3" t="s">
        <v>83</v>
      </c>
      <c r="T2336" s="3" t="s">
        <v>3315</v>
      </c>
    </row>
    <row r="2337" spans="1:20" x14ac:dyDescent="0.25">
      <c r="A2337" s="10">
        <v>46170</v>
      </c>
      <c r="B2337" s="2" t="s">
        <v>3792</v>
      </c>
      <c r="C2337" s="2" t="s">
        <v>259</v>
      </c>
      <c r="D2337" s="2" t="s">
        <v>3785</v>
      </c>
      <c r="E2337" s="3" t="s">
        <v>27</v>
      </c>
      <c r="G2337" s="4" t="s">
        <v>326</v>
      </c>
      <c r="H2337" s="22" t="s">
        <v>3138</v>
      </c>
      <c r="I2337" s="22"/>
      <c r="J2337" s="22">
        <v>2208.33</v>
      </c>
      <c r="K2337" s="22">
        <f t="shared" si="25"/>
        <v>2208.33</v>
      </c>
      <c r="L2337" s="17"/>
      <c r="Q2337" s="25"/>
    </row>
    <row r="2338" spans="1:20" x14ac:dyDescent="0.25">
      <c r="A2338" s="10">
        <v>46170</v>
      </c>
      <c r="B2338" s="2" t="s">
        <v>3792</v>
      </c>
      <c r="C2338" s="2" t="s">
        <v>259</v>
      </c>
      <c r="D2338" s="2" t="s">
        <v>3785</v>
      </c>
      <c r="E2338" s="3" t="s">
        <v>27</v>
      </c>
      <c r="G2338" s="4" t="s">
        <v>326</v>
      </c>
      <c r="H2338" s="22" t="s">
        <v>3139</v>
      </c>
      <c r="I2338" s="22"/>
      <c r="J2338" s="22">
        <v>625</v>
      </c>
      <c r="K2338" s="22">
        <f t="shared" si="25"/>
        <v>625</v>
      </c>
      <c r="L2338" s="17"/>
      <c r="Q2338" s="25"/>
    </row>
    <row r="2339" spans="1:20" x14ac:dyDescent="0.25">
      <c r="A2339" s="10">
        <v>46170</v>
      </c>
      <c r="B2339" s="2" t="s">
        <v>3792</v>
      </c>
      <c r="C2339" s="2" t="s">
        <v>259</v>
      </c>
      <c r="D2339" s="2" t="s">
        <v>3785</v>
      </c>
      <c r="E2339" s="3" t="s">
        <v>27</v>
      </c>
      <c r="G2339" s="4" t="s">
        <v>326</v>
      </c>
      <c r="H2339" s="22" t="s">
        <v>3140</v>
      </c>
      <c r="I2339" s="22"/>
      <c r="J2339" s="22">
        <v>3208.33</v>
      </c>
      <c r="K2339" s="22">
        <f t="shared" si="25"/>
        <v>3208.33</v>
      </c>
      <c r="L2339" s="17"/>
      <c r="Q2339" s="25"/>
    </row>
    <row r="2340" spans="1:20" x14ac:dyDescent="0.25">
      <c r="A2340" s="10">
        <v>46170</v>
      </c>
      <c r="B2340" s="2" t="s">
        <v>3792</v>
      </c>
      <c r="C2340" s="2" t="s">
        <v>259</v>
      </c>
      <c r="D2340" s="2" t="s">
        <v>3785</v>
      </c>
      <c r="E2340" s="3" t="s">
        <v>27</v>
      </c>
      <c r="G2340" s="4" t="s">
        <v>326</v>
      </c>
      <c r="H2340" s="22" t="s">
        <v>3141</v>
      </c>
      <c r="I2340" s="22"/>
      <c r="J2340" s="22">
        <v>1075</v>
      </c>
      <c r="K2340" s="22">
        <f t="shared" si="25"/>
        <v>1075</v>
      </c>
      <c r="L2340" s="17"/>
      <c r="Q2340" s="25"/>
    </row>
    <row r="2341" spans="1:20" x14ac:dyDescent="0.25">
      <c r="A2341" s="10">
        <v>46170</v>
      </c>
      <c r="B2341" s="2" t="s">
        <v>3792</v>
      </c>
      <c r="C2341" s="2" t="s">
        <v>259</v>
      </c>
      <c r="D2341" s="2" t="s">
        <v>3785</v>
      </c>
      <c r="E2341" s="3" t="s">
        <v>27</v>
      </c>
      <c r="G2341" s="4" t="s">
        <v>326</v>
      </c>
      <c r="H2341" s="22" t="s">
        <v>3142</v>
      </c>
      <c r="I2341" s="22"/>
      <c r="J2341" s="22">
        <v>625</v>
      </c>
      <c r="K2341" s="22">
        <f t="shared" si="25"/>
        <v>625</v>
      </c>
      <c r="L2341" s="17"/>
      <c r="Q2341" s="25"/>
    </row>
    <row r="2342" spans="1:20" x14ac:dyDescent="0.25">
      <c r="A2342" s="10">
        <v>46170</v>
      </c>
      <c r="B2342" s="2" t="s">
        <v>3792</v>
      </c>
      <c r="C2342" s="2" t="s">
        <v>259</v>
      </c>
      <c r="D2342" s="2" t="s">
        <v>3785</v>
      </c>
      <c r="E2342" s="3" t="s">
        <v>27</v>
      </c>
      <c r="G2342" s="4" t="s">
        <v>326</v>
      </c>
      <c r="H2342" s="22" t="s">
        <v>3143</v>
      </c>
      <c r="I2342" s="22"/>
      <c r="J2342" s="22">
        <v>625</v>
      </c>
      <c r="K2342" s="22">
        <f t="shared" si="25"/>
        <v>625</v>
      </c>
      <c r="L2342" s="17"/>
      <c r="Q2342" s="25"/>
    </row>
    <row r="2343" spans="1:20" x14ac:dyDescent="0.25">
      <c r="A2343" s="10">
        <v>46170</v>
      </c>
      <c r="B2343" s="2" t="s">
        <v>3792</v>
      </c>
      <c r="C2343" s="2" t="s">
        <v>259</v>
      </c>
      <c r="D2343" s="2" t="s">
        <v>3785</v>
      </c>
      <c r="E2343" s="3" t="s">
        <v>27</v>
      </c>
      <c r="G2343" s="4" t="s">
        <v>326</v>
      </c>
      <c r="H2343" s="22" t="s">
        <v>3144</v>
      </c>
      <c r="I2343" s="22"/>
      <c r="J2343" s="22">
        <v>3208.33</v>
      </c>
      <c r="K2343" s="22">
        <f t="shared" si="25"/>
        <v>3208.33</v>
      </c>
      <c r="L2343" s="17"/>
      <c r="Q2343" s="25"/>
    </row>
    <row r="2344" spans="1:20" x14ac:dyDescent="0.25">
      <c r="A2344" s="10">
        <v>46170</v>
      </c>
      <c r="B2344" s="2" t="s">
        <v>3792</v>
      </c>
      <c r="C2344" s="2" t="s">
        <v>259</v>
      </c>
      <c r="D2344" s="2" t="s">
        <v>3785</v>
      </c>
      <c r="E2344" s="3" t="s">
        <v>27</v>
      </c>
      <c r="G2344" s="4" t="s">
        <v>326</v>
      </c>
      <c r="H2344" s="22" t="s">
        <v>991</v>
      </c>
      <c r="I2344" s="22"/>
      <c r="J2344" s="22">
        <v>175</v>
      </c>
      <c r="K2344" s="22">
        <f t="shared" si="25"/>
        <v>175</v>
      </c>
      <c r="L2344" s="17"/>
      <c r="Q2344" s="25"/>
    </row>
    <row r="2345" spans="1:20" x14ac:dyDescent="0.25">
      <c r="A2345" s="10">
        <v>46170</v>
      </c>
      <c r="B2345" s="2" t="s">
        <v>3792</v>
      </c>
      <c r="C2345" s="2" t="s">
        <v>259</v>
      </c>
      <c r="D2345" s="2" t="s">
        <v>3785</v>
      </c>
      <c r="E2345" s="3" t="s">
        <v>27</v>
      </c>
      <c r="G2345" s="4" t="s">
        <v>326</v>
      </c>
      <c r="H2345" s="22" t="s">
        <v>994</v>
      </c>
      <c r="I2345" s="22"/>
      <c r="J2345" s="22">
        <v>1000</v>
      </c>
      <c r="K2345" s="22">
        <f t="shared" si="25"/>
        <v>1000</v>
      </c>
      <c r="L2345" s="17"/>
      <c r="Q2345" s="25"/>
    </row>
    <row r="2346" spans="1:20" x14ac:dyDescent="0.25">
      <c r="A2346" s="10">
        <v>46170</v>
      </c>
      <c r="B2346" s="2" t="s">
        <v>3792</v>
      </c>
      <c r="C2346" s="2" t="s">
        <v>259</v>
      </c>
      <c r="D2346" s="2" t="s">
        <v>3785</v>
      </c>
      <c r="E2346" s="3" t="s">
        <v>27</v>
      </c>
      <c r="G2346" s="4" t="s">
        <v>48</v>
      </c>
      <c r="H2346" s="22" t="s">
        <v>49</v>
      </c>
      <c r="I2346" s="22"/>
      <c r="J2346" s="22">
        <f>I2336-J2337-J2338-J2339-J2340-J2341-J2342-J2343-J2344-J2345</f>
        <v>251412.64000000004</v>
      </c>
      <c r="K2346" s="22">
        <f t="shared" si="25"/>
        <v>251412.64000000004</v>
      </c>
      <c r="L2346" s="17"/>
      <c r="Q2346" s="25"/>
    </row>
    <row r="2347" spans="1:20" x14ac:dyDescent="0.25">
      <c r="A2347" s="10">
        <v>46170</v>
      </c>
      <c r="B2347" s="2" t="s">
        <v>3794</v>
      </c>
      <c r="D2347" s="31" t="s">
        <v>3465</v>
      </c>
      <c r="E2347" s="3" t="s">
        <v>1109</v>
      </c>
      <c r="F2347" s="4">
        <f>8000+125</f>
        <v>8125</v>
      </c>
      <c r="G2347" s="4" t="s">
        <v>1110</v>
      </c>
      <c r="H2347" s="22" t="s">
        <v>973</v>
      </c>
      <c r="I2347" s="22">
        <v>8000</v>
      </c>
      <c r="J2347" s="22"/>
      <c r="K2347" s="22">
        <f t="shared" si="25"/>
        <v>8000</v>
      </c>
      <c r="L2347" s="17">
        <v>8125</v>
      </c>
      <c r="M2347" s="23" t="s">
        <v>41</v>
      </c>
      <c r="N2347" s="1" t="s">
        <v>3795</v>
      </c>
      <c r="O2347" s="7" t="s">
        <v>3796</v>
      </c>
      <c r="P2347" s="7" t="s">
        <v>81</v>
      </c>
      <c r="Q2347" s="25"/>
      <c r="R2347" s="7" t="s">
        <v>3559</v>
      </c>
      <c r="S2347" s="3" t="s">
        <v>83</v>
      </c>
      <c r="T2347" s="3" t="s">
        <v>3315</v>
      </c>
    </row>
    <row r="2348" spans="1:20" x14ac:dyDescent="0.25">
      <c r="A2348" s="10">
        <v>46170</v>
      </c>
      <c r="B2348" s="2" t="s">
        <v>3794</v>
      </c>
      <c r="D2348" s="31" t="s">
        <v>3465</v>
      </c>
      <c r="E2348" s="3" t="s">
        <v>1109</v>
      </c>
      <c r="G2348" s="4" t="s">
        <v>1110</v>
      </c>
      <c r="H2348" s="22" t="s">
        <v>47</v>
      </c>
      <c r="I2348" s="22">
        <v>125</v>
      </c>
      <c r="J2348" s="22"/>
      <c r="K2348" s="22">
        <f t="shared" si="25"/>
        <v>125</v>
      </c>
      <c r="L2348" s="17"/>
      <c r="M2348" s="26"/>
      <c r="Q2348" s="25"/>
    </row>
    <row r="2349" spans="1:20" x14ac:dyDescent="0.25">
      <c r="A2349" s="10">
        <v>46170</v>
      </c>
      <c r="B2349" s="2" t="s">
        <v>3794</v>
      </c>
      <c r="D2349" s="31" t="s">
        <v>3465</v>
      </c>
      <c r="E2349" s="3" t="s">
        <v>1109</v>
      </c>
      <c r="G2349" s="4" t="s">
        <v>48</v>
      </c>
      <c r="H2349" s="22" t="s">
        <v>49</v>
      </c>
      <c r="I2349" s="22"/>
      <c r="J2349" s="22">
        <f>I2347+I2348</f>
        <v>8125</v>
      </c>
      <c r="K2349" s="22">
        <f t="shared" si="25"/>
        <v>8125</v>
      </c>
      <c r="L2349" s="17"/>
      <c r="M2349" s="26"/>
      <c r="Q2349" s="25"/>
    </row>
    <row r="2350" spans="1:20" x14ac:dyDescent="0.25">
      <c r="A2350" s="10">
        <v>46170</v>
      </c>
      <c r="B2350" s="2" t="s">
        <v>3797</v>
      </c>
      <c r="C2350" s="2" t="s">
        <v>506</v>
      </c>
      <c r="D2350" s="2" t="s">
        <v>3798</v>
      </c>
      <c r="E2350" s="3" t="s">
        <v>398</v>
      </c>
      <c r="F2350" s="4">
        <v>50000</v>
      </c>
      <c r="G2350" s="4" t="s">
        <v>262</v>
      </c>
      <c r="H2350" s="22" t="s">
        <v>168</v>
      </c>
      <c r="I2350" s="22">
        <v>50000</v>
      </c>
      <c r="J2350" s="22"/>
      <c r="K2350" s="22">
        <f t="shared" si="25"/>
        <v>50000</v>
      </c>
      <c r="L2350" s="17">
        <v>50000</v>
      </c>
      <c r="M2350" s="23" t="s">
        <v>41</v>
      </c>
      <c r="N2350" s="1" t="s">
        <v>3799</v>
      </c>
      <c r="O2350" s="7" t="s">
        <v>3111</v>
      </c>
      <c r="P2350" s="7" t="s">
        <v>81</v>
      </c>
      <c r="Q2350" s="25"/>
      <c r="R2350" s="7" t="s">
        <v>3559</v>
      </c>
      <c r="S2350" s="3" t="s">
        <v>83</v>
      </c>
      <c r="T2350" s="3" t="s">
        <v>3315</v>
      </c>
    </row>
    <row r="2351" spans="1:20" x14ac:dyDescent="0.25">
      <c r="A2351" s="10">
        <v>46170</v>
      </c>
      <c r="B2351" s="2" t="s">
        <v>3797</v>
      </c>
      <c r="C2351" s="2" t="s">
        <v>506</v>
      </c>
      <c r="D2351" s="2" t="s">
        <v>3798</v>
      </c>
      <c r="E2351" s="3" t="s">
        <v>398</v>
      </c>
      <c r="G2351" s="4" t="s">
        <v>48</v>
      </c>
      <c r="H2351" s="22" t="s">
        <v>49</v>
      </c>
      <c r="I2351" s="22"/>
      <c r="J2351" s="22">
        <f>I2350</f>
        <v>50000</v>
      </c>
      <c r="K2351" s="22">
        <f t="shared" si="25"/>
        <v>50000</v>
      </c>
      <c r="L2351" s="17"/>
      <c r="M2351" s="26"/>
      <c r="Q2351" s="25"/>
    </row>
    <row r="2352" spans="1:20" ht="36" x14ac:dyDescent="0.25">
      <c r="A2352" s="10">
        <v>46170</v>
      </c>
      <c r="B2352" s="2" t="s">
        <v>3800</v>
      </c>
      <c r="C2352" s="2" t="s">
        <v>95</v>
      </c>
      <c r="D2352" s="2" t="s">
        <v>3801</v>
      </c>
      <c r="E2352" s="3" t="s">
        <v>2874</v>
      </c>
      <c r="F2352" s="4">
        <f>3000+2300+261+10000</f>
        <v>15561</v>
      </c>
      <c r="G2352" s="4" t="s">
        <v>1030</v>
      </c>
      <c r="H2352" s="22"/>
      <c r="I2352" s="22"/>
      <c r="J2352" s="22"/>
      <c r="K2352" s="22">
        <f t="shared" si="25"/>
        <v>0</v>
      </c>
      <c r="L2352" s="17"/>
      <c r="M2352" s="26" t="s">
        <v>581</v>
      </c>
      <c r="N2352" s="1" t="s">
        <v>3802</v>
      </c>
      <c r="Q2352" s="25"/>
    </row>
    <row r="2353" spans="1:20" ht="24" x14ac:dyDescent="0.25">
      <c r="A2353" s="10">
        <v>46170</v>
      </c>
      <c r="B2353" s="2" t="s">
        <v>3803</v>
      </c>
      <c r="C2353" s="2" t="s">
        <v>95</v>
      </c>
      <c r="D2353" s="2" t="s">
        <v>3804</v>
      </c>
      <c r="E2353" s="3" t="s">
        <v>553</v>
      </c>
      <c r="F2353" s="4">
        <f>(2375/1.12)+(2375/1.12*0.12)-(2375/1.12*0.01)</f>
        <v>2353.7946428571427</v>
      </c>
      <c r="G2353" s="4" t="s">
        <v>28</v>
      </c>
      <c r="H2353" s="22"/>
      <c r="I2353" s="22"/>
      <c r="J2353" s="22"/>
      <c r="K2353" s="22">
        <f t="shared" si="25"/>
        <v>0</v>
      </c>
      <c r="L2353" s="17"/>
      <c r="M2353" s="23" t="s">
        <v>41</v>
      </c>
      <c r="N2353" s="1" t="s">
        <v>3805</v>
      </c>
      <c r="Q2353" s="25"/>
    </row>
    <row r="2354" spans="1:20" ht="24" x14ac:dyDescent="0.25">
      <c r="A2354" s="10">
        <v>46170</v>
      </c>
      <c r="B2354" s="2" t="s">
        <v>3806</v>
      </c>
      <c r="C2354" s="2" t="s">
        <v>95</v>
      </c>
      <c r="D2354" s="2" t="s">
        <v>3807</v>
      </c>
      <c r="E2354" s="3" t="s">
        <v>76</v>
      </c>
      <c r="F2354" s="4">
        <f>3950+3950</f>
        <v>7900</v>
      </c>
      <c r="G2354" s="4" t="s">
        <v>77</v>
      </c>
      <c r="H2354" s="22" t="s">
        <v>78</v>
      </c>
      <c r="I2354" s="22">
        <v>7900</v>
      </c>
      <c r="J2354" s="22"/>
      <c r="K2354" s="22">
        <f t="shared" si="25"/>
        <v>7900</v>
      </c>
      <c r="L2354" s="17">
        <v>7900</v>
      </c>
      <c r="M2354" s="23" t="s">
        <v>41</v>
      </c>
      <c r="N2354" s="1" t="s">
        <v>3808</v>
      </c>
      <c r="O2354" s="28" t="s">
        <v>80</v>
      </c>
      <c r="P2354" s="7" t="s">
        <v>81</v>
      </c>
      <c r="Q2354" s="25"/>
      <c r="R2354" s="7" t="s">
        <v>3559</v>
      </c>
      <c r="S2354" s="3" t="s">
        <v>83</v>
      </c>
      <c r="T2354" s="3" t="s">
        <v>3315</v>
      </c>
    </row>
    <row r="2355" spans="1:20" x14ac:dyDescent="0.25">
      <c r="A2355" s="10">
        <v>46170</v>
      </c>
      <c r="B2355" s="2" t="s">
        <v>3806</v>
      </c>
      <c r="C2355" s="2" t="s">
        <v>95</v>
      </c>
      <c r="D2355" s="2" t="s">
        <v>3807</v>
      </c>
      <c r="E2355" s="3" t="s">
        <v>76</v>
      </c>
      <c r="G2355" s="4" t="s">
        <v>48</v>
      </c>
      <c r="H2355" s="22" t="s">
        <v>49</v>
      </c>
      <c r="I2355" s="22"/>
      <c r="J2355" s="22">
        <f>I2354</f>
        <v>7900</v>
      </c>
      <c r="K2355" s="22">
        <f t="shared" si="25"/>
        <v>7900</v>
      </c>
      <c r="L2355" s="17"/>
      <c r="M2355" s="26"/>
      <c r="Q2355" s="25"/>
    </row>
    <row r="2356" spans="1:20" ht="24" x14ac:dyDescent="0.25">
      <c r="A2356" s="10">
        <v>46170</v>
      </c>
      <c r="B2356" s="2" t="s">
        <v>3809</v>
      </c>
      <c r="C2356" s="2" t="s">
        <v>95</v>
      </c>
      <c r="D2356" s="2" t="s">
        <v>3810</v>
      </c>
      <c r="E2356" s="3" t="s">
        <v>76</v>
      </c>
      <c r="F2356" s="4">
        <f>3950+3950</f>
        <v>7900</v>
      </c>
      <c r="G2356" s="4" t="s">
        <v>77</v>
      </c>
      <c r="H2356" s="22" t="s">
        <v>78</v>
      </c>
      <c r="I2356" s="22">
        <v>7900</v>
      </c>
      <c r="J2356" s="22"/>
      <c r="K2356" s="22">
        <f t="shared" si="25"/>
        <v>7900</v>
      </c>
      <c r="L2356" s="17"/>
      <c r="M2356" s="6" t="s">
        <v>41</v>
      </c>
      <c r="N2356" s="1" t="s">
        <v>3811</v>
      </c>
      <c r="O2356" s="7" t="s">
        <v>3812</v>
      </c>
      <c r="P2356" s="7" t="s">
        <v>81</v>
      </c>
      <c r="Q2356" s="25"/>
      <c r="S2356" s="3" t="s">
        <v>83</v>
      </c>
      <c r="T2356" s="3" t="s">
        <v>3315</v>
      </c>
    </row>
    <row r="2357" spans="1:20" x14ac:dyDescent="0.25">
      <c r="A2357" s="10">
        <v>46170</v>
      </c>
      <c r="B2357" s="2" t="s">
        <v>3809</v>
      </c>
      <c r="C2357" s="2" t="s">
        <v>95</v>
      </c>
      <c r="D2357" s="2" t="s">
        <v>3810</v>
      </c>
      <c r="E2357" s="3" t="s">
        <v>76</v>
      </c>
      <c r="G2357" s="4" t="s">
        <v>48</v>
      </c>
      <c r="H2357" s="22" t="s">
        <v>49</v>
      </c>
      <c r="I2357" s="22"/>
      <c r="J2357" s="22">
        <f>I2356</f>
        <v>7900</v>
      </c>
      <c r="K2357" s="22">
        <f t="shared" si="25"/>
        <v>7900</v>
      </c>
      <c r="L2357" s="17"/>
      <c r="M2357" s="26"/>
      <c r="Q2357" s="25"/>
    </row>
    <row r="2358" spans="1:20" ht="24" x14ac:dyDescent="0.25">
      <c r="A2358" s="10">
        <v>46170</v>
      </c>
      <c r="B2358" s="2" t="s">
        <v>3813</v>
      </c>
      <c r="C2358" s="2" t="s">
        <v>95</v>
      </c>
      <c r="D2358" s="2" t="s">
        <v>3814</v>
      </c>
      <c r="E2358" s="3" t="s">
        <v>76</v>
      </c>
      <c r="F2358" s="4">
        <f>1000+1500+4500</f>
        <v>7000</v>
      </c>
      <c r="G2358" s="4" t="s">
        <v>77</v>
      </c>
      <c r="H2358" s="22" t="s">
        <v>78</v>
      </c>
      <c r="I2358" s="22">
        <v>7000</v>
      </c>
      <c r="J2358" s="22"/>
      <c r="K2358" s="22">
        <f t="shared" si="25"/>
        <v>7000</v>
      </c>
      <c r="L2358" s="17">
        <v>7000</v>
      </c>
      <c r="M2358" s="23" t="s">
        <v>41</v>
      </c>
      <c r="N2358" s="1" t="s">
        <v>3815</v>
      </c>
      <c r="O2358" s="28" t="s">
        <v>80</v>
      </c>
      <c r="P2358" s="7" t="s">
        <v>81</v>
      </c>
      <c r="Q2358" s="25"/>
      <c r="R2358" s="7" t="s">
        <v>3559</v>
      </c>
      <c r="S2358" s="3" t="s">
        <v>83</v>
      </c>
      <c r="T2358" s="3" t="s">
        <v>3315</v>
      </c>
    </row>
    <row r="2359" spans="1:20" x14ac:dyDescent="0.25">
      <c r="A2359" s="10">
        <v>46170</v>
      </c>
      <c r="B2359" s="2" t="s">
        <v>3813</v>
      </c>
      <c r="C2359" s="2" t="s">
        <v>95</v>
      </c>
      <c r="D2359" s="2" t="s">
        <v>3814</v>
      </c>
      <c r="E2359" s="3" t="s">
        <v>76</v>
      </c>
      <c r="G2359" s="4" t="s">
        <v>48</v>
      </c>
      <c r="H2359" s="22" t="s">
        <v>49</v>
      </c>
      <c r="I2359" s="22"/>
      <c r="J2359" s="22">
        <f>I2358</f>
        <v>7000</v>
      </c>
      <c r="K2359" s="22">
        <f t="shared" si="25"/>
        <v>7000</v>
      </c>
      <c r="L2359" s="17"/>
      <c r="M2359" s="26"/>
      <c r="Q2359" s="25"/>
    </row>
    <row r="2360" spans="1:20" ht="24" x14ac:dyDescent="0.25">
      <c r="A2360" s="10">
        <v>46170</v>
      </c>
      <c r="B2360" s="2" t="s">
        <v>3816</v>
      </c>
      <c r="C2360" s="2" t="s">
        <v>831</v>
      </c>
      <c r="D2360" s="2" t="s">
        <v>3817</v>
      </c>
      <c r="E2360" s="3" t="s">
        <v>833</v>
      </c>
      <c r="F2360" s="4">
        <v>14844.88</v>
      </c>
      <c r="G2360" s="4" t="s">
        <v>48</v>
      </c>
      <c r="H2360" s="22" t="s">
        <v>834</v>
      </c>
      <c r="I2360" s="22">
        <v>14844.88</v>
      </c>
      <c r="J2360" s="22"/>
      <c r="K2360" s="22">
        <f t="shared" si="25"/>
        <v>14844.88</v>
      </c>
      <c r="L2360" s="17"/>
      <c r="M2360" s="6" t="s">
        <v>581</v>
      </c>
      <c r="N2360" s="1" t="s">
        <v>3818</v>
      </c>
      <c r="Q2360" s="25"/>
    </row>
    <row r="2361" spans="1:20" x14ac:dyDescent="0.25">
      <c r="A2361" s="10">
        <v>46170</v>
      </c>
      <c r="B2361" s="2" t="s">
        <v>3816</v>
      </c>
      <c r="C2361" s="2" t="s">
        <v>831</v>
      </c>
      <c r="D2361" s="2" t="s">
        <v>3817</v>
      </c>
      <c r="E2361" s="3" t="s">
        <v>833</v>
      </c>
      <c r="G2361" s="4" t="s">
        <v>48</v>
      </c>
      <c r="H2361" s="22" t="s">
        <v>49</v>
      </c>
      <c r="I2361" s="22"/>
      <c r="J2361" s="22">
        <f>I2360</f>
        <v>14844.88</v>
      </c>
      <c r="K2361" s="22">
        <f t="shared" si="25"/>
        <v>14844.88</v>
      </c>
      <c r="L2361" s="17"/>
      <c r="Q2361" s="25"/>
    </row>
    <row r="2362" spans="1:20" ht="24" x14ac:dyDescent="0.25">
      <c r="A2362" s="10">
        <v>46170</v>
      </c>
      <c r="B2362" s="2" t="s">
        <v>3819</v>
      </c>
      <c r="C2362" s="2" t="s">
        <v>837</v>
      </c>
      <c r="D2362" s="2" t="s">
        <v>3817</v>
      </c>
      <c r="E2362" s="3" t="s">
        <v>833</v>
      </c>
      <c r="F2362" s="4">
        <v>7505.02</v>
      </c>
      <c r="G2362" s="4" t="s">
        <v>98</v>
      </c>
      <c r="H2362" s="22" t="s">
        <v>834</v>
      </c>
      <c r="I2362" s="22">
        <v>7505.02</v>
      </c>
      <c r="J2362" s="22"/>
      <c r="K2362" s="22">
        <f t="shared" si="25"/>
        <v>7505.02</v>
      </c>
      <c r="L2362" s="17"/>
      <c r="M2362" s="6" t="s">
        <v>581</v>
      </c>
      <c r="N2362" s="1" t="s">
        <v>3820</v>
      </c>
      <c r="Q2362" s="25"/>
    </row>
    <row r="2363" spans="1:20" x14ac:dyDescent="0.25">
      <c r="A2363" s="10">
        <v>46170</v>
      </c>
      <c r="B2363" s="2" t="s">
        <v>3819</v>
      </c>
      <c r="C2363" s="2" t="s">
        <v>837</v>
      </c>
      <c r="D2363" s="2" t="s">
        <v>3817</v>
      </c>
      <c r="E2363" s="3" t="s">
        <v>833</v>
      </c>
      <c r="G2363" s="4" t="s">
        <v>48</v>
      </c>
      <c r="H2363" s="22" t="s">
        <v>49</v>
      </c>
      <c r="I2363" s="22"/>
      <c r="J2363" s="22">
        <f>I2362</f>
        <v>7505.02</v>
      </c>
      <c r="K2363" s="22">
        <f t="shared" si="25"/>
        <v>7505.02</v>
      </c>
      <c r="L2363" s="17"/>
      <c r="Q2363" s="25"/>
    </row>
    <row r="2364" spans="1:20" ht="24.6" customHeight="1" x14ac:dyDescent="0.25">
      <c r="A2364" s="10">
        <v>46170</v>
      </c>
      <c r="B2364" s="2" t="s">
        <v>3821</v>
      </c>
      <c r="C2364" s="2" t="s">
        <v>1290</v>
      </c>
      <c r="D2364" s="2" t="s">
        <v>3822</v>
      </c>
      <c r="E2364" s="3" t="s">
        <v>692</v>
      </c>
      <c r="F2364" s="4">
        <v>4971.7299999999996</v>
      </c>
      <c r="G2364" s="4" t="s">
        <v>265</v>
      </c>
      <c r="H2364" s="22" t="s">
        <v>828</v>
      </c>
      <c r="I2364" s="22">
        <v>4971.7299999999996</v>
      </c>
      <c r="J2364" s="22"/>
      <c r="K2364" s="22">
        <f t="shared" si="25"/>
        <v>4971.7299999999996</v>
      </c>
      <c r="L2364" s="17"/>
      <c r="M2364" s="6" t="s">
        <v>581</v>
      </c>
      <c r="N2364" s="1" t="s">
        <v>3823</v>
      </c>
      <c r="Q2364" s="25"/>
    </row>
    <row r="2365" spans="1:20" ht="12" customHeight="1" x14ac:dyDescent="0.25">
      <c r="A2365" s="10">
        <v>46170</v>
      </c>
      <c r="B2365" s="2" t="s">
        <v>3821</v>
      </c>
      <c r="C2365" s="2" t="s">
        <v>1290</v>
      </c>
      <c r="D2365" s="2" t="s">
        <v>3822</v>
      </c>
      <c r="E2365" s="3" t="s">
        <v>692</v>
      </c>
      <c r="G2365" s="4" t="s">
        <v>48</v>
      </c>
      <c r="H2365" s="22" t="s">
        <v>49</v>
      </c>
      <c r="I2365" s="22"/>
      <c r="J2365" s="22">
        <f>I2364</f>
        <v>4971.7299999999996</v>
      </c>
      <c r="K2365" s="22">
        <f t="shared" si="25"/>
        <v>4971.7299999999996</v>
      </c>
      <c r="L2365" s="17"/>
      <c r="Q2365" s="25"/>
    </row>
    <row r="2366" spans="1:20" ht="24" x14ac:dyDescent="0.25">
      <c r="A2366" s="10">
        <v>46170</v>
      </c>
      <c r="B2366" s="2" t="s">
        <v>3824</v>
      </c>
      <c r="C2366" s="2" t="s">
        <v>259</v>
      </c>
      <c r="D2366" s="2" t="s">
        <v>3785</v>
      </c>
      <c r="E2366" s="3" t="s">
        <v>3487</v>
      </c>
      <c r="F2366" s="4">
        <f>49532.81+145129.75+46630.94+200</f>
        <v>241493.5</v>
      </c>
      <c r="G2366" s="4" t="s">
        <v>326</v>
      </c>
      <c r="H2366" s="22" t="s">
        <v>3825</v>
      </c>
      <c r="I2366" s="22">
        <v>49532.81</v>
      </c>
      <c r="J2366" s="22"/>
      <c r="K2366" s="22">
        <f t="shared" si="25"/>
        <v>49532.81</v>
      </c>
      <c r="L2366" s="17">
        <f>241293.5+150</f>
        <v>241443.5</v>
      </c>
      <c r="M2366" s="23" t="s">
        <v>41</v>
      </c>
      <c r="N2366" s="1" t="s">
        <v>3826</v>
      </c>
      <c r="O2366" s="24" t="s">
        <v>3827</v>
      </c>
      <c r="P2366" s="7" t="s">
        <v>81</v>
      </c>
      <c r="Q2366" s="25"/>
      <c r="R2366" s="7" t="s">
        <v>3559</v>
      </c>
      <c r="S2366" s="3" t="s">
        <v>83</v>
      </c>
      <c r="T2366" s="3" t="s">
        <v>3315</v>
      </c>
    </row>
    <row r="2367" spans="1:20" x14ac:dyDescent="0.25">
      <c r="A2367" s="10">
        <v>46170</v>
      </c>
      <c r="B2367" s="2" t="s">
        <v>3824</v>
      </c>
      <c r="C2367" s="2" t="s">
        <v>259</v>
      </c>
      <c r="D2367" s="2" t="s">
        <v>3785</v>
      </c>
      <c r="E2367" s="3" t="s">
        <v>3487</v>
      </c>
      <c r="G2367" s="4" t="s">
        <v>326</v>
      </c>
      <c r="H2367" s="22" t="s">
        <v>3103</v>
      </c>
      <c r="I2367" s="22">
        <v>145129.75</v>
      </c>
      <c r="J2367" s="22"/>
      <c r="K2367" s="22">
        <f t="shared" si="25"/>
        <v>145129.75</v>
      </c>
      <c r="L2367" s="17"/>
      <c r="Q2367" s="25"/>
    </row>
    <row r="2368" spans="1:20" x14ac:dyDescent="0.25">
      <c r="A2368" s="10">
        <v>46170</v>
      </c>
      <c r="B2368" s="2" t="s">
        <v>3824</v>
      </c>
      <c r="C2368" s="2" t="s">
        <v>259</v>
      </c>
      <c r="D2368" s="2" t="s">
        <v>3785</v>
      </c>
      <c r="E2368" s="3" t="s">
        <v>3487</v>
      </c>
      <c r="G2368" s="4" t="s">
        <v>326</v>
      </c>
      <c r="H2368" s="22" t="s">
        <v>3104</v>
      </c>
      <c r="I2368" s="22">
        <v>46630.94</v>
      </c>
      <c r="J2368" s="22"/>
      <c r="K2368" s="22">
        <f t="shared" si="25"/>
        <v>46630.94</v>
      </c>
      <c r="L2368" s="17"/>
      <c r="Q2368" s="25"/>
    </row>
    <row r="2369" spans="1:20" x14ac:dyDescent="0.25">
      <c r="A2369" s="10">
        <v>46170</v>
      </c>
      <c r="B2369" s="2" t="s">
        <v>3824</v>
      </c>
      <c r="C2369" s="2" t="s">
        <v>259</v>
      </c>
      <c r="D2369" s="2" t="s">
        <v>3785</v>
      </c>
      <c r="E2369" s="3" t="s">
        <v>3487</v>
      </c>
      <c r="G2369" s="4" t="s">
        <v>326</v>
      </c>
      <c r="H2369" s="22" t="s">
        <v>47</v>
      </c>
      <c r="I2369" s="22">
        <v>200</v>
      </c>
      <c r="J2369" s="22"/>
      <c r="K2369" s="22">
        <f t="shared" si="25"/>
        <v>200</v>
      </c>
      <c r="L2369" s="17"/>
      <c r="Q2369" s="25"/>
    </row>
    <row r="2370" spans="1:20" x14ac:dyDescent="0.25">
      <c r="A2370" s="10">
        <v>46170</v>
      </c>
      <c r="B2370" s="2" t="s">
        <v>3824</v>
      </c>
      <c r="C2370" s="2" t="s">
        <v>259</v>
      </c>
      <c r="D2370" s="2" t="s">
        <v>3785</v>
      </c>
      <c r="E2370" s="3" t="s">
        <v>3487</v>
      </c>
      <c r="G2370" s="4" t="s">
        <v>48</v>
      </c>
      <c r="H2370" s="22" t="s">
        <v>49</v>
      </c>
      <c r="I2370" s="22"/>
      <c r="J2370" s="22">
        <f>I2366+I2367+I2368+I2369</f>
        <v>241493.5</v>
      </c>
      <c r="K2370" s="22">
        <f t="shared" si="25"/>
        <v>241493.5</v>
      </c>
      <c r="L2370" s="17"/>
      <c r="Q2370" s="25"/>
    </row>
    <row r="2371" spans="1:20" x14ac:dyDescent="0.25">
      <c r="B2371" s="2" t="s">
        <v>3828</v>
      </c>
      <c r="F2371" s="4">
        <v>400</v>
      </c>
      <c r="H2371" s="22"/>
      <c r="I2371" s="22"/>
      <c r="J2371" s="22"/>
      <c r="K2371" s="22">
        <f t="shared" si="25"/>
        <v>0</v>
      </c>
      <c r="L2371" s="17"/>
      <c r="Q2371" s="25"/>
    </row>
    <row r="2372" spans="1:20" x14ac:dyDescent="0.25">
      <c r="B2372" s="2" t="s">
        <v>3829</v>
      </c>
      <c r="F2372" s="4">
        <v>400</v>
      </c>
      <c r="H2372" s="22"/>
      <c r="I2372" s="22"/>
      <c r="J2372" s="22"/>
      <c r="K2372" s="22">
        <f t="shared" si="25"/>
        <v>0</v>
      </c>
      <c r="L2372" s="17"/>
      <c r="Q2372" s="25"/>
    </row>
    <row r="2373" spans="1:20" x14ac:dyDescent="0.25">
      <c r="B2373" s="2" t="s">
        <v>3830</v>
      </c>
      <c r="F2373" s="4">
        <v>100</v>
      </c>
      <c r="H2373" s="22"/>
      <c r="I2373" s="22"/>
      <c r="J2373" s="22"/>
      <c r="K2373" s="22">
        <f t="shared" si="25"/>
        <v>0</v>
      </c>
      <c r="L2373" s="17"/>
      <c r="Q2373" s="25"/>
    </row>
    <row r="2374" spans="1:20" x14ac:dyDescent="0.25">
      <c r="B2374" s="2" t="s">
        <v>3831</v>
      </c>
      <c r="F2374" s="4">
        <v>281</v>
      </c>
      <c r="H2374" s="22"/>
      <c r="I2374" s="22"/>
      <c r="J2374" s="22"/>
      <c r="K2374" s="22">
        <f t="shared" si="25"/>
        <v>0</v>
      </c>
      <c r="L2374" s="17"/>
      <c r="Q2374" s="25"/>
    </row>
    <row r="2375" spans="1:20" x14ac:dyDescent="0.25">
      <c r="B2375" s="2" t="s">
        <v>3832</v>
      </c>
      <c r="F2375" s="4">
        <v>44</v>
      </c>
      <c r="H2375" s="22"/>
      <c r="I2375" s="22"/>
      <c r="J2375" s="22"/>
      <c r="K2375" s="22">
        <f t="shared" ref="K2375:K2575" si="26">ABS(I2375-J2375)</f>
        <v>0</v>
      </c>
      <c r="L2375" s="17"/>
      <c r="Q2375" s="25"/>
    </row>
    <row r="2376" spans="1:20" x14ac:dyDescent="0.25">
      <c r="B2376" s="2" t="s">
        <v>3833</v>
      </c>
      <c r="F2376" s="4">
        <v>1496</v>
      </c>
      <c r="H2376" s="22"/>
      <c r="I2376" s="22"/>
      <c r="J2376" s="22"/>
      <c r="K2376" s="22">
        <f t="shared" si="26"/>
        <v>0</v>
      </c>
      <c r="L2376" s="17"/>
      <c r="Q2376" s="25"/>
    </row>
    <row r="2377" spans="1:20" x14ac:dyDescent="0.25">
      <c r="B2377" s="2" t="s">
        <v>3834</v>
      </c>
      <c r="F2377" s="4">
        <v>135</v>
      </c>
      <c r="H2377" s="22"/>
      <c r="I2377" s="22"/>
      <c r="J2377" s="22"/>
      <c r="K2377" s="22">
        <f t="shared" si="26"/>
        <v>0</v>
      </c>
      <c r="L2377" s="17"/>
      <c r="Q2377" s="25"/>
    </row>
    <row r="2378" spans="1:20" x14ac:dyDescent="0.25">
      <c r="B2378" s="2" t="s">
        <v>3835</v>
      </c>
      <c r="F2378" s="4">
        <v>120</v>
      </c>
      <c r="H2378" s="22"/>
      <c r="I2378" s="22"/>
      <c r="J2378" s="22"/>
      <c r="K2378" s="22">
        <f t="shared" si="26"/>
        <v>0</v>
      </c>
      <c r="L2378" s="17"/>
      <c r="Q2378" s="25"/>
    </row>
    <row r="2379" spans="1:20" x14ac:dyDescent="0.25">
      <c r="B2379" s="2" t="s">
        <v>3836</v>
      </c>
      <c r="F2379" s="4">
        <v>899</v>
      </c>
      <c r="H2379" s="22"/>
      <c r="I2379" s="22"/>
      <c r="J2379" s="22"/>
      <c r="K2379" s="22">
        <f t="shared" si="26"/>
        <v>0</v>
      </c>
      <c r="L2379" s="17"/>
      <c r="Q2379" s="25"/>
    </row>
    <row r="2380" spans="1:20" x14ac:dyDescent="0.25">
      <c r="B2380" s="2" t="s">
        <v>3837</v>
      </c>
      <c r="F2380" s="4">
        <v>5</v>
      </c>
      <c r="H2380" s="22"/>
      <c r="I2380" s="22"/>
      <c r="J2380" s="22"/>
      <c r="K2380" s="22">
        <f t="shared" si="26"/>
        <v>0</v>
      </c>
      <c r="L2380" s="17"/>
      <c r="Q2380" s="25"/>
    </row>
    <row r="2381" spans="1:20" ht="24" x14ac:dyDescent="0.25">
      <c r="A2381" s="10">
        <v>46171</v>
      </c>
      <c r="B2381" s="2" t="s">
        <v>3838</v>
      </c>
      <c r="C2381" s="2" t="s">
        <v>95</v>
      </c>
      <c r="D2381" s="2" t="s">
        <v>3839</v>
      </c>
      <c r="E2381" s="3" t="s">
        <v>76</v>
      </c>
      <c r="F2381" s="4">
        <f>1000+400+3800</f>
        <v>5200</v>
      </c>
      <c r="G2381" s="4" t="s">
        <v>77</v>
      </c>
      <c r="H2381" s="22" t="s">
        <v>78</v>
      </c>
      <c r="I2381" s="22">
        <v>5200</v>
      </c>
      <c r="J2381" s="22"/>
      <c r="K2381" s="22">
        <f t="shared" si="26"/>
        <v>5200</v>
      </c>
      <c r="L2381" s="17">
        <v>5200</v>
      </c>
      <c r="M2381" s="23" t="s">
        <v>41</v>
      </c>
      <c r="N2381" s="1" t="s">
        <v>3840</v>
      </c>
      <c r="O2381" s="28" t="s">
        <v>80</v>
      </c>
      <c r="P2381" s="7" t="s">
        <v>81</v>
      </c>
      <c r="Q2381" s="25"/>
      <c r="R2381" s="7" t="s">
        <v>3559</v>
      </c>
      <c r="S2381" s="3" t="s">
        <v>83</v>
      </c>
      <c r="T2381" s="3" t="s">
        <v>3315</v>
      </c>
    </row>
    <row r="2382" spans="1:20" x14ac:dyDescent="0.25">
      <c r="A2382" s="10">
        <v>46171</v>
      </c>
      <c r="B2382" s="2" t="s">
        <v>3838</v>
      </c>
      <c r="C2382" s="2" t="s">
        <v>95</v>
      </c>
      <c r="D2382" s="2" t="s">
        <v>3839</v>
      </c>
      <c r="E2382" s="3" t="s">
        <v>76</v>
      </c>
      <c r="G2382" s="4" t="s">
        <v>48</v>
      </c>
      <c r="H2382" s="22" t="s">
        <v>49</v>
      </c>
      <c r="I2382" s="22"/>
      <c r="J2382" s="22">
        <f>I2381</f>
        <v>5200</v>
      </c>
      <c r="K2382" s="22">
        <f t="shared" si="26"/>
        <v>5200</v>
      </c>
      <c r="L2382" s="17"/>
      <c r="Q2382" s="25"/>
    </row>
    <row r="2383" spans="1:20" x14ac:dyDescent="0.25">
      <c r="A2383" s="10">
        <v>46171</v>
      </c>
      <c r="B2383" s="2" t="s">
        <v>3841</v>
      </c>
      <c r="C2383" s="2" t="s">
        <v>310</v>
      </c>
      <c r="E2383" s="3" t="s">
        <v>27</v>
      </c>
      <c r="F2383" s="4">
        <v>339420</v>
      </c>
      <c r="G2383" s="4" t="s">
        <v>326</v>
      </c>
      <c r="H2383" s="22"/>
      <c r="I2383" s="22"/>
      <c r="J2383" s="22"/>
      <c r="K2383" s="22">
        <f t="shared" si="26"/>
        <v>0</v>
      </c>
      <c r="L2383" s="17"/>
    </row>
    <row r="2384" spans="1:20" x14ac:dyDescent="0.25">
      <c r="A2384" s="10">
        <v>46171</v>
      </c>
      <c r="B2384" s="2" t="s">
        <v>3842</v>
      </c>
      <c r="C2384" s="2" t="s">
        <v>141</v>
      </c>
      <c r="E2384" s="3" t="s">
        <v>27</v>
      </c>
      <c r="F2384" s="4">
        <v>22675.8</v>
      </c>
      <c r="H2384" s="22"/>
      <c r="I2384" s="22"/>
      <c r="J2384" s="22"/>
      <c r="K2384" s="22">
        <f t="shared" si="26"/>
        <v>0</v>
      </c>
      <c r="L2384" s="17"/>
    </row>
    <row r="2385" spans="1:20" x14ac:dyDescent="0.25">
      <c r="A2385" s="10">
        <v>46171</v>
      </c>
      <c r="B2385" s="2" t="s">
        <v>3843</v>
      </c>
      <c r="E2385" s="3" t="s">
        <v>398</v>
      </c>
      <c r="F2385" s="4">
        <v>50000</v>
      </c>
      <c r="H2385" s="22"/>
      <c r="I2385" s="22"/>
      <c r="J2385" s="22"/>
      <c r="K2385" s="22">
        <f t="shared" si="26"/>
        <v>0</v>
      </c>
      <c r="L2385" s="17"/>
    </row>
    <row r="2386" spans="1:20" ht="24" x14ac:dyDescent="0.25">
      <c r="A2386" s="10">
        <v>46171</v>
      </c>
      <c r="B2386" s="2" t="s">
        <v>3844</v>
      </c>
      <c r="C2386" s="2" t="s">
        <v>95</v>
      </c>
      <c r="D2386" s="2" t="s">
        <v>3845</v>
      </c>
      <c r="E2386" s="3" t="s">
        <v>3846</v>
      </c>
      <c r="F2386" s="4">
        <v>78000</v>
      </c>
      <c r="G2386" s="4" t="s">
        <v>48</v>
      </c>
      <c r="H2386" s="22" t="s">
        <v>3847</v>
      </c>
      <c r="I2386" s="22">
        <v>78000</v>
      </c>
      <c r="J2386" s="22"/>
      <c r="K2386" s="22">
        <f t="shared" si="26"/>
        <v>78000</v>
      </c>
      <c r="L2386" s="17"/>
      <c r="M2386" s="6" t="s">
        <v>581</v>
      </c>
      <c r="N2386" s="1" t="s">
        <v>3848</v>
      </c>
    </row>
    <row r="2387" spans="1:20" x14ac:dyDescent="0.25">
      <c r="A2387" s="10">
        <v>46171</v>
      </c>
      <c r="B2387" s="2" t="s">
        <v>3844</v>
      </c>
      <c r="C2387" s="2" t="s">
        <v>95</v>
      </c>
      <c r="D2387" s="2" t="s">
        <v>3845</v>
      </c>
      <c r="E2387" s="3" t="s">
        <v>3846</v>
      </c>
      <c r="G2387" s="4" t="s">
        <v>48</v>
      </c>
      <c r="H2387" s="22" t="s">
        <v>49</v>
      </c>
      <c r="I2387" s="22"/>
      <c r="J2387" s="22">
        <f>I2386</f>
        <v>78000</v>
      </c>
      <c r="K2387" s="22">
        <f t="shared" si="26"/>
        <v>78000</v>
      </c>
      <c r="L2387" s="17"/>
    </row>
    <row r="2388" spans="1:20" ht="24" x14ac:dyDescent="0.25">
      <c r="A2388" s="10">
        <v>46174</v>
      </c>
      <c r="B2388" s="2" t="s">
        <v>3849</v>
      </c>
      <c r="C2388" s="2" t="s">
        <v>141</v>
      </c>
      <c r="E2388" s="3" t="s">
        <v>27</v>
      </c>
      <c r="F2388" s="4">
        <v>350220</v>
      </c>
      <c r="G2388" s="4" t="s">
        <v>48</v>
      </c>
      <c r="H2388" s="22" t="s">
        <v>81</v>
      </c>
      <c r="I2388" s="22">
        <v>350020</v>
      </c>
      <c r="J2388" s="22"/>
      <c r="K2388" s="22">
        <f t="shared" si="26"/>
        <v>350020</v>
      </c>
      <c r="L2388" s="17">
        <v>350550</v>
      </c>
      <c r="M2388" s="23" t="s">
        <v>41</v>
      </c>
      <c r="N2388" s="1" t="s">
        <v>3850</v>
      </c>
      <c r="O2388" s="7" t="s">
        <v>143</v>
      </c>
      <c r="P2388" s="7" t="s">
        <v>32</v>
      </c>
      <c r="Q2388" s="25" t="s">
        <v>3851</v>
      </c>
      <c r="R2388" s="7" t="s">
        <v>1769</v>
      </c>
      <c r="S2388" s="3" t="s">
        <v>1630</v>
      </c>
      <c r="T2388" s="3" t="s">
        <v>3676</v>
      </c>
    </row>
    <row r="2389" spans="1:20" x14ac:dyDescent="0.25">
      <c r="A2389" s="10">
        <v>46174</v>
      </c>
      <c r="B2389" s="2" t="s">
        <v>3849</v>
      </c>
      <c r="C2389" s="2" t="s">
        <v>141</v>
      </c>
      <c r="E2389" s="3" t="s">
        <v>27</v>
      </c>
      <c r="G2389" s="4" t="s">
        <v>48</v>
      </c>
      <c r="H2389" s="22" t="s">
        <v>47</v>
      </c>
      <c r="I2389" s="22">
        <v>200</v>
      </c>
      <c r="J2389" s="22"/>
      <c r="K2389" s="22">
        <f t="shared" si="26"/>
        <v>200</v>
      </c>
      <c r="L2389" s="17"/>
      <c r="Q2389" s="25"/>
    </row>
    <row r="2390" spans="1:20" x14ac:dyDescent="0.25">
      <c r="A2390" s="10">
        <v>46174</v>
      </c>
      <c r="B2390" s="2" t="s">
        <v>3849</v>
      </c>
      <c r="C2390" s="2" t="s">
        <v>141</v>
      </c>
      <c r="E2390" s="3" t="s">
        <v>27</v>
      </c>
      <c r="G2390" s="4" t="s">
        <v>326</v>
      </c>
      <c r="H2390" s="22" t="s">
        <v>327</v>
      </c>
      <c r="I2390" s="22"/>
      <c r="J2390" s="22">
        <f>I2388+I2389</f>
        <v>350220</v>
      </c>
      <c r="K2390" s="22">
        <f t="shared" si="26"/>
        <v>350220</v>
      </c>
      <c r="L2390" s="17"/>
      <c r="Q2390" s="25"/>
    </row>
    <row r="2391" spans="1:20" ht="24" x14ac:dyDescent="0.25">
      <c r="A2391" s="10">
        <v>46174</v>
      </c>
      <c r="B2391" s="2" t="s">
        <v>3852</v>
      </c>
      <c r="C2391" s="2" t="s">
        <v>141</v>
      </c>
      <c r="E2391" s="3" t="s">
        <v>27</v>
      </c>
      <c r="F2391" s="4">
        <v>1448600</v>
      </c>
      <c r="G2391" s="4" t="s">
        <v>48</v>
      </c>
      <c r="H2391" s="22" t="s">
        <v>81</v>
      </c>
      <c r="I2391" s="22">
        <v>1448600</v>
      </c>
      <c r="J2391" s="22"/>
      <c r="K2391" s="22">
        <f t="shared" si="26"/>
        <v>1448600</v>
      </c>
      <c r="L2391" s="17">
        <v>1448600</v>
      </c>
      <c r="M2391" s="23" t="s">
        <v>41</v>
      </c>
      <c r="N2391" s="1" t="s">
        <v>3853</v>
      </c>
      <c r="O2391" s="7" t="s">
        <v>143</v>
      </c>
      <c r="P2391" s="7" t="s">
        <v>32</v>
      </c>
      <c r="Q2391" s="25" t="s">
        <v>3854</v>
      </c>
      <c r="R2391" s="7" t="s">
        <v>3559</v>
      </c>
      <c r="S2391" s="3" t="s">
        <v>145</v>
      </c>
      <c r="T2391" s="3" t="s">
        <v>3855</v>
      </c>
    </row>
    <row r="2392" spans="1:20" x14ac:dyDescent="0.25">
      <c r="A2392" s="10">
        <v>46174</v>
      </c>
      <c r="B2392" s="2" t="s">
        <v>3852</v>
      </c>
      <c r="C2392" s="2" t="s">
        <v>141</v>
      </c>
      <c r="E2392" s="3" t="s">
        <v>27</v>
      </c>
      <c r="G2392" s="4" t="s">
        <v>48</v>
      </c>
      <c r="H2392" s="22" t="s">
        <v>334</v>
      </c>
      <c r="I2392" s="22"/>
      <c r="J2392" s="22">
        <f>I2391</f>
        <v>1448600</v>
      </c>
      <c r="K2392" s="22">
        <f t="shared" si="26"/>
        <v>1448600</v>
      </c>
      <c r="L2392" s="17"/>
      <c r="Q2392" s="25"/>
    </row>
    <row r="2393" spans="1:20" x14ac:dyDescent="0.25">
      <c r="A2393" s="10">
        <v>46174</v>
      </c>
      <c r="B2393" s="2" t="s">
        <v>3856</v>
      </c>
      <c r="E2393" s="3" t="s">
        <v>3857</v>
      </c>
      <c r="F2393" s="4">
        <f>25500+50</f>
        <v>25550</v>
      </c>
      <c r="G2393" s="4" t="s">
        <v>326</v>
      </c>
      <c r="H2393" s="22" t="s">
        <v>81</v>
      </c>
      <c r="I2393" s="22">
        <v>25500</v>
      </c>
      <c r="J2393" s="22"/>
      <c r="K2393" s="22">
        <f t="shared" si="26"/>
        <v>25500</v>
      </c>
      <c r="L2393" s="17">
        <v>25550</v>
      </c>
      <c r="M2393" s="23" t="s">
        <v>41</v>
      </c>
      <c r="N2393" s="1" t="s">
        <v>3858</v>
      </c>
      <c r="O2393" s="7" t="s">
        <v>116</v>
      </c>
      <c r="P2393" s="7" t="s">
        <v>81</v>
      </c>
      <c r="R2393" s="7" t="s">
        <v>3559</v>
      </c>
      <c r="S2393" s="3" t="s">
        <v>83</v>
      </c>
      <c r="T2393" s="3" t="s">
        <v>3859</v>
      </c>
    </row>
    <row r="2394" spans="1:20" x14ac:dyDescent="0.25">
      <c r="A2394" s="10">
        <v>46174</v>
      </c>
      <c r="B2394" s="2" t="s">
        <v>3856</v>
      </c>
      <c r="E2394" s="3" t="s">
        <v>3857</v>
      </c>
      <c r="G2394" s="4" t="s">
        <v>326</v>
      </c>
      <c r="H2394" s="22" t="s">
        <v>47</v>
      </c>
      <c r="I2394" s="22">
        <v>50</v>
      </c>
      <c r="J2394" s="22"/>
      <c r="K2394" s="22">
        <f t="shared" si="26"/>
        <v>50</v>
      </c>
      <c r="L2394" s="17"/>
    </row>
    <row r="2395" spans="1:20" x14ac:dyDescent="0.25">
      <c r="A2395" s="10">
        <v>46174</v>
      </c>
      <c r="B2395" s="2" t="s">
        <v>3856</v>
      </c>
      <c r="E2395" s="3" t="s">
        <v>3857</v>
      </c>
      <c r="G2395" s="4" t="s">
        <v>48</v>
      </c>
      <c r="H2395" s="22" t="s">
        <v>49</v>
      </c>
      <c r="I2395" s="22"/>
      <c r="J2395" s="22">
        <f>I2393+I2394</f>
        <v>25550</v>
      </c>
      <c r="K2395" s="22">
        <f t="shared" si="26"/>
        <v>25550</v>
      </c>
      <c r="L2395" s="17"/>
    </row>
    <row r="2396" spans="1:20" x14ac:dyDescent="0.25">
      <c r="A2396" s="10">
        <v>46174</v>
      </c>
      <c r="B2396" s="2" t="s">
        <v>3860</v>
      </c>
      <c r="E2396" s="3" t="s">
        <v>398</v>
      </c>
      <c r="F2396" s="4">
        <v>50000</v>
      </c>
      <c r="G2396" s="4" t="s">
        <v>167</v>
      </c>
      <c r="H2396" s="22" t="s">
        <v>168</v>
      </c>
      <c r="I2396" s="22">
        <v>50000</v>
      </c>
      <c r="J2396" s="22"/>
      <c r="K2396" s="22">
        <f t="shared" si="26"/>
        <v>50000</v>
      </c>
      <c r="L2396" s="17">
        <v>50000</v>
      </c>
      <c r="M2396" s="23" t="s">
        <v>41</v>
      </c>
      <c r="N2396" s="1" t="s">
        <v>3861</v>
      </c>
      <c r="O2396" s="7" t="s">
        <v>143</v>
      </c>
      <c r="P2396" s="7" t="s">
        <v>32</v>
      </c>
      <c r="Q2396" s="25" t="s">
        <v>3862</v>
      </c>
      <c r="R2396" s="7" t="s">
        <v>1769</v>
      </c>
      <c r="S2396" s="3" t="s">
        <v>145</v>
      </c>
      <c r="T2396" s="3" t="s">
        <v>3855</v>
      </c>
    </row>
    <row r="2397" spans="1:20" x14ac:dyDescent="0.25">
      <c r="A2397" s="10">
        <v>46174</v>
      </c>
      <c r="B2397" s="2" t="s">
        <v>3860</v>
      </c>
      <c r="E2397" s="3" t="s">
        <v>398</v>
      </c>
      <c r="G2397" s="4" t="s">
        <v>48</v>
      </c>
      <c r="H2397" s="22" t="s">
        <v>334</v>
      </c>
      <c r="I2397" s="22"/>
      <c r="J2397" s="22">
        <f>I2396</f>
        <v>50000</v>
      </c>
      <c r="K2397" s="22">
        <f t="shared" si="26"/>
        <v>50000</v>
      </c>
      <c r="L2397" s="17"/>
      <c r="Q2397" s="25"/>
    </row>
    <row r="2398" spans="1:20" x14ac:dyDescent="0.25">
      <c r="A2398" s="10">
        <v>46174</v>
      </c>
      <c r="B2398" s="2" t="s">
        <v>3863</v>
      </c>
      <c r="E2398" s="3" t="s">
        <v>398</v>
      </c>
      <c r="F2398" s="4">
        <v>175000</v>
      </c>
      <c r="G2398" s="4" t="s">
        <v>167</v>
      </c>
      <c r="H2398" s="22" t="s">
        <v>168</v>
      </c>
      <c r="I2398" s="22">
        <v>175000</v>
      </c>
      <c r="J2398" s="22"/>
      <c r="K2398" s="22">
        <f t="shared" si="26"/>
        <v>175000</v>
      </c>
      <c r="L2398" s="17">
        <v>175000</v>
      </c>
      <c r="M2398" s="23" t="s">
        <v>41</v>
      </c>
      <c r="N2398" s="1" t="s">
        <v>3753</v>
      </c>
      <c r="O2398" s="7" t="s">
        <v>313</v>
      </c>
      <c r="P2398" s="7" t="s">
        <v>32</v>
      </c>
      <c r="Q2398" s="25" t="s">
        <v>3864</v>
      </c>
      <c r="R2398" s="7" t="s">
        <v>3559</v>
      </c>
      <c r="S2398" s="3" t="s">
        <v>145</v>
      </c>
      <c r="T2398" s="3" t="s">
        <v>3855</v>
      </c>
    </row>
    <row r="2399" spans="1:20" x14ac:dyDescent="0.25">
      <c r="A2399" s="10">
        <v>46174</v>
      </c>
      <c r="B2399" s="2" t="s">
        <v>3863</v>
      </c>
      <c r="E2399" s="3" t="s">
        <v>398</v>
      </c>
      <c r="G2399" s="4" t="s">
        <v>48</v>
      </c>
      <c r="H2399" s="22" t="s">
        <v>334</v>
      </c>
      <c r="I2399" s="22"/>
      <c r="J2399" s="22">
        <f>I2398</f>
        <v>175000</v>
      </c>
      <c r="K2399" s="22"/>
      <c r="L2399" s="17"/>
      <c r="Q2399" s="25"/>
    </row>
    <row r="2400" spans="1:20" ht="24" x14ac:dyDescent="0.25">
      <c r="A2400" s="10">
        <v>46174</v>
      </c>
      <c r="B2400" s="2" t="s">
        <v>3865</v>
      </c>
      <c r="E2400" s="3" t="s">
        <v>371</v>
      </c>
      <c r="F2400" s="4">
        <v>10600</v>
      </c>
      <c r="G2400" s="4" t="s">
        <v>98</v>
      </c>
      <c r="H2400" s="22" t="s">
        <v>1894</v>
      </c>
      <c r="I2400" s="22">
        <v>10600</v>
      </c>
      <c r="J2400" s="22"/>
      <c r="K2400" s="22">
        <f t="shared" si="26"/>
        <v>10600</v>
      </c>
      <c r="L2400" s="17">
        <v>10600</v>
      </c>
      <c r="M2400" s="23" t="s">
        <v>41</v>
      </c>
      <c r="N2400" s="1" t="s">
        <v>3866</v>
      </c>
      <c r="O2400" s="24" t="s">
        <v>3867</v>
      </c>
      <c r="P2400" s="7" t="s">
        <v>81</v>
      </c>
      <c r="R2400" s="7" t="s">
        <v>3559</v>
      </c>
      <c r="S2400" s="3" t="s">
        <v>83</v>
      </c>
      <c r="T2400" s="3" t="s">
        <v>3859</v>
      </c>
    </row>
    <row r="2401" spans="1:20" x14ac:dyDescent="0.25">
      <c r="A2401" s="10">
        <v>46174</v>
      </c>
      <c r="B2401" s="2" t="s">
        <v>3865</v>
      </c>
      <c r="E2401" s="3" t="s">
        <v>371</v>
      </c>
      <c r="G2401" s="4" t="s">
        <v>48</v>
      </c>
      <c r="H2401" s="22" t="s">
        <v>81</v>
      </c>
      <c r="I2401" s="22"/>
      <c r="J2401" s="22">
        <f>I2400</f>
        <v>10600</v>
      </c>
      <c r="K2401" s="22">
        <f t="shared" si="26"/>
        <v>10600</v>
      </c>
      <c r="L2401" s="17"/>
      <c r="M2401" s="23"/>
    </row>
    <row r="2402" spans="1:20" x14ac:dyDescent="0.25">
      <c r="A2402" s="10">
        <v>46174</v>
      </c>
      <c r="B2402" s="2" t="s">
        <v>3868</v>
      </c>
      <c r="E2402" s="3" t="s">
        <v>1645</v>
      </c>
      <c r="F2402" s="4">
        <v>11180</v>
      </c>
      <c r="G2402" s="4" t="s">
        <v>326</v>
      </c>
      <c r="H2402" s="22" t="s">
        <v>81</v>
      </c>
      <c r="I2402" s="22">
        <v>11180</v>
      </c>
      <c r="J2402" s="22"/>
      <c r="K2402" s="22">
        <f t="shared" si="26"/>
        <v>11180</v>
      </c>
      <c r="L2402" s="17">
        <v>11180</v>
      </c>
      <c r="M2402" s="23" t="s">
        <v>41</v>
      </c>
      <c r="N2402" s="1" t="s">
        <v>3869</v>
      </c>
      <c r="O2402" s="7" t="s">
        <v>116</v>
      </c>
      <c r="P2402" s="7" t="s">
        <v>81</v>
      </c>
      <c r="R2402" s="7" t="s">
        <v>3559</v>
      </c>
      <c r="S2402" s="3" t="s">
        <v>83</v>
      </c>
      <c r="T2402" s="3" t="s">
        <v>3859</v>
      </c>
    </row>
    <row r="2403" spans="1:20" x14ac:dyDescent="0.25">
      <c r="A2403" s="10">
        <v>46174</v>
      </c>
      <c r="B2403" s="2" t="s">
        <v>3868</v>
      </c>
      <c r="E2403" s="3" t="s">
        <v>1645</v>
      </c>
      <c r="G2403" s="4" t="s">
        <v>48</v>
      </c>
      <c r="H2403" s="22" t="s">
        <v>49</v>
      </c>
      <c r="I2403" s="22"/>
      <c r="J2403" s="22">
        <f>I2402</f>
        <v>11180</v>
      </c>
      <c r="K2403" s="22">
        <f t="shared" si="26"/>
        <v>11180</v>
      </c>
      <c r="L2403" s="17"/>
    </row>
    <row r="2404" spans="1:20" x14ac:dyDescent="0.25">
      <c r="A2404" s="10">
        <v>46174</v>
      </c>
      <c r="B2404" s="2" t="s">
        <v>3870</v>
      </c>
      <c r="E2404" s="3" t="s">
        <v>27</v>
      </c>
      <c r="F2404" s="4">
        <f>339420-25500-50-11180</f>
        <v>302690</v>
      </c>
      <c r="G2404" s="4" t="s">
        <v>326</v>
      </c>
      <c r="H2404" s="22" t="s">
        <v>731</v>
      </c>
      <c r="I2404" s="22">
        <v>302690</v>
      </c>
      <c r="J2404" s="22"/>
      <c r="K2404" s="22">
        <f t="shared" si="26"/>
        <v>302690</v>
      </c>
      <c r="L2404" s="17">
        <v>302690</v>
      </c>
      <c r="M2404" s="23" t="s">
        <v>41</v>
      </c>
      <c r="N2404" s="1" t="s">
        <v>3871</v>
      </c>
      <c r="O2404" s="7" t="s">
        <v>116</v>
      </c>
      <c r="P2404" s="7" t="s">
        <v>81</v>
      </c>
      <c r="R2404" s="7" t="s">
        <v>3559</v>
      </c>
      <c r="S2404" s="3" t="s">
        <v>83</v>
      </c>
      <c r="T2404" s="3" t="s">
        <v>3859</v>
      </c>
    </row>
    <row r="2405" spans="1:20" x14ac:dyDescent="0.25">
      <c r="A2405" s="10">
        <v>46174</v>
      </c>
      <c r="B2405" s="2" t="s">
        <v>3870</v>
      </c>
      <c r="E2405" s="3" t="s">
        <v>27</v>
      </c>
      <c r="G2405" s="4" t="s">
        <v>48</v>
      </c>
      <c r="H2405" s="22" t="s">
        <v>81</v>
      </c>
      <c r="I2405" s="22"/>
      <c r="J2405" s="22">
        <f>I2404</f>
        <v>302690</v>
      </c>
      <c r="K2405" s="22">
        <f t="shared" si="26"/>
        <v>302690</v>
      </c>
      <c r="L2405" s="17"/>
    </row>
    <row r="2406" spans="1:20" ht="24" x14ac:dyDescent="0.25">
      <c r="A2406" s="10">
        <v>46174</v>
      </c>
      <c r="B2406" s="2" t="s">
        <v>3872</v>
      </c>
      <c r="C2406" s="31" t="s">
        <v>997</v>
      </c>
      <c r="D2406" s="2" t="s">
        <v>3873</v>
      </c>
      <c r="E2406" s="3" t="s">
        <v>833</v>
      </c>
      <c r="F2406" s="4">
        <v>3555.83</v>
      </c>
      <c r="G2406" s="4" t="s">
        <v>265</v>
      </c>
      <c r="H2406" s="22" t="s">
        <v>834</v>
      </c>
      <c r="I2406" s="22">
        <v>3555.83</v>
      </c>
      <c r="J2406" s="22"/>
      <c r="K2406" s="22">
        <f t="shared" si="26"/>
        <v>3555.83</v>
      </c>
      <c r="L2406" s="17"/>
      <c r="M2406" s="6" t="s">
        <v>581</v>
      </c>
      <c r="N2406" s="1" t="s">
        <v>3874</v>
      </c>
    </row>
    <row r="2407" spans="1:20" x14ac:dyDescent="0.25">
      <c r="A2407" s="10">
        <v>46174</v>
      </c>
      <c r="B2407" s="2" t="s">
        <v>3872</v>
      </c>
      <c r="C2407" s="31" t="s">
        <v>997</v>
      </c>
      <c r="D2407" s="2" t="s">
        <v>3873</v>
      </c>
      <c r="E2407" s="3" t="s">
        <v>833</v>
      </c>
      <c r="G2407" s="4" t="s">
        <v>48</v>
      </c>
      <c r="H2407" s="22" t="s">
        <v>49</v>
      </c>
      <c r="I2407" s="22"/>
      <c r="J2407" s="22">
        <f>I2406</f>
        <v>3555.83</v>
      </c>
      <c r="K2407" s="22">
        <f t="shared" si="26"/>
        <v>3555.83</v>
      </c>
      <c r="L2407" s="17"/>
    </row>
    <row r="2408" spans="1:20" ht="24" x14ac:dyDescent="0.25">
      <c r="A2408" s="10">
        <v>46174</v>
      </c>
      <c r="B2408" s="2" t="s">
        <v>3875</v>
      </c>
      <c r="C2408" s="2" t="s">
        <v>1138</v>
      </c>
      <c r="D2408" s="2" t="s">
        <v>3876</v>
      </c>
      <c r="E2408" s="3" t="s">
        <v>833</v>
      </c>
      <c r="F2408" s="4">
        <v>1027.1600000000001</v>
      </c>
      <c r="G2408" s="4" t="s">
        <v>1140</v>
      </c>
      <c r="H2408" s="22" t="s">
        <v>834</v>
      </c>
      <c r="I2408" s="22">
        <v>1027.1600000000001</v>
      </c>
      <c r="J2408" s="22"/>
      <c r="K2408" s="22">
        <f t="shared" si="26"/>
        <v>1027.1600000000001</v>
      </c>
      <c r="L2408" s="17"/>
      <c r="M2408" s="6" t="s">
        <v>581</v>
      </c>
      <c r="N2408" s="1" t="s">
        <v>3877</v>
      </c>
    </row>
    <row r="2409" spans="1:20" x14ac:dyDescent="0.25">
      <c r="A2409" s="10">
        <v>46174</v>
      </c>
      <c r="B2409" s="2" t="s">
        <v>3875</v>
      </c>
      <c r="C2409" s="2" t="s">
        <v>1138</v>
      </c>
      <c r="D2409" s="2" t="s">
        <v>3876</v>
      </c>
      <c r="E2409" s="3" t="s">
        <v>833</v>
      </c>
      <c r="G2409" s="4" t="s">
        <v>48</v>
      </c>
      <c r="H2409" s="22" t="s">
        <v>49</v>
      </c>
      <c r="I2409" s="22"/>
      <c r="J2409" s="22">
        <f>I2408</f>
        <v>1027.1600000000001</v>
      </c>
      <c r="K2409" s="22">
        <f t="shared" si="26"/>
        <v>1027.1600000000001</v>
      </c>
      <c r="L2409" s="17"/>
    </row>
    <row r="2410" spans="1:20" ht="24" x14ac:dyDescent="0.25">
      <c r="A2410" s="10">
        <v>46174</v>
      </c>
      <c r="B2410" s="2" t="s">
        <v>3878</v>
      </c>
      <c r="C2410" s="2" t="s">
        <v>95</v>
      </c>
      <c r="D2410" s="2" t="s">
        <v>3879</v>
      </c>
      <c r="E2410" s="3" t="s">
        <v>2563</v>
      </c>
      <c r="F2410" s="4">
        <v>3500</v>
      </c>
      <c r="G2410" s="4" t="s">
        <v>48</v>
      </c>
      <c r="H2410" s="22" t="s">
        <v>78</v>
      </c>
      <c r="I2410" s="22">
        <v>3500</v>
      </c>
      <c r="J2410" s="22"/>
      <c r="K2410" s="22">
        <f t="shared" si="26"/>
        <v>3500</v>
      </c>
      <c r="L2410" s="17">
        <v>3500</v>
      </c>
      <c r="M2410" s="23" t="s">
        <v>41</v>
      </c>
      <c r="N2410" s="1" t="s">
        <v>3880</v>
      </c>
      <c r="O2410" s="28" t="s">
        <v>3881</v>
      </c>
      <c r="P2410" s="7" t="s">
        <v>81</v>
      </c>
      <c r="R2410" s="7" t="s">
        <v>3314</v>
      </c>
      <c r="S2410" s="3" t="s">
        <v>83</v>
      </c>
      <c r="T2410" s="3" t="s">
        <v>3315</v>
      </c>
    </row>
    <row r="2411" spans="1:20" x14ac:dyDescent="0.25">
      <c r="A2411" s="10">
        <v>46174</v>
      </c>
      <c r="B2411" s="2" t="s">
        <v>3878</v>
      </c>
      <c r="C2411" s="2" t="s">
        <v>95</v>
      </c>
      <c r="D2411" s="2" t="s">
        <v>3879</v>
      </c>
      <c r="E2411" s="3" t="s">
        <v>2563</v>
      </c>
      <c r="G2411" s="4" t="s">
        <v>48</v>
      </c>
      <c r="H2411" s="22" t="s">
        <v>49</v>
      </c>
      <c r="I2411" s="22"/>
      <c r="J2411" s="22">
        <f>I2410</f>
        <v>3500</v>
      </c>
      <c r="K2411" s="22">
        <f t="shared" si="26"/>
        <v>3500</v>
      </c>
      <c r="L2411" s="17"/>
    </row>
    <row r="2412" spans="1:20" ht="24" x14ac:dyDescent="0.25">
      <c r="A2412" s="10">
        <v>46174</v>
      </c>
      <c r="B2412" s="2" t="s">
        <v>3882</v>
      </c>
      <c r="C2412" s="2" t="s">
        <v>95</v>
      </c>
      <c r="D2412" s="2" t="s">
        <v>3883</v>
      </c>
      <c r="E2412" s="3" t="s">
        <v>76</v>
      </c>
      <c r="F2412" s="4">
        <f>18290+55000+7000</f>
        <v>80290</v>
      </c>
      <c r="G2412" s="4" t="s">
        <v>77</v>
      </c>
      <c r="H2412" s="22" t="s">
        <v>78</v>
      </c>
      <c r="I2412" s="22">
        <v>80290</v>
      </c>
      <c r="J2412" s="22"/>
      <c r="K2412" s="22">
        <f t="shared" si="26"/>
        <v>80290</v>
      </c>
      <c r="L2412" s="17"/>
      <c r="M2412" s="6" t="s">
        <v>581</v>
      </c>
      <c r="N2412" s="1" t="s">
        <v>3884</v>
      </c>
    </row>
    <row r="2413" spans="1:20" x14ac:dyDescent="0.25">
      <c r="A2413" s="10">
        <v>46174</v>
      </c>
      <c r="B2413" s="2" t="s">
        <v>3882</v>
      </c>
      <c r="C2413" s="2" t="s">
        <v>95</v>
      </c>
      <c r="D2413" s="2" t="s">
        <v>3883</v>
      </c>
      <c r="E2413" s="3" t="s">
        <v>76</v>
      </c>
      <c r="G2413" s="4" t="s">
        <v>48</v>
      </c>
      <c r="H2413" s="22" t="s">
        <v>49</v>
      </c>
      <c r="I2413" s="22"/>
      <c r="J2413" s="22">
        <f>I2412</f>
        <v>80290</v>
      </c>
      <c r="K2413" s="22">
        <f t="shared" si="26"/>
        <v>80290</v>
      </c>
      <c r="L2413" s="17"/>
    </row>
    <row r="2414" spans="1:20" ht="24" x14ac:dyDescent="0.25">
      <c r="A2414" s="10">
        <v>46174</v>
      </c>
      <c r="B2414" s="2" t="s">
        <v>3885</v>
      </c>
      <c r="C2414" s="2" t="s">
        <v>827</v>
      </c>
      <c r="D2414" s="31" t="s">
        <v>2859</v>
      </c>
      <c r="E2414" s="3" t="s">
        <v>692</v>
      </c>
      <c r="F2414" s="4">
        <v>7992.54</v>
      </c>
      <c r="G2414" s="4" t="s">
        <v>128</v>
      </c>
      <c r="H2414" s="22" t="s">
        <v>828</v>
      </c>
      <c r="I2414" s="22">
        <v>7992.54</v>
      </c>
      <c r="J2414" s="22"/>
      <c r="K2414" s="22">
        <f t="shared" si="26"/>
        <v>7992.54</v>
      </c>
      <c r="L2414" s="17"/>
      <c r="M2414" s="6" t="s">
        <v>581</v>
      </c>
      <c r="N2414" s="1" t="s">
        <v>3886</v>
      </c>
    </row>
    <row r="2415" spans="1:20" x14ac:dyDescent="0.25">
      <c r="A2415" s="10">
        <v>46174</v>
      </c>
      <c r="B2415" s="2" t="s">
        <v>3885</v>
      </c>
      <c r="C2415" s="2" t="s">
        <v>827</v>
      </c>
      <c r="D2415" s="31" t="s">
        <v>2859</v>
      </c>
      <c r="E2415" s="3" t="s">
        <v>692</v>
      </c>
      <c r="G2415" s="4" t="s">
        <v>48</v>
      </c>
      <c r="H2415" s="22" t="s">
        <v>49</v>
      </c>
      <c r="I2415" s="22"/>
      <c r="J2415" s="22">
        <f>I2414</f>
        <v>7992.54</v>
      </c>
      <c r="K2415" s="22">
        <f t="shared" si="26"/>
        <v>7992.54</v>
      </c>
      <c r="L2415" s="17"/>
    </row>
    <row r="2416" spans="1:20" ht="24" x14ac:dyDescent="0.25">
      <c r="A2416" s="10">
        <v>46174</v>
      </c>
      <c r="B2416" s="2" t="s">
        <v>3887</v>
      </c>
      <c r="C2416" s="2" t="s">
        <v>1286</v>
      </c>
      <c r="E2416" s="3" t="s">
        <v>692</v>
      </c>
      <c r="F2416" s="4">
        <v>314.11</v>
      </c>
      <c r="G2416" s="3" t="s">
        <v>28</v>
      </c>
      <c r="H2416" s="22" t="s">
        <v>828</v>
      </c>
      <c r="I2416" s="22">
        <v>314.11</v>
      </c>
      <c r="J2416" s="22"/>
      <c r="K2416" s="22">
        <f t="shared" si="26"/>
        <v>314.11</v>
      </c>
      <c r="L2416" s="17"/>
      <c r="M2416" s="6" t="s">
        <v>581</v>
      </c>
      <c r="N2416" s="1" t="s">
        <v>3888</v>
      </c>
    </row>
    <row r="2417" spans="1:23" x14ac:dyDescent="0.25">
      <c r="A2417" s="10">
        <v>46174</v>
      </c>
      <c r="B2417" s="2" t="s">
        <v>3887</v>
      </c>
      <c r="C2417" s="2" t="s">
        <v>1286</v>
      </c>
      <c r="E2417" s="3" t="s">
        <v>692</v>
      </c>
      <c r="G2417" s="4" t="s">
        <v>48</v>
      </c>
      <c r="H2417" s="22" t="s">
        <v>49</v>
      </c>
      <c r="I2417" s="22"/>
      <c r="J2417" s="22">
        <f>I2416</f>
        <v>314.11</v>
      </c>
      <c r="K2417" s="22">
        <f t="shared" si="26"/>
        <v>314.11</v>
      </c>
      <c r="L2417" s="17"/>
    </row>
    <row r="2418" spans="1:23" x14ac:dyDescent="0.25">
      <c r="A2418" s="10">
        <v>46174</v>
      </c>
      <c r="B2418" s="2" t="s">
        <v>3889</v>
      </c>
      <c r="C2418" s="2" t="s">
        <v>134</v>
      </c>
      <c r="D2418" s="2" t="s">
        <v>3890</v>
      </c>
      <c r="E2418" s="3" t="s">
        <v>866</v>
      </c>
      <c r="F2418" s="4">
        <v>10000</v>
      </c>
      <c r="G2418" s="4" t="s">
        <v>48</v>
      </c>
      <c r="H2418" s="22" t="s">
        <v>137</v>
      </c>
      <c r="I2418" s="22">
        <v>10000</v>
      </c>
      <c r="J2418" s="22"/>
      <c r="K2418" s="22">
        <f t="shared" si="26"/>
        <v>10000</v>
      </c>
      <c r="L2418" s="17"/>
      <c r="M2418" s="6" t="s">
        <v>581</v>
      </c>
      <c r="N2418" s="1" t="s">
        <v>1432</v>
      </c>
    </row>
    <row r="2419" spans="1:23" x14ac:dyDescent="0.25">
      <c r="A2419" s="10">
        <v>46174</v>
      </c>
      <c r="B2419" s="2" t="s">
        <v>3889</v>
      </c>
      <c r="C2419" s="2" t="s">
        <v>134</v>
      </c>
      <c r="D2419" s="2" t="s">
        <v>3890</v>
      </c>
      <c r="E2419" s="3" t="s">
        <v>866</v>
      </c>
      <c r="G2419" s="4" t="s">
        <v>48</v>
      </c>
      <c r="H2419" s="22" t="s">
        <v>49</v>
      </c>
      <c r="I2419" s="22"/>
      <c r="J2419" s="22">
        <f>I2418</f>
        <v>10000</v>
      </c>
      <c r="K2419" s="22">
        <f t="shared" si="26"/>
        <v>10000</v>
      </c>
      <c r="L2419" s="17"/>
    </row>
    <row r="2420" spans="1:23" ht="24" x14ac:dyDescent="0.25">
      <c r="A2420" s="10">
        <v>46174</v>
      </c>
      <c r="B2420" s="2" t="s">
        <v>3891</v>
      </c>
      <c r="C2420" s="2" t="s">
        <v>3892</v>
      </c>
      <c r="D2420" s="2" t="s">
        <v>3893</v>
      </c>
      <c r="E2420" s="3" t="s">
        <v>307</v>
      </c>
      <c r="F2420" s="4">
        <v>14025</v>
      </c>
      <c r="G2420" s="4" t="s">
        <v>167</v>
      </c>
      <c r="H2420" s="22" t="s">
        <v>168</v>
      </c>
      <c r="I2420" s="22">
        <v>14025</v>
      </c>
      <c r="J2420" s="22"/>
      <c r="K2420" s="22">
        <f t="shared" si="26"/>
        <v>14025</v>
      </c>
      <c r="L2420" s="17">
        <v>14025</v>
      </c>
      <c r="M2420" s="23" t="s">
        <v>41</v>
      </c>
      <c r="N2420" s="1" t="s">
        <v>3894</v>
      </c>
      <c r="O2420" s="7" t="s">
        <v>1224</v>
      </c>
      <c r="P2420" s="7" t="s">
        <v>81</v>
      </c>
      <c r="R2420" s="7" t="s">
        <v>3559</v>
      </c>
      <c r="S2420" s="3" t="s">
        <v>83</v>
      </c>
      <c r="T2420" s="3" t="s">
        <v>3895</v>
      </c>
      <c r="U2420" s="8" t="s">
        <v>3896</v>
      </c>
      <c r="V2420" s="9">
        <f>14500-14025</f>
        <v>475</v>
      </c>
      <c r="W2420" s="9" t="s">
        <v>3897</v>
      </c>
    </row>
    <row r="2421" spans="1:23" x14ac:dyDescent="0.25">
      <c r="A2421" s="10">
        <v>46174</v>
      </c>
      <c r="B2421" s="2" t="s">
        <v>3891</v>
      </c>
      <c r="C2421" s="2" t="s">
        <v>3892</v>
      </c>
      <c r="D2421" s="2" t="s">
        <v>3893</v>
      </c>
      <c r="E2421" s="3" t="s">
        <v>307</v>
      </c>
      <c r="G2421" s="4" t="s">
        <v>167</v>
      </c>
      <c r="H2421" s="22" t="s">
        <v>81</v>
      </c>
      <c r="I2421" s="22"/>
      <c r="J2421" s="22">
        <f>I2420</f>
        <v>14025</v>
      </c>
      <c r="K2421" s="22">
        <f t="shared" si="26"/>
        <v>14025</v>
      </c>
      <c r="L2421" s="17"/>
    </row>
    <row r="2422" spans="1:23" ht="24" x14ac:dyDescent="0.25">
      <c r="A2422" s="10">
        <v>46174</v>
      </c>
      <c r="B2422" s="2" t="s">
        <v>3898</v>
      </c>
      <c r="E2422" s="3" t="s">
        <v>869</v>
      </c>
      <c r="F2422" s="4">
        <v>75000</v>
      </c>
      <c r="G2422" s="4" t="s">
        <v>48</v>
      </c>
      <c r="H2422" s="22" t="s">
        <v>81</v>
      </c>
      <c r="I2422" s="22">
        <v>75000</v>
      </c>
      <c r="J2422" s="22"/>
      <c r="K2422" s="22">
        <f t="shared" si="26"/>
        <v>75000</v>
      </c>
      <c r="L2422" s="17">
        <v>75000</v>
      </c>
      <c r="M2422" s="23" t="s">
        <v>41</v>
      </c>
      <c r="N2422" s="1" t="s">
        <v>3899</v>
      </c>
      <c r="O2422" s="7" t="s">
        <v>3900</v>
      </c>
      <c r="P2422" s="7" t="s">
        <v>81</v>
      </c>
      <c r="R2422" s="7" t="s">
        <v>3559</v>
      </c>
      <c r="S2422" s="3" t="s">
        <v>83</v>
      </c>
      <c r="T2422" s="3" t="s">
        <v>3901</v>
      </c>
    </row>
    <row r="2423" spans="1:23" x14ac:dyDescent="0.25">
      <c r="A2423" s="10">
        <v>46174</v>
      </c>
      <c r="B2423" s="2" t="s">
        <v>3898</v>
      </c>
      <c r="E2423" s="3" t="s">
        <v>869</v>
      </c>
      <c r="G2423" s="4" t="s">
        <v>98</v>
      </c>
      <c r="H2423" s="22" t="s">
        <v>3902</v>
      </c>
      <c r="I2423" s="22"/>
      <c r="J2423" s="22">
        <f>I2422</f>
        <v>75000</v>
      </c>
      <c r="K2423" s="22">
        <f t="shared" si="26"/>
        <v>75000</v>
      </c>
      <c r="L2423" s="17"/>
      <c r="M2423" s="23"/>
    </row>
    <row r="2424" spans="1:23" ht="24" x14ac:dyDescent="0.25">
      <c r="A2424" s="10">
        <v>46174</v>
      </c>
      <c r="B2424" s="2" t="s">
        <v>3903</v>
      </c>
      <c r="C2424" s="2" t="s">
        <v>310</v>
      </c>
      <c r="E2424" s="3" t="s">
        <v>371</v>
      </c>
      <c r="F2424" s="4">
        <v>300000</v>
      </c>
      <c r="G2424" s="4" t="s">
        <v>98</v>
      </c>
      <c r="H2424" s="22" t="s">
        <v>3441</v>
      </c>
      <c r="I2424" s="22">
        <v>300000</v>
      </c>
      <c r="J2424" s="22"/>
      <c r="K2424" s="22">
        <f t="shared" si="26"/>
        <v>300000</v>
      </c>
      <c r="L2424" s="17">
        <v>300000</v>
      </c>
      <c r="M2424" s="23" t="s">
        <v>41</v>
      </c>
      <c r="N2424" s="1" t="s">
        <v>3904</v>
      </c>
      <c r="O2424" s="7" t="s">
        <v>3905</v>
      </c>
      <c r="P2424" s="7" t="s">
        <v>32</v>
      </c>
      <c r="Q2424" s="25" t="s">
        <v>3906</v>
      </c>
      <c r="R2424" s="7" t="s">
        <v>3559</v>
      </c>
      <c r="S2424" s="3" t="s">
        <v>145</v>
      </c>
      <c r="T2424" s="3" t="s">
        <v>3907</v>
      </c>
    </row>
    <row r="2425" spans="1:23" x14ac:dyDescent="0.25">
      <c r="A2425" s="10">
        <v>46174</v>
      </c>
      <c r="B2425" s="2" t="s">
        <v>3903</v>
      </c>
      <c r="C2425" s="2" t="s">
        <v>310</v>
      </c>
      <c r="E2425" s="3" t="s">
        <v>371</v>
      </c>
      <c r="G2425" s="4" t="s">
        <v>48</v>
      </c>
      <c r="H2425" s="22" t="s">
        <v>334</v>
      </c>
      <c r="I2425" s="22"/>
      <c r="J2425" s="22">
        <f>I2424</f>
        <v>300000</v>
      </c>
      <c r="K2425" s="22">
        <f t="shared" si="26"/>
        <v>300000</v>
      </c>
      <c r="L2425" s="17"/>
      <c r="Q2425" s="25"/>
    </row>
    <row r="2426" spans="1:23" ht="24" x14ac:dyDescent="0.25">
      <c r="A2426" s="10">
        <v>46174</v>
      </c>
      <c r="B2426" s="2" t="s">
        <v>3908</v>
      </c>
      <c r="C2426" s="2" t="s">
        <v>310</v>
      </c>
      <c r="E2426" s="3" t="s">
        <v>371</v>
      </c>
      <c r="F2426" s="4">
        <v>165000</v>
      </c>
      <c r="G2426" s="4" t="s">
        <v>98</v>
      </c>
      <c r="H2426" s="22" t="s">
        <v>3441</v>
      </c>
      <c r="I2426" s="22">
        <v>165000</v>
      </c>
      <c r="J2426" s="22"/>
      <c r="K2426" s="22">
        <f t="shared" si="26"/>
        <v>165000</v>
      </c>
      <c r="L2426" s="17">
        <v>165000</v>
      </c>
      <c r="M2426" s="23" t="s">
        <v>41</v>
      </c>
      <c r="N2426" s="1" t="s">
        <v>3904</v>
      </c>
      <c r="O2426" s="7" t="s">
        <v>3905</v>
      </c>
      <c r="P2426" s="7" t="s">
        <v>32</v>
      </c>
      <c r="Q2426" s="25" t="s">
        <v>3909</v>
      </c>
      <c r="R2426" s="7" t="s">
        <v>3559</v>
      </c>
      <c r="S2426" s="3" t="s">
        <v>145</v>
      </c>
      <c r="T2426" s="3" t="s">
        <v>3907</v>
      </c>
    </row>
    <row r="2427" spans="1:23" x14ac:dyDescent="0.25">
      <c r="A2427" s="10">
        <v>46174</v>
      </c>
      <c r="B2427" s="2" t="s">
        <v>3908</v>
      </c>
      <c r="C2427" s="2" t="s">
        <v>310</v>
      </c>
      <c r="E2427" s="3" t="s">
        <v>371</v>
      </c>
      <c r="G2427" s="4" t="s">
        <v>48</v>
      </c>
      <c r="H2427" s="22" t="s">
        <v>334</v>
      </c>
      <c r="I2427" s="22"/>
      <c r="J2427" s="22">
        <f>I2426</f>
        <v>165000</v>
      </c>
      <c r="K2427" s="22">
        <f t="shared" si="26"/>
        <v>165000</v>
      </c>
      <c r="L2427" s="17"/>
      <c r="Q2427" s="25"/>
    </row>
    <row r="2428" spans="1:23" ht="24" x14ac:dyDescent="0.25">
      <c r="A2428" s="10">
        <v>46174</v>
      </c>
      <c r="B2428" s="2" t="s">
        <v>3910</v>
      </c>
      <c r="C2428" s="2" t="s">
        <v>310</v>
      </c>
      <c r="E2428" s="3" t="s">
        <v>371</v>
      </c>
      <c r="F2428" s="4">
        <v>3000000</v>
      </c>
      <c r="G2428" s="4" t="s">
        <v>98</v>
      </c>
      <c r="H2428" s="22" t="s">
        <v>3911</v>
      </c>
      <c r="I2428" s="22">
        <v>3000000</v>
      </c>
      <c r="J2428" s="22"/>
      <c r="K2428" s="22">
        <f t="shared" si="26"/>
        <v>3000000</v>
      </c>
      <c r="L2428" s="17">
        <v>3000000</v>
      </c>
      <c r="M2428" s="23" t="s">
        <v>41</v>
      </c>
      <c r="N2428" s="1" t="s">
        <v>3912</v>
      </c>
      <c r="O2428" s="7" t="s">
        <v>3905</v>
      </c>
      <c r="P2428" s="7" t="s">
        <v>32</v>
      </c>
      <c r="Q2428" s="25" t="s">
        <v>3913</v>
      </c>
      <c r="R2428" s="7" t="s">
        <v>3559</v>
      </c>
      <c r="S2428" s="3" t="s">
        <v>145</v>
      </c>
      <c r="T2428" s="3" t="s">
        <v>3907</v>
      </c>
    </row>
    <row r="2429" spans="1:23" x14ac:dyDescent="0.25">
      <c r="A2429" s="10">
        <v>46174</v>
      </c>
      <c r="B2429" s="2" t="s">
        <v>3910</v>
      </c>
      <c r="C2429" s="2" t="s">
        <v>310</v>
      </c>
      <c r="E2429" s="3" t="s">
        <v>371</v>
      </c>
      <c r="G2429" s="4" t="s">
        <v>48</v>
      </c>
      <c r="H2429" s="22" t="s">
        <v>334</v>
      </c>
      <c r="I2429" s="22"/>
      <c r="J2429" s="22">
        <f>I2428</f>
        <v>3000000</v>
      </c>
      <c r="K2429" s="22">
        <f t="shared" si="26"/>
        <v>3000000</v>
      </c>
      <c r="L2429" s="17"/>
      <c r="Q2429" s="25"/>
    </row>
    <row r="2430" spans="1:23" ht="24" x14ac:dyDescent="0.25">
      <c r="A2430" s="10">
        <v>46174</v>
      </c>
      <c r="B2430" s="2" t="s">
        <v>3914</v>
      </c>
      <c r="C2430" s="2" t="s">
        <v>310</v>
      </c>
      <c r="E2430" s="3" t="s">
        <v>351</v>
      </c>
      <c r="F2430" s="4">
        <v>1000000</v>
      </c>
      <c r="G2430" s="4" t="s">
        <v>167</v>
      </c>
      <c r="H2430" s="22" t="s">
        <v>168</v>
      </c>
      <c r="I2430" s="22">
        <v>1000000</v>
      </c>
      <c r="J2430" s="22"/>
      <c r="K2430" s="22">
        <f t="shared" si="26"/>
        <v>1000000</v>
      </c>
      <c r="L2430" s="17">
        <v>1000000</v>
      </c>
      <c r="M2430" s="23" t="s">
        <v>41</v>
      </c>
      <c r="N2430" s="1" t="s">
        <v>3915</v>
      </c>
      <c r="O2430" s="7" t="s">
        <v>3905</v>
      </c>
      <c r="P2430" s="7" t="s">
        <v>32</v>
      </c>
      <c r="Q2430" s="25" t="s">
        <v>3916</v>
      </c>
      <c r="R2430" s="7" t="s">
        <v>3559</v>
      </c>
      <c r="S2430" s="3" t="s">
        <v>145</v>
      </c>
      <c r="T2430" s="3" t="s">
        <v>3907</v>
      </c>
    </row>
    <row r="2431" spans="1:23" x14ac:dyDescent="0.25">
      <c r="A2431" s="10">
        <v>46174</v>
      </c>
      <c r="B2431" s="2" t="s">
        <v>3914</v>
      </c>
      <c r="C2431" s="2" t="s">
        <v>310</v>
      </c>
      <c r="E2431" s="3" t="s">
        <v>351</v>
      </c>
      <c r="G2431" s="4" t="s">
        <v>48</v>
      </c>
      <c r="H2431" s="22" t="s">
        <v>334</v>
      </c>
      <c r="I2431" s="22"/>
      <c r="J2431" s="22">
        <f>I2430</f>
        <v>1000000</v>
      </c>
      <c r="K2431" s="22">
        <f t="shared" si="26"/>
        <v>1000000</v>
      </c>
      <c r="L2431" s="17"/>
      <c r="Q2431" s="25"/>
    </row>
    <row r="2432" spans="1:23" ht="24" x14ac:dyDescent="0.25">
      <c r="A2432" s="10">
        <v>46174</v>
      </c>
      <c r="B2432" s="2" t="s">
        <v>3917</v>
      </c>
      <c r="C2432" s="2" t="s">
        <v>310</v>
      </c>
      <c r="E2432" s="3" t="s">
        <v>2438</v>
      </c>
      <c r="F2432" s="4">
        <v>2000000</v>
      </c>
      <c r="G2432" s="4" t="s">
        <v>167</v>
      </c>
      <c r="H2432" s="22" t="s">
        <v>168</v>
      </c>
      <c r="I2432" s="22">
        <v>2000000</v>
      </c>
      <c r="J2432" s="22"/>
      <c r="K2432" s="22">
        <f t="shared" si="26"/>
        <v>2000000</v>
      </c>
      <c r="L2432" s="17">
        <v>2000000</v>
      </c>
      <c r="M2432" s="6" t="s">
        <v>581</v>
      </c>
      <c r="N2432" s="1" t="s">
        <v>3918</v>
      </c>
      <c r="O2432" s="7" t="s">
        <v>3905</v>
      </c>
      <c r="P2432" s="7" t="s">
        <v>32</v>
      </c>
      <c r="Q2432" s="25" t="s">
        <v>3919</v>
      </c>
      <c r="R2432" s="7" t="s">
        <v>3559</v>
      </c>
      <c r="S2432" s="3" t="s">
        <v>145</v>
      </c>
      <c r="T2432" s="3" t="s">
        <v>3907</v>
      </c>
    </row>
    <row r="2433" spans="1:23" x14ac:dyDescent="0.25">
      <c r="A2433" s="10">
        <v>46174</v>
      </c>
      <c r="B2433" s="2" t="s">
        <v>3917</v>
      </c>
      <c r="C2433" s="2" t="s">
        <v>310</v>
      </c>
      <c r="E2433" s="3" t="s">
        <v>2438</v>
      </c>
      <c r="G2433" s="4" t="s">
        <v>48</v>
      </c>
      <c r="H2433" s="22" t="s">
        <v>334</v>
      </c>
      <c r="I2433" s="22"/>
      <c r="J2433" s="22">
        <f>I2432</f>
        <v>2000000</v>
      </c>
      <c r="K2433" s="22">
        <f t="shared" si="26"/>
        <v>2000000</v>
      </c>
      <c r="L2433" s="17"/>
      <c r="Q2433" s="25"/>
    </row>
    <row r="2434" spans="1:23" x14ac:dyDescent="0.25">
      <c r="A2434" s="10">
        <v>46174</v>
      </c>
      <c r="B2434" s="2" t="s">
        <v>3920</v>
      </c>
      <c r="C2434" s="2" t="s">
        <v>38</v>
      </c>
      <c r="E2434" s="3" t="s">
        <v>3921</v>
      </c>
      <c r="F2434" s="4">
        <f>143608+2352.2</f>
        <v>145960.20000000001</v>
      </c>
      <c r="G2434" s="4" t="s">
        <v>326</v>
      </c>
      <c r="H2434" s="22"/>
      <c r="I2434" s="22"/>
      <c r="J2434" s="22"/>
      <c r="K2434" s="22">
        <f t="shared" si="26"/>
        <v>0</v>
      </c>
      <c r="L2434" s="17"/>
      <c r="M2434" s="6" t="s">
        <v>581</v>
      </c>
    </row>
    <row r="2435" spans="1:23" ht="24" x14ac:dyDescent="0.25">
      <c r="A2435" s="10">
        <v>46175</v>
      </c>
      <c r="B2435" s="2" t="s">
        <v>3922</v>
      </c>
      <c r="C2435" s="2" t="s">
        <v>376</v>
      </c>
      <c r="D2435" s="31" t="s">
        <v>3465</v>
      </c>
      <c r="E2435" s="3" t="s">
        <v>1103</v>
      </c>
      <c r="F2435" s="4">
        <v>50000</v>
      </c>
      <c r="G2435" s="4" t="s">
        <v>48</v>
      </c>
      <c r="H2435" s="22"/>
      <c r="I2435" s="22"/>
      <c r="J2435" s="22"/>
      <c r="K2435" s="22">
        <f t="shared" si="26"/>
        <v>0</v>
      </c>
      <c r="L2435" s="17"/>
      <c r="M2435" s="26" t="s">
        <v>581</v>
      </c>
      <c r="N2435" s="1" t="s">
        <v>3923</v>
      </c>
    </row>
    <row r="2436" spans="1:23" ht="24" x14ac:dyDescent="0.25">
      <c r="A2436" s="10">
        <v>46175</v>
      </c>
      <c r="B2436" s="2" t="s">
        <v>3924</v>
      </c>
      <c r="C2436" s="2" t="s">
        <v>376</v>
      </c>
      <c r="D2436" s="31" t="s">
        <v>3465</v>
      </c>
      <c r="E2436" s="3" t="s">
        <v>1881</v>
      </c>
      <c r="F2436" s="4">
        <v>30000</v>
      </c>
      <c r="G2436" s="4" t="s">
        <v>48</v>
      </c>
      <c r="H2436" s="22"/>
      <c r="I2436" s="22"/>
      <c r="J2436" s="22"/>
      <c r="K2436" s="22">
        <f t="shared" si="26"/>
        <v>0</v>
      </c>
      <c r="L2436" s="17"/>
      <c r="M2436" s="26" t="s">
        <v>581</v>
      </c>
      <c r="N2436" s="1" t="s">
        <v>3925</v>
      </c>
    </row>
    <row r="2437" spans="1:23" ht="24" x14ac:dyDescent="0.25">
      <c r="A2437" s="10">
        <v>46175</v>
      </c>
      <c r="B2437" s="2" t="s">
        <v>3926</v>
      </c>
      <c r="C2437" s="2" t="s">
        <v>376</v>
      </c>
      <c r="D2437" s="31" t="s">
        <v>3465</v>
      </c>
      <c r="E2437" s="3" t="s">
        <v>2577</v>
      </c>
      <c r="F2437" s="4">
        <v>30000</v>
      </c>
      <c r="G2437" s="4" t="s">
        <v>48</v>
      </c>
      <c r="H2437" s="22"/>
      <c r="I2437" s="22"/>
      <c r="J2437" s="22"/>
      <c r="K2437" s="22">
        <f t="shared" si="26"/>
        <v>0</v>
      </c>
      <c r="L2437" s="17"/>
      <c r="M2437" s="26" t="s">
        <v>581</v>
      </c>
      <c r="N2437" s="1" t="s">
        <v>3927</v>
      </c>
    </row>
    <row r="2438" spans="1:23" ht="24" x14ac:dyDescent="0.25">
      <c r="A2438" s="10">
        <v>46175</v>
      </c>
      <c r="B2438" s="2" t="s">
        <v>3928</v>
      </c>
      <c r="C2438" s="2" t="s">
        <v>376</v>
      </c>
      <c r="D2438" s="31" t="s">
        <v>3465</v>
      </c>
      <c r="E2438" s="3" t="s">
        <v>387</v>
      </c>
      <c r="F2438" s="4">
        <v>5600</v>
      </c>
      <c r="G2438" s="4" t="s">
        <v>48</v>
      </c>
      <c r="H2438" s="22"/>
      <c r="I2438" s="22"/>
      <c r="J2438" s="22"/>
      <c r="K2438" s="22">
        <f t="shared" si="26"/>
        <v>0</v>
      </c>
      <c r="L2438" s="17"/>
      <c r="M2438" s="26" t="s">
        <v>581</v>
      </c>
      <c r="N2438" s="1" t="s">
        <v>3929</v>
      </c>
    </row>
    <row r="2439" spans="1:23" ht="24" x14ac:dyDescent="0.25">
      <c r="A2439" s="10">
        <v>46175</v>
      </c>
      <c r="B2439" s="2" t="s">
        <v>3930</v>
      </c>
      <c r="C2439" s="2" t="s">
        <v>376</v>
      </c>
      <c r="D2439" s="31" t="s">
        <v>3465</v>
      </c>
      <c r="E2439" s="3" t="s">
        <v>387</v>
      </c>
      <c r="F2439" s="4">
        <v>5600</v>
      </c>
      <c r="G2439" s="4" t="s">
        <v>392</v>
      </c>
      <c r="H2439" s="22"/>
      <c r="I2439" s="22"/>
      <c r="J2439" s="22"/>
      <c r="K2439" s="22">
        <f t="shared" si="26"/>
        <v>0</v>
      </c>
      <c r="L2439" s="17"/>
      <c r="M2439" s="26" t="s">
        <v>581</v>
      </c>
      <c r="N2439" s="1" t="s">
        <v>3931</v>
      </c>
    </row>
    <row r="2440" spans="1:23" ht="24" x14ac:dyDescent="0.25">
      <c r="A2440" s="10">
        <v>46175</v>
      </c>
      <c r="B2440" s="2" t="s">
        <v>3932</v>
      </c>
      <c r="C2440" s="2" t="s">
        <v>376</v>
      </c>
      <c r="D2440" s="31" t="s">
        <v>3465</v>
      </c>
      <c r="E2440" s="3" t="s">
        <v>387</v>
      </c>
      <c r="F2440" s="4">
        <v>5376</v>
      </c>
      <c r="G2440" s="4" t="s">
        <v>3123</v>
      </c>
      <c r="H2440" s="22"/>
      <c r="I2440" s="22"/>
      <c r="J2440" s="22"/>
      <c r="K2440" s="22">
        <f t="shared" si="26"/>
        <v>0</v>
      </c>
      <c r="L2440" s="17"/>
      <c r="M2440" s="26" t="s">
        <v>581</v>
      </c>
      <c r="N2440" s="1" t="s">
        <v>3933</v>
      </c>
    </row>
    <row r="2441" spans="1:23" ht="24" x14ac:dyDescent="0.25">
      <c r="A2441" s="10">
        <v>46175</v>
      </c>
      <c r="B2441" s="2" t="s">
        <v>3934</v>
      </c>
      <c r="C2441" s="2" t="s">
        <v>376</v>
      </c>
      <c r="D2441" s="31" t="s">
        <v>3465</v>
      </c>
      <c r="E2441" s="3" t="s">
        <v>377</v>
      </c>
      <c r="F2441" s="4">
        <v>5000</v>
      </c>
      <c r="G2441" s="4" t="s">
        <v>378</v>
      </c>
      <c r="H2441" s="22"/>
      <c r="I2441" s="22"/>
      <c r="J2441" s="22"/>
      <c r="K2441" s="22">
        <f t="shared" si="26"/>
        <v>0</v>
      </c>
      <c r="L2441" s="17"/>
      <c r="M2441" s="26" t="s">
        <v>581</v>
      </c>
      <c r="N2441" s="1" t="s">
        <v>3935</v>
      </c>
    </row>
    <row r="2442" spans="1:23" ht="24" x14ac:dyDescent="0.25">
      <c r="A2442" s="10">
        <v>46175</v>
      </c>
      <c r="B2442" s="2" t="s">
        <v>3936</v>
      </c>
      <c r="C2442" s="2" t="s">
        <v>376</v>
      </c>
      <c r="D2442" s="31" t="s">
        <v>3465</v>
      </c>
      <c r="E2442" s="3" t="s">
        <v>377</v>
      </c>
      <c r="F2442" s="4">
        <v>5000</v>
      </c>
      <c r="G2442" s="4" t="s">
        <v>383</v>
      </c>
      <c r="H2442" s="22"/>
      <c r="I2442" s="22"/>
      <c r="J2442" s="22"/>
      <c r="K2442" s="22">
        <f t="shared" si="26"/>
        <v>0</v>
      </c>
      <c r="L2442" s="17"/>
      <c r="M2442" s="26" t="s">
        <v>581</v>
      </c>
      <c r="N2442" s="1" t="s">
        <v>3937</v>
      </c>
    </row>
    <row r="2443" spans="1:23" x14ac:dyDescent="0.25">
      <c r="A2443" s="10">
        <v>46175</v>
      </c>
      <c r="B2443" s="2" t="s">
        <v>3938</v>
      </c>
      <c r="C2443" s="2" t="s">
        <v>376</v>
      </c>
      <c r="D2443" s="31" t="s">
        <v>3465</v>
      </c>
      <c r="E2443" s="3" t="s">
        <v>1891</v>
      </c>
      <c r="F2443" s="4">
        <v>15000</v>
      </c>
      <c r="G2443" s="4" t="s">
        <v>48</v>
      </c>
      <c r="H2443" s="22"/>
      <c r="I2443" s="22"/>
      <c r="J2443" s="22"/>
      <c r="K2443" s="22">
        <f t="shared" si="26"/>
        <v>0</v>
      </c>
      <c r="L2443" s="17"/>
      <c r="M2443" s="26" t="s">
        <v>581</v>
      </c>
      <c r="N2443" s="1" t="s">
        <v>3130</v>
      </c>
    </row>
    <row r="2444" spans="1:23" ht="24" x14ac:dyDescent="0.25">
      <c r="A2444" s="10">
        <v>46175</v>
      </c>
      <c r="B2444" s="2" t="s">
        <v>3939</v>
      </c>
      <c r="D2444" s="31"/>
      <c r="E2444" s="3" t="s">
        <v>3940</v>
      </c>
      <c r="F2444" s="4">
        <v>4000</v>
      </c>
      <c r="G2444" s="4" t="s">
        <v>1030</v>
      </c>
      <c r="H2444" s="22" t="s">
        <v>2094</v>
      </c>
      <c r="I2444" s="22">
        <v>4000</v>
      </c>
      <c r="J2444" s="22"/>
      <c r="K2444" s="22">
        <f t="shared" si="26"/>
        <v>4000</v>
      </c>
      <c r="L2444" s="17">
        <v>4000</v>
      </c>
      <c r="M2444" s="23" t="s">
        <v>41</v>
      </c>
      <c r="N2444" s="1" t="s">
        <v>3941</v>
      </c>
      <c r="O2444" s="24" t="s">
        <v>3942</v>
      </c>
      <c r="P2444" s="7" t="s">
        <v>3943</v>
      </c>
      <c r="R2444" s="7" t="s">
        <v>3314</v>
      </c>
      <c r="S2444" s="3" t="s">
        <v>1087</v>
      </c>
      <c r="T2444" s="3" t="s">
        <v>1088</v>
      </c>
      <c r="U2444" s="8" t="s">
        <v>3944</v>
      </c>
      <c r="W2444" s="9" t="s">
        <v>3945</v>
      </c>
    </row>
    <row r="2445" spans="1:23" x14ac:dyDescent="0.25">
      <c r="A2445" s="10">
        <v>46175</v>
      </c>
      <c r="B2445" s="2" t="s">
        <v>3939</v>
      </c>
      <c r="D2445" s="31"/>
      <c r="E2445" s="3" t="s">
        <v>3940</v>
      </c>
      <c r="G2445" s="4" t="s">
        <v>48</v>
      </c>
      <c r="H2445" s="22" t="s">
        <v>49</v>
      </c>
      <c r="I2445" s="22"/>
      <c r="J2445" s="22">
        <f>I2444</f>
        <v>4000</v>
      </c>
      <c r="K2445" s="22">
        <f t="shared" si="26"/>
        <v>4000</v>
      </c>
      <c r="L2445" s="17"/>
      <c r="M2445" s="26"/>
    </row>
    <row r="2446" spans="1:23" x14ac:dyDescent="0.25">
      <c r="A2446" s="10">
        <v>46175</v>
      </c>
      <c r="B2446" s="2" t="s">
        <v>3946</v>
      </c>
      <c r="C2446" s="2" t="s">
        <v>259</v>
      </c>
      <c r="D2446" s="31" t="s">
        <v>3785</v>
      </c>
      <c r="E2446" s="3" t="s">
        <v>2563</v>
      </c>
      <c r="F2446" s="4">
        <f>8190</f>
        <v>8190</v>
      </c>
      <c r="G2446" s="4" t="s">
        <v>1030</v>
      </c>
      <c r="H2446" s="22" t="s">
        <v>267</v>
      </c>
      <c r="I2446" s="22">
        <v>8190</v>
      </c>
      <c r="J2446" s="22"/>
      <c r="K2446" s="22">
        <f t="shared" si="26"/>
        <v>8190</v>
      </c>
      <c r="L2446" s="17"/>
      <c r="M2446" s="26" t="s">
        <v>581</v>
      </c>
      <c r="N2446" s="1" t="s">
        <v>3788</v>
      </c>
    </row>
    <row r="2447" spans="1:23" x14ac:dyDescent="0.25">
      <c r="A2447" s="10">
        <v>46175</v>
      </c>
      <c r="B2447" s="2" t="s">
        <v>3946</v>
      </c>
      <c r="C2447" s="2" t="s">
        <v>259</v>
      </c>
      <c r="D2447" s="31" t="s">
        <v>3785</v>
      </c>
      <c r="E2447" s="3" t="s">
        <v>2563</v>
      </c>
      <c r="G2447" s="4" t="s">
        <v>48</v>
      </c>
      <c r="H2447" s="22" t="s">
        <v>49</v>
      </c>
      <c r="I2447" s="22"/>
      <c r="J2447" s="22">
        <f>I2446</f>
        <v>8190</v>
      </c>
      <c r="K2447" s="22">
        <f t="shared" si="26"/>
        <v>8190</v>
      </c>
      <c r="L2447" s="17"/>
      <c r="M2447" s="26"/>
    </row>
    <row r="2448" spans="1:23" x14ac:dyDescent="0.25">
      <c r="A2448" s="10">
        <v>46175</v>
      </c>
      <c r="B2448" s="2" t="s">
        <v>3947</v>
      </c>
      <c r="D2448" s="31"/>
      <c r="E2448" s="3" t="s">
        <v>195</v>
      </c>
      <c r="F2448" s="4">
        <v>175000</v>
      </c>
      <c r="G2448" s="4" t="s">
        <v>167</v>
      </c>
      <c r="H2448" s="22" t="s">
        <v>168</v>
      </c>
      <c r="I2448" s="22">
        <v>175000</v>
      </c>
      <c r="J2448" s="22"/>
      <c r="K2448" s="22">
        <f t="shared" si="26"/>
        <v>175000</v>
      </c>
      <c r="L2448" s="17">
        <v>175000</v>
      </c>
      <c r="M2448" s="23" t="s">
        <v>41</v>
      </c>
      <c r="N2448" s="1" t="s">
        <v>3948</v>
      </c>
      <c r="O2448" s="7" t="s">
        <v>313</v>
      </c>
      <c r="P2448" s="7" t="s">
        <v>32</v>
      </c>
      <c r="Q2448" s="25" t="s">
        <v>3949</v>
      </c>
      <c r="R2448" s="7" t="s">
        <v>3314</v>
      </c>
      <c r="S2448" s="3" t="s">
        <v>145</v>
      </c>
      <c r="T2448" s="3" t="s">
        <v>3907</v>
      </c>
    </row>
    <row r="2449" spans="1:20" x14ac:dyDescent="0.25">
      <c r="A2449" s="10">
        <v>46175</v>
      </c>
      <c r="B2449" s="2" t="s">
        <v>3947</v>
      </c>
      <c r="D2449" s="31"/>
      <c r="E2449" s="3" t="s">
        <v>195</v>
      </c>
      <c r="G2449" s="4" t="s">
        <v>48</v>
      </c>
      <c r="H2449" s="22" t="s">
        <v>334</v>
      </c>
      <c r="I2449" s="22"/>
      <c r="J2449" s="22">
        <f>I2448</f>
        <v>175000</v>
      </c>
      <c r="K2449" s="22">
        <f t="shared" si="26"/>
        <v>175000</v>
      </c>
      <c r="L2449" s="17"/>
      <c r="M2449" s="23"/>
      <c r="Q2449" s="25"/>
    </row>
    <row r="2450" spans="1:20" x14ac:dyDescent="0.25">
      <c r="A2450" s="10">
        <v>46175</v>
      </c>
      <c r="B2450" s="2" t="s">
        <v>3950</v>
      </c>
      <c r="C2450" s="31"/>
      <c r="D2450" s="31"/>
      <c r="E2450" s="3" t="s">
        <v>27</v>
      </c>
      <c r="F2450" s="4">
        <v>333000</v>
      </c>
      <c r="G2450" s="4" t="s">
        <v>326</v>
      </c>
      <c r="H2450" s="22" t="s">
        <v>731</v>
      </c>
      <c r="I2450" s="22">
        <v>333000</v>
      </c>
      <c r="J2450" s="22"/>
      <c r="K2450" s="22">
        <f t="shared" si="26"/>
        <v>333000</v>
      </c>
      <c r="L2450" s="17">
        <v>333000</v>
      </c>
      <c r="M2450" s="23" t="s">
        <v>41</v>
      </c>
      <c r="N2450" s="1" t="s">
        <v>3951</v>
      </c>
      <c r="O2450" s="7" t="s">
        <v>313</v>
      </c>
      <c r="P2450" s="7" t="s">
        <v>32</v>
      </c>
      <c r="Q2450" s="25" t="s">
        <v>3952</v>
      </c>
      <c r="R2450" s="7" t="s">
        <v>3953</v>
      </c>
      <c r="S2450" s="3" t="s">
        <v>3954</v>
      </c>
      <c r="T2450" s="3" t="s">
        <v>3955</v>
      </c>
    </row>
    <row r="2451" spans="1:20" x14ac:dyDescent="0.25">
      <c r="A2451" s="10">
        <v>46175</v>
      </c>
      <c r="B2451" s="2" t="s">
        <v>3950</v>
      </c>
      <c r="C2451" s="31"/>
      <c r="D2451" s="31"/>
      <c r="E2451" s="3" t="s">
        <v>27</v>
      </c>
      <c r="G2451" s="4" t="s">
        <v>326</v>
      </c>
      <c r="H2451" s="22" t="s">
        <v>3956</v>
      </c>
      <c r="I2451" s="22"/>
      <c r="J2451" s="22">
        <f>I2450</f>
        <v>333000</v>
      </c>
      <c r="K2451" s="22">
        <f t="shared" si="26"/>
        <v>333000</v>
      </c>
      <c r="L2451" s="17"/>
      <c r="M2451" s="26"/>
      <c r="Q2451" s="25"/>
    </row>
    <row r="2452" spans="1:20" ht="24" x14ac:dyDescent="0.25">
      <c r="A2452" s="10">
        <v>46175</v>
      </c>
      <c r="B2452" s="2" t="s">
        <v>3957</v>
      </c>
      <c r="C2452" s="2" t="s">
        <v>141</v>
      </c>
      <c r="D2452" s="31"/>
      <c r="E2452" s="3" t="s">
        <v>27</v>
      </c>
      <c r="F2452" s="4">
        <v>216000</v>
      </c>
      <c r="G2452" s="4" t="s">
        <v>326</v>
      </c>
      <c r="H2452" s="22" t="s">
        <v>81</v>
      </c>
      <c r="I2452" s="22">
        <v>216000</v>
      </c>
      <c r="J2452" s="22"/>
      <c r="K2452" s="22">
        <f t="shared" si="26"/>
        <v>216000</v>
      </c>
      <c r="L2452" s="17">
        <v>216000</v>
      </c>
      <c r="M2452" s="23" t="s">
        <v>41</v>
      </c>
      <c r="N2452" s="1" t="s">
        <v>3958</v>
      </c>
      <c r="O2452" s="7" t="s">
        <v>143</v>
      </c>
      <c r="P2452" s="7" t="s">
        <v>32</v>
      </c>
      <c r="Q2452" s="25" t="s">
        <v>3959</v>
      </c>
      <c r="R2452" s="7" t="s">
        <v>3314</v>
      </c>
      <c r="S2452" s="3" t="s">
        <v>145</v>
      </c>
      <c r="T2452" s="3" t="s">
        <v>3907</v>
      </c>
    </row>
    <row r="2453" spans="1:20" x14ac:dyDescent="0.25">
      <c r="A2453" s="10">
        <v>46175</v>
      </c>
      <c r="B2453" s="2" t="s">
        <v>3957</v>
      </c>
      <c r="C2453" s="2" t="s">
        <v>141</v>
      </c>
      <c r="D2453" s="31"/>
      <c r="E2453" s="3" t="s">
        <v>27</v>
      </c>
      <c r="G2453" s="4" t="s">
        <v>48</v>
      </c>
      <c r="H2453" s="22" t="s">
        <v>334</v>
      </c>
      <c r="I2453" s="22"/>
      <c r="J2453" s="22">
        <f>I2452</f>
        <v>216000</v>
      </c>
      <c r="K2453" s="22">
        <f t="shared" si="26"/>
        <v>216000</v>
      </c>
      <c r="L2453" s="17"/>
      <c r="M2453" s="26"/>
      <c r="Q2453" s="25"/>
    </row>
    <row r="2454" spans="1:20" x14ac:dyDescent="0.25">
      <c r="A2454" s="10">
        <v>46175</v>
      </c>
      <c r="B2454" s="2" t="s">
        <v>3960</v>
      </c>
      <c r="D2454" s="31"/>
      <c r="E2454" s="3" t="s">
        <v>398</v>
      </c>
      <c r="F2454" s="4">
        <v>20000</v>
      </c>
      <c r="G2454" s="4" t="s">
        <v>326</v>
      </c>
      <c r="H2454" s="22" t="s">
        <v>81</v>
      </c>
      <c r="I2454" s="22">
        <v>20000</v>
      </c>
      <c r="J2454" s="22"/>
      <c r="K2454" s="22">
        <f t="shared" si="26"/>
        <v>20000</v>
      </c>
      <c r="L2454" s="17">
        <v>20000</v>
      </c>
      <c r="M2454" s="23" t="s">
        <v>41</v>
      </c>
      <c r="N2454" s="1" t="s">
        <v>3961</v>
      </c>
      <c r="O2454" s="7" t="s">
        <v>116</v>
      </c>
      <c r="P2454" s="7" t="s">
        <v>81</v>
      </c>
      <c r="R2454" s="7" t="s">
        <v>3314</v>
      </c>
      <c r="S2454" s="3" t="s">
        <v>83</v>
      </c>
      <c r="T2454" s="3" t="s">
        <v>3962</v>
      </c>
    </row>
    <row r="2455" spans="1:20" x14ac:dyDescent="0.25">
      <c r="A2455" s="10">
        <v>46175</v>
      </c>
      <c r="B2455" s="2" t="s">
        <v>3960</v>
      </c>
      <c r="D2455" s="31"/>
      <c r="E2455" s="3" t="s">
        <v>398</v>
      </c>
      <c r="G2455" s="4" t="s">
        <v>326</v>
      </c>
      <c r="H2455" s="22" t="s">
        <v>3583</v>
      </c>
      <c r="I2455" s="22"/>
      <c r="J2455" s="22">
        <f>I2454</f>
        <v>20000</v>
      </c>
      <c r="K2455" s="22">
        <f t="shared" si="26"/>
        <v>20000</v>
      </c>
      <c r="L2455" s="17"/>
      <c r="M2455" s="23"/>
    </row>
    <row r="2456" spans="1:20" x14ac:dyDescent="0.25">
      <c r="A2456" s="10">
        <v>46175</v>
      </c>
      <c r="B2456" s="2" t="s">
        <v>3963</v>
      </c>
      <c r="D2456" s="31"/>
      <c r="E2456" s="3" t="s">
        <v>3964</v>
      </c>
      <c r="F2456" s="4">
        <f>7500+50</f>
        <v>7550</v>
      </c>
      <c r="G2456" s="4" t="s">
        <v>326</v>
      </c>
      <c r="H2456" s="22" t="s">
        <v>81</v>
      </c>
      <c r="I2456" s="22">
        <v>7500</v>
      </c>
      <c r="J2456" s="22"/>
      <c r="K2456" s="22">
        <f t="shared" si="26"/>
        <v>7500</v>
      </c>
      <c r="L2456" s="17">
        <v>7500</v>
      </c>
      <c r="M2456" s="23" t="s">
        <v>41</v>
      </c>
      <c r="N2456" s="1" t="s">
        <v>3965</v>
      </c>
      <c r="O2456" s="7" t="s">
        <v>116</v>
      </c>
      <c r="P2456" s="7" t="s">
        <v>81</v>
      </c>
      <c r="R2456" s="7" t="s">
        <v>3314</v>
      </c>
      <c r="S2456" s="3" t="s">
        <v>83</v>
      </c>
      <c r="T2456" s="3" t="s">
        <v>3962</v>
      </c>
    </row>
    <row r="2457" spans="1:20" x14ac:dyDescent="0.25">
      <c r="A2457" s="10">
        <v>46175</v>
      </c>
      <c r="B2457" s="2" t="s">
        <v>3963</v>
      </c>
      <c r="D2457" s="31"/>
      <c r="E2457" s="3" t="s">
        <v>3964</v>
      </c>
      <c r="G2457" s="4" t="s">
        <v>326</v>
      </c>
      <c r="H2457" s="22" t="s">
        <v>47</v>
      </c>
      <c r="I2457" s="22">
        <v>50</v>
      </c>
      <c r="J2457" s="22"/>
      <c r="K2457" s="22">
        <f t="shared" si="26"/>
        <v>50</v>
      </c>
      <c r="L2457" s="17"/>
      <c r="M2457" s="26"/>
    </row>
    <row r="2458" spans="1:20" x14ac:dyDescent="0.25">
      <c r="A2458" s="10">
        <v>46175</v>
      </c>
      <c r="B2458" s="2" t="s">
        <v>3963</v>
      </c>
      <c r="D2458" s="31"/>
      <c r="E2458" s="3" t="s">
        <v>3964</v>
      </c>
      <c r="G2458" s="4" t="s">
        <v>326</v>
      </c>
      <c r="H2458" s="22" t="s">
        <v>3583</v>
      </c>
      <c r="I2458" s="22"/>
      <c r="J2458" s="22">
        <f>I2456+I2457</f>
        <v>7550</v>
      </c>
      <c r="K2458" s="22">
        <f t="shared" si="26"/>
        <v>7550</v>
      </c>
      <c r="L2458" s="17"/>
      <c r="M2458" s="26"/>
    </row>
    <row r="2459" spans="1:20" x14ac:dyDescent="0.25">
      <c r="A2459" s="10">
        <v>46175</v>
      </c>
      <c r="B2459" s="2" t="s">
        <v>3966</v>
      </c>
      <c r="D2459" s="31"/>
      <c r="E2459" s="3" t="s">
        <v>27</v>
      </c>
      <c r="F2459" s="4">
        <v>188450</v>
      </c>
      <c r="G2459" s="4" t="s">
        <v>326</v>
      </c>
      <c r="H2459" s="22" t="s">
        <v>731</v>
      </c>
      <c r="I2459" s="22">
        <v>188450</v>
      </c>
      <c r="J2459" s="22"/>
      <c r="K2459" s="22">
        <f t="shared" si="26"/>
        <v>188450</v>
      </c>
      <c r="L2459" s="17">
        <v>188450</v>
      </c>
      <c r="M2459" s="23" t="s">
        <v>41</v>
      </c>
      <c r="N2459" s="1" t="s">
        <v>3967</v>
      </c>
      <c r="O2459" s="7" t="s">
        <v>116</v>
      </c>
      <c r="P2459" s="7" t="s">
        <v>81</v>
      </c>
      <c r="R2459" s="7" t="s">
        <v>3314</v>
      </c>
      <c r="S2459" s="3" t="s">
        <v>83</v>
      </c>
      <c r="T2459" s="3" t="s">
        <v>3962</v>
      </c>
    </row>
    <row r="2460" spans="1:20" x14ac:dyDescent="0.25">
      <c r="A2460" s="10">
        <v>46175</v>
      </c>
      <c r="B2460" s="2" t="s">
        <v>3966</v>
      </c>
      <c r="D2460" s="31"/>
      <c r="E2460" s="3" t="s">
        <v>27</v>
      </c>
      <c r="G2460" s="4" t="s">
        <v>326</v>
      </c>
      <c r="H2460" s="22" t="s">
        <v>81</v>
      </c>
      <c r="I2460" s="22"/>
      <c r="J2460" s="22">
        <f>I2459</f>
        <v>188450</v>
      </c>
      <c r="K2460" s="22">
        <f t="shared" si="26"/>
        <v>188450</v>
      </c>
      <c r="L2460" s="17"/>
      <c r="M2460" s="23"/>
    </row>
    <row r="2461" spans="1:20" x14ac:dyDescent="0.25">
      <c r="A2461" s="10">
        <v>46175</v>
      </c>
      <c r="B2461" s="2" t="s">
        <v>3968</v>
      </c>
      <c r="C2461" s="2" t="s">
        <v>95</v>
      </c>
      <c r="D2461" s="31" t="s">
        <v>3969</v>
      </c>
      <c r="E2461" s="3" t="s">
        <v>3970</v>
      </c>
      <c r="F2461" s="4">
        <v>20000</v>
      </c>
      <c r="G2461" s="4" t="s">
        <v>28</v>
      </c>
      <c r="H2461" s="22" t="s">
        <v>735</v>
      </c>
      <c r="I2461" s="22">
        <v>20000</v>
      </c>
      <c r="J2461" s="22"/>
      <c r="K2461" s="22">
        <f t="shared" si="26"/>
        <v>20000</v>
      </c>
      <c r="L2461" s="17"/>
      <c r="M2461" s="26" t="s">
        <v>581</v>
      </c>
      <c r="N2461" s="1" t="s">
        <v>3971</v>
      </c>
    </row>
    <row r="2462" spans="1:20" x14ac:dyDescent="0.25">
      <c r="A2462" s="10">
        <v>46175</v>
      </c>
      <c r="B2462" s="2" t="s">
        <v>3968</v>
      </c>
      <c r="C2462" s="2" t="s">
        <v>95</v>
      </c>
      <c r="D2462" s="31" t="s">
        <v>3969</v>
      </c>
      <c r="E2462" s="3" t="s">
        <v>3970</v>
      </c>
      <c r="G2462" s="4" t="s">
        <v>48</v>
      </c>
      <c r="H2462" s="22" t="s">
        <v>3972</v>
      </c>
      <c r="I2462" s="22"/>
      <c r="J2462" s="22">
        <f>I2461</f>
        <v>20000</v>
      </c>
      <c r="K2462" s="22">
        <f t="shared" si="26"/>
        <v>20000</v>
      </c>
      <c r="L2462" s="17"/>
      <c r="M2462" s="26"/>
    </row>
    <row r="2463" spans="1:20" ht="36" x14ac:dyDescent="0.25">
      <c r="A2463" s="10">
        <v>46175</v>
      </c>
      <c r="B2463" s="2" t="s">
        <v>3973</v>
      </c>
      <c r="C2463" s="2" t="s">
        <v>147</v>
      </c>
      <c r="D2463" s="31" t="s">
        <v>3974</v>
      </c>
      <c r="E2463" s="3" t="s">
        <v>472</v>
      </c>
      <c r="F2463" s="4">
        <v>18000</v>
      </c>
      <c r="G2463" s="4" t="s">
        <v>1030</v>
      </c>
      <c r="H2463" s="22" t="s">
        <v>78</v>
      </c>
      <c r="I2463" s="22">
        <v>9000</v>
      </c>
      <c r="J2463" s="22"/>
      <c r="K2463" s="22">
        <f t="shared" si="26"/>
        <v>9000</v>
      </c>
      <c r="L2463" s="17"/>
      <c r="M2463" s="26" t="s">
        <v>581</v>
      </c>
      <c r="N2463" s="1" t="s">
        <v>3975</v>
      </c>
    </row>
    <row r="2464" spans="1:20" x14ac:dyDescent="0.25">
      <c r="A2464" s="10">
        <v>46175</v>
      </c>
      <c r="B2464" s="2" t="s">
        <v>3973</v>
      </c>
      <c r="C2464" s="2" t="s">
        <v>147</v>
      </c>
      <c r="D2464" s="31" t="s">
        <v>3974</v>
      </c>
      <c r="E2464" s="3" t="s">
        <v>472</v>
      </c>
      <c r="G2464" s="4" t="s">
        <v>3656</v>
      </c>
      <c r="H2464" s="22" t="s">
        <v>78</v>
      </c>
      <c r="I2464" s="22">
        <v>9000</v>
      </c>
      <c r="J2464" s="22"/>
      <c r="K2464" s="22">
        <f t="shared" si="26"/>
        <v>9000</v>
      </c>
      <c r="L2464" s="17"/>
      <c r="M2464" s="26"/>
    </row>
    <row r="2465" spans="1:20" x14ac:dyDescent="0.25">
      <c r="A2465" s="10">
        <v>46175</v>
      </c>
      <c r="B2465" s="2" t="s">
        <v>3973</v>
      </c>
      <c r="C2465" s="2" t="s">
        <v>147</v>
      </c>
      <c r="D2465" s="31" t="s">
        <v>3974</v>
      </c>
      <c r="E2465" s="3" t="s">
        <v>472</v>
      </c>
      <c r="G2465" s="4" t="s">
        <v>48</v>
      </c>
      <c r="H2465" s="22" t="s">
        <v>49</v>
      </c>
      <c r="I2465" s="22"/>
      <c r="J2465" s="22">
        <f>I2463+I2464</f>
        <v>18000</v>
      </c>
      <c r="K2465" s="22">
        <f t="shared" si="26"/>
        <v>18000</v>
      </c>
      <c r="L2465" s="17"/>
      <c r="M2465" s="26"/>
    </row>
    <row r="2466" spans="1:20" ht="24" x14ac:dyDescent="0.25">
      <c r="A2466" s="10">
        <v>46176</v>
      </c>
      <c r="B2466" s="2" t="s">
        <v>3976</v>
      </c>
      <c r="C2466" s="2" t="s">
        <v>141</v>
      </c>
      <c r="D2466" s="31"/>
      <c r="E2466" s="3" t="s">
        <v>27</v>
      </c>
      <c r="F2466" s="4">
        <v>18000</v>
      </c>
      <c r="G2466" s="4" t="s">
        <v>48</v>
      </c>
      <c r="H2466" s="22" t="s">
        <v>83</v>
      </c>
      <c r="I2466" s="22">
        <v>18000</v>
      </c>
      <c r="J2466" s="22"/>
      <c r="K2466" s="22">
        <f t="shared" si="26"/>
        <v>18000</v>
      </c>
      <c r="L2466" s="17">
        <v>18000</v>
      </c>
      <c r="M2466" s="23" t="s">
        <v>41</v>
      </c>
      <c r="N2466" s="1" t="s">
        <v>3977</v>
      </c>
      <c r="O2466" s="7" t="s">
        <v>635</v>
      </c>
      <c r="P2466" s="7" t="s">
        <v>32</v>
      </c>
      <c r="Q2466" s="25" t="s">
        <v>3978</v>
      </c>
      <c r="R2466" s="7" t="s">
        <v>3979</v>
      </c>
      <c r="S2466" s="3" t="s">
        <v>3388</v>
      </c>
      <c r="T2466" s="3" t="s">
        <v>3389</v>
      </c>
    </row>
    <row r="2467" spans="1:20" x14ac:dyDescent="0.25">
      <c r="A2467" s="10">
        <v>46176</v>
      </c>
      <c r="B2467" s="2" t="s">
        <v>3976</v>
      </c>
      <c r="C2467" s="2" t="s">
        <v>141</v>
      </c>
      <c r="D2467" s="31"/>
      <c r="E2467" s="3" t="s">
        <v>27</v>
      </c>
      <c r="G2467" s="4" t="s">
        <v>98</v>
      </c>
      <c r="H2467" s="22" t="s">
        <v>3441</v>
      </c>
      <c r="I2467" s="22"/>
      <c r="J2467" s="22">
        <f>I2466</f>
        <v>18000</v>
      </c>
      <c r="K2467" s="22">
        <f t="shared" si="26"/>
        <v>18000</v>
      </c>
      <c r="L2467" s="17"/>
      <c r="M2467" s="26"/>
      <c r="Q2467" s="25"/>
    </row>
    <row r="2468" spans="1:20" ht="24" x14ac:dyDescent="0.25">
      <c r="A2468" s="10">
        <v>46176</v>
      </c>
      <c r="B2468" s="2" t="s">
        <v>3980</v>
      </c>
      <c r="C2468" s="2" t="s">
        <v>141</v>
      </c>
      <c r="D2468" s="31"/>
      <c r="E2468" s="3" t="s">
        <v>27</v>
      </c>
      <c r="F2468" s="4">
        <v>10000</v>
      </c>
      <c r="G2468" s="4" t="s">
        <v>48</v>
      </c>
      <c r="H2468" s="22" t="s">
        <v>83</v>
      </c>
      <c r="I2468" s="22">
        <v>10000</v>
      </c>
      <c r="J2468" s="22"/>
      <c r="K2468" s="22">
        <f t="shared" si="26"/>
        <v>10000</v>
      </c>
      <c r="L2468" s="17">
        <v>10000</v>
      </c>
      <c r="M2468" s="23" t="s">
        <v>41</v>
      </c>
      <c r="N2468" s="1" t="s">
        <v>3981</v>
      </c>
      <c r="O2468" s="7" t="s">
        <v>635</v>
      </c>
      <c r="P2468" s="7" t="s">
        <v>32</v>
      </c>
      <c r="Q2468" s="25" t="s">
        <v>3982</v>
      </c>
      <c r="R2468" s="7" t="s">
        <v>3979</v>
      </c>
      <c r="S2468" s="3" t="s">
        <v>3388</v>
      </c>
      <c r="T2468" s="3" t="s">
        <v>3389</v>
      </c>
    </row>
    <row r="2469" spans="1:20" x14ac:dyDescent="0.25">
      <c r="A2469" s="10">
        <v>46176</v>
      </c>
      <c r="B2469" s="2" t="s">
        <v>3980</v>
      </c>
      <c r="C2469" s="2" t="s">
        <v>141</v>
      </c>
      <c r="D2469" s="31"/>
      <c r="E2469" s="3" t="s">
        <v>27</v>
      </c>
      <c r="G2469" s="4" t="s">
        <v>98</v>
      </c>
      <c r="H2469" s="22" t="s">
        <v>3441</v>
      </c>
      <c r="I2469" s="22"/>
      <c r="J2469" s="22">
        <f>I2468</f>
        <v>10000</v>
      </c>
      <c r="K2469" s="22">
        <f t="shared" si="26"/>
        <v>10000</v>
      </c>
      <c r="L2469" s="17"/>
      <c r="M2469" s="23"/>
      <c r="Q2469" s="25"/>
    </row>
    <row r="2470" spans="1:20" ht="36" x14ac:dyDescent="0.25">
      <c r="A2470" s="10">
        <v>46176</v>
      </c>
      <c r="B2470" s="2" t="s">
        <v>3983</v>
      </c>
      <c r="C2470" s="2" t="s">
        <v>147</v>
      </c>
      <c r="D2470" s="31" t="s">
        <v>3984</v>
      </c>
      <c r="E2470" s="3" t="s">
        <v>2237</v>
      </c>
      <c r="F2470" s="4">
        <f>1350+1800</f>
        <v>3150</v>
      </c>
      <c r="G2470" s="4" t="s">
        <v>1030</v>
      </c>
      <c r="H2470" s="22" t="s">
        <v>78</v>
      </c>
      <c r="I2470" s="22">
        <f>3150/2</f>
        <v>1575</v>
      </c>
      <c r="J2470" s="22"/>
      <c r="K2470" s="22">
        <f t="shared" si="26"/>
        <v>1575</v>
      </c>
      <c r="L2470" s="17"/>
      <c r="M2470" s="26" t="s">
        <v>581</v>
      </c>
      <c r="N2470" s="1" t="s">
        <v>3985</v>
      </c>
      <c r="T2470" s="3" t="s">
        <v>3986</v>
      </c>
    </row>
    <row r="2471" spans="1:20" x14ac:dyDescent="0.25">
      <c r="A2471" s="10">
        <v>46176</v>
      </c>
      <c r="B2471" s="2" t="s">
        <v>3983</v>
      </c>
      <c r="C2471" s="2" t="s">
        <v>147</v>
      </c>
      <c r="D2471" s="31" t="s">
        <v>3984</v>
      </c>
      <c r="E2471" s="3" t="s">
        <v>2237</v>
      </c>
      <c r="G2471" s="4" t="s">
        <v>3656</v>
      </c>
      <c r="H2471" s="22" t="s">
        <v>78</v>
      </c>
      <c r="I2471" s="22">
        <f>3150/2</f>
        <v>1575</v>
      </c>
      <c r="J2471" s="22"/>
      <c r="K2471" s="22">
        <f t="shared" si="26"/>
        <v>1575</v>
      </c>
      <c r="L2471" s="17"/>
      <c r="M2471" s="26"/>
    </row>
    <row r="2472" spans="1:20" x14ac:dyDescent="0.25">
      <c r="A2472" s="10">
        <v>46176</v>
      </c>
      <c r="B2472" s="2" t="s">
        <v>3983</v>
      </c>
      <c r="C2472" s="2" t="s">
        <v>147</v>
      </c>
      <c r="D2472" s="31" t="s">
        <v>3984</v>
      </c>
      <c r="E2472" s="3" t="s">
        <v>2237</v>
      </c>
      <c r="G2472" s="4" t="s">
        <v>48</v>
      </c>
      <c r="H2472" s="22" t="s">
        <v>83</v>
      </c>
      <c r="I2472" s="22"/>
      <c r="J2472" s="22">
        <f>I2470+I2471</f>
        <v>3150</v>
      </c>
      <c r="K2472" s="22">
        <f t="shared" si="26"/>
        <v>3150</v>
      </c>
      <c r="L2472" s="17"/>
      <c r="M2472" s="26"/>
    </row>
    <row r="2473" spans="1:20" ht="24" x14ac:dyDescent="0.25">
      <c r="A2473" s="10">
        <v>46176</v>
      </c>
      <c r="B2473" s="2" t="s">
        <v>3987</v>
      </c>
      <c r="C2473" s="2" t="s">
        <v>141</v>
      </c>
      <c r="D2473" s="31"/>
      <c r="E2473" s="3" t="s">
        <v>27</v>
      </c>
      <c r="F2473" s="4">
        <v>517600</v>
      </c>
      <c r="G2473" s="4" t="s">
        <v>48</v>
      </c>
      <c r="H2473" s="22" t="s">
        <v>83</v>
      </c>
      <c r="I2473" s="22">
        <v>517600</v>
      </c>
      <c r="J2473" s="22"/>
      <c r="K2473" s="22">
        <f t="shared" si="26"/>
        <v>517600</v>
      </c>
      <c r="L2473" s="17">
        <v>517600</v>
      </c>
      <c r="M2473" s="23" t="s">
        <v>41</v>
      </c>
      <c r="N2473" s="1" t="s">
        <v>3988</v>
      </c>
      <c r="O2473" s="7" t="s">
        <v>143</v>
      </c>
      <c r="P2473" s="7" t="s">
        <v>32</v>
      </c>
      <c r="Q2473" s="25" t="s">
        <v>3989</v>
      </c>
      <c r="R2473" s="7" t="s">
        <v>3979</v>
      </c>
      <c r="S2473" s="3" t="s">
        <v>145</v>
      </c>
      <c r="T2473" s="3" t="s">
        <v>3907</v>
      </c>
    </row>
    <row r="2474" spans="1:20" x14ac:dyDescent="0.25">
      <c r="A2474" s="10">
        <v>46176</v>
      </c>
      <c r="B2474" s="2" t="s">
        <v>3987</v>
      </c>
      <c r="C2474" s="2" t="s">
        <v>141</v>
      </c>
      <c r="D2474" s="31"/>
      <c r="E2474" s="3" t="s">
        <v>27</v>
      </c>
      <c r="G2474" s="4" t="s">
        <v>48</v>
      </c>
      <c r="H2474" s="22" t="s">
        <v>334</v>
      </c>
      <c r="I2474" s="22"/>
      <c r="J2474" s="22">
        <f>I2473</f>
        <v>517600</v>
      </c>
      <c r="K2474" s="22">
        <f t="shared" si="26"/>
        <v>517600</v>
      </c>
      <c r="L2474" s="17"/>
      <c r="M2474" s="26"/>
      <c r="Q2474" s="25"/>
    </row>
    <row r="2475" spans="1:20" ht="36" x14ac:dyDescent="0.25">
      <c r="A2475" s="10">
        <v>46176</v>
      </c>
      <c r="B2475" s="2" t="s">
        <v>3990</v>
      </c>
      <c r="C2475" s="2" t="s">
        <v>310</v>
      </c>
      <c r="D2475" s="31"/>
      <c r="E2475" s="3" t="s">
        <v>371</v>
      </c>
      <c r="F2475" s="4">
        <v>2172000</v>
      </c>
      <c r="G2475" s="4" t="s">
        <v>98</v>
      </c>
      <c r="H2475" s="22" t="s">
        <v>3991</v>
      </c>
      <c r="I2475" s="22">
        <v>2172000</v>
      </c>
      <c r="J2475" s="22"/>
      <c r="K2475" s="22">
        <f t="shared" si="26"/>
        <v>2172000</v>
      </c>
      <c r="L2475" s="17">
        <v>2172000</v>
      </c>
      <c r="M2475" s="23" t="s">
        <v>41</v>
      </c>
      <c r="N2475" s="1" t="s">
        <v>3992</v>
      </c>
      <c r="O2475" s="7" t="s">
        <v>313</v>
      </c>
      <c r="P2475" s="7" t="s">
        <v>32</v>
      </c>
      <c r="Q2475" s="25" t="s">
        <v>3993</v>
      </c>
      <c r="R2475" s="7" t="s">
        <v>3979</v>
      </c>
      <c r="S2475" s="3" t="s">
        <v>3994</v>
      </c>
      <c r="T2475" s="3" t="s">
        <v>3995</v>
      </c>
    </row>
    <row r="2476" spans="1:20" x14ac:dyDescent="0.25">
      <c r="A2476" s="10">
        <v>46176</v>
      </c>
      <c r="B2476" s="2" t="s">
        <v>3990</v>
      </c>
      <c r="C2476" s="2" t="s">
        <v>310</v>
      </c>
      <c r="D2476" s="31"/>
      <c r="E2476" s="3" t="s">
        <v>371</v>
      </c>
      <c r="G2476" s="4" t="s">
        <v>98</v>
      </c>
      <c r="H2476" s="22" t="s">
        <v>3911</v>
      </c>
      <c r="I2476" s="22"/>
      <c r="J2476" s="22">
        <f>I2475</f>
        <v>2172000</v>
      </c>
      <c r="K2476" s="22">
        <f t="shared" si="26"/>
        <v>2172000</v>
      </c>
      <c r="L2476" s="17"/>
      <c r="M2476" s="26"/>
      <c r="Q2476" s="25"/>
    </row>
    <row r="2477" spans="1:20" x14ac:dyDescent="0.25">
      <c r="A2477" s="10">
        <v>46176</v>
      </c>
      <c r="B2477" s="2" t="s">
        <v>3996</v>
      </c>
      <c r="E2477" s="3" t="s">
        <v>398</v>
      </c>
      <c r="F2477" s="4">
        <v>50000</v>
      </c>
      <c r="G2477" s="4" t="s">
        <v>167</v>
      </c>
      <c r="H2477" s="22" t="s">
        <v>168</v>
      </c>
      <c r="I2477" s="22">
        <v>50000</v>
      </c>
      <c r="J2477" s="22"/>
      <c r="K2477" s="22">
        <f t="shared" si="26"/>
        <v>50000</v>
      </c>
      <c r="L2477" s="17">
        <v>50000</v>
      </c>
      <c r="M2477" s="23" t="s">
        <v>41</v>
      </c>
      <c r="N2477" s="1" t="s">
        <v>3997</v>
      </c>
      <c r="O2477" s="7" t="s">
        <v>2431</v>
      </c>
      <c r="P2477" s="7" t="s">
        <v>32</v>
      </c>
      <c r="Q2477" s="25" t="s">
        <v>3998</v>
      </c>
      <c r="R2477" s="7" t="s">
        <v>3979</v>
      </c>
      <c r="S2477" s="3" t="s">
        <v>3388</v>
      </c>
      <c r="T2477" s="3" t="s">
        <v>3389</v>
      </c>
    </row>
    <row r="2478" spans="1:20" x14ac:dyDescent="0.25">
      <c r="A2478" s="10">
        <v>46176</v>
      </c>
      <c r="B2478" s="2" t="s">
        <v>3996</v>
      </c>
      <c r="E2478" s="3" t="s">
        <v>398</v>
      </c>
      <c r="G2478" s="4" t="s">
        <v>98</v>
      </c>
      <c r="H2478" s="22" t="s">
        <v>3441</v>
      </c>
      <c r="I2478" s="22"/>
      <c r="J2478" s="22">
        <f>I2477</f>
        <v>50000</v>
      </c>
      <c r="K2478" s="22">
        <f t="shared" si="26"/>
        <v>50000</v>
      </c>
      <c r="L2478" s="17"/>
      <c r="M2478" s="26"/>
      <c r="Q2478" s="25"/>
    </row>
    <row r="2479" spans="1:20" x14ac:dyDescent="0.25">
      <c r="A2479" s="10">
        <v>46176</v>
      </c>
      <c r="B2479" s="2" t="s">
        <v>3999</v>
      </c>
      <c r="E2479" s="3" t="s">
        <v>4000</v>
      </c>
      <c r="F2479" s="4">
        <f>5930+850</f>
        <v>6780</v>
      </c>
      <c r="G2479" s="4" t="s">
        <v>1030</v>
      </c>
      <c r="H2479" s="22" t="s">
        <v>2094</v>
      </c>
      <c r="I2479" s="22">
        <v>6780</v>
      </c>
      <c r="J2479" s="22"/>
      <c r="K2479" s="22">
        <f t="shared" si="26"/>
        <v>6780</v>
      </c>
      <c r="L2479" s="17">
        <v>6780</v>
      </c>
      <c r="M2479" s="23" t="s">
        <v>41</v>
      </c>
      <c r="N2479" s="1" t="s">
        <v>4001</v>
      </c>
    </row>
    <row r="2480" spans="1:20" x14ac:dyDescent="0.25">
      <c r="A2480" s="10">
        <v>46176</v>
      </c>
      <c r="B2480" s="2" t="s">
        <v>3999</v>
      </c>
      <c r="E2480" s="3" t="s">
        <v>4000</v>
      </c>
      <c r="G2480" s="4" t="s">
        <v>48</v>
      </c>
      <c r="H2480" s="22" t="s">
        <v>83</v>
      </c>
      <c r="I2480" s="22"/>
      <c r="J2480" s="22">
        <f>I2479</f>
        <v>6780</v>
      </c>
      <c r="K2480" s="22">
        <f t="shared" si="26"/>
        <v>6780</v>
      </c>
      <c r="L2480" s="17"/>
      <c r="M2480" s="26"/>
    </row>
    <row r="2481" spans="1:19" ht="36" x14ac:dyDescent="0.25">
      <c r="A2481" s="10">
        <v>46177</v>
      </c>
      <c r="B2481" s="2" t="s">
        <v>4002</v>
      </c>
      <c r="C2481" s="2" t="s">
        <v>95</v>
      </c>
      <c r="D2481" s="2" t="s">
        <v>4003</v>
      </c>
      <c r="E2481" s="3" t="s">
        <v>2563</v>
      </c>
      <c r="F2481" s="4">
        <v>1500</v>
      </c>
      <c r="G2481" s="4" t="s">
        <v>48</v>
      </c>
      <c r="H2481" s="22"/>
      <c r="I2481" s="22"/>
      <c r="J2481" s="22"/>
      <c r="K2481" s="22">
        <f t="shared" si="26"/>
        <v>0</v>
      </c>
      <c r="L2481" s="17">
        <v>1500</v>
      </c>
      <c r="M2481" s="23" t="s">
        <v>41</v>
      </c>
      <c r="N2481" s="1" t="s">
        <v>4004</v>
      </c>
      <c r="P2481" s="7" t="s">
        <v>81</v>
      </c>
      <c r="R2481" s="7" t="s">
        <v>4005</v>
      </c>
      <c r="S2481" s="3" t="s">
        <v>83</v>
      </c>
    </row>
    <row r="2482" spans="1:19" x14ac:dyDescent="0.25">
      <c r="B2482" s="2" t="s">
        <v>4006</v>
      </c>
      <c r="H2482" s="22"/>
      <c r="I2482" s="22"/>
      <c r="J2482" s="22"/>
      <c r="K2482" s="22">
        <f t="shared" si="26"/>
        <v>0</v>
      </c>
      <c r="L2482" s="17"/>
    </row>
    <row r="2483" spans="1:19" x14ac:dyDescent="0.25">
      <c r="B2483" s="2" t="s">
        <v>4007</v>
      </c>
      <c r="H2483" s="22"/>
      <c r="I2483" s="22"/>
      <c r="J2483" s="22"/>
      <c r="K2483" s="22">
        <f t="shared" si="26"/>
        <v>0</v>
      </c>
      <c r="L2483" s="17"/>
    </row>
    <row r="2484" spans="1:19" x14ac:dyDescent="0.25">
      <c r="B2484" s="2" t="s">
        <v>4008</v>
      </c>
      <c r="H2484" s="22"/>
      <c r="I2484" s="22"/>
      <c r="J2484" s="22"/>
      <c r="K2484" s="22">
        <f t="shared" si="26"/>
        <v>0</v>
      </c>
      <c r="L2484" s="17"/>
    </row>
    <row r="2485" spans="1:19" x14ac:dyDescent="0.25">
      <c r="B2485" s="2" t="s">
        <v>4009</v>
      </c>
      <c r="H2485" s="22"/>
      <c r="I2485" s="22"/>
      <c r="J2485" s="22"/>
      <c r="K2485" s="22">
        <f t="shared" si="26"/>
        <v>0</v>
      </c>
      <c r="L2485" s="17"/>
    </row>
    <row r="2486" spans="1:19" x14ac:dyDescent="0.25">
      <c r="B2486" s="2" t="s">
        <v>4010</v>
      </c>
      <c r="H2486" s="22"/>
      <c r="I2486" s="22"/>
      <c r="J2486" s="22"/>
      <c r="K2486" s="22">
        <f t="shared" si="26"/>
        <v>0</v>
      </c>
      <c r="L2486" s="17"/>
    </row>
    <row r="2487" spans="1:19" x14ac:dyDescent="0.25">
      <c r="B2487" s="2" t="s">
        <v>4011</v>
      </c>
      <c r="H2487" s="22"/>
      <c r="I2487" s="22"/>
      <c r="J2487" s="22"/>
      <c r="K2487" s="22">
        <f t="shared" si="26"/>
        <v>0</v>
      </c>
      <c r="L2487" s="17"/>
    </row>
    <row r="2488" spans="1:19" x14ac:dyDescent="0.25">
      <c r="B2488" s="2" t="s">
        <v>4012</v>
      </c>
      <c r="H2488" s="22"/>
      <c r="I2488" s="22"/>
      <c r="J2488" s="22"/>
      <c r="K2488" s="22">
        <f t="shared" si="26"/>
        <v>0</v>
      </c>
      <c r="L2488" s="17"/>
    </row>
    <row r="2489" spans="1:19" x14ac:dyDescent="0.25">
      <c r="B2489" s="2" t="s">
        <v>4013</v>
      </c>
      <c r="H2489" s="22"/>
      <c r="I2489" s="22"/>
      <c r="J2489" s="22"/>
      <c r="K2489" s="22">
        <f t="shared" si="26"/>
        <v>0</v>
      </c>
      <c r="L2489" s="17"/>
    </row>
    <row r="2490" spans="1:19" x14ac:dyDescent="0.25">
      <c r="B2490" s="2" t="s">
        <v>4014</v>
      </c>
      <c r="H2490" s="22"/>
      <c r="I2490" s="22"/>
      <c r="J2490" s="22"/>
      <c r="K2490" s="22">
        <f t="shared" si="26"/>
        <v>0</v>
      </c>
      <c r="L2490" s="17"/>
    </row>
    <row r="2491" spans="1:19" x14ac:dyDescent="0.25">
      <c r="B2491" s="2" t="s">
        <v>4015</v>
      </c>
      <c r="H2491" s="22"/>
      <c r="I2491" s="22"/>
      <c r="J2491" s="22"/>
      <c r="K2491" s="22">
        <f t="shared" si="26"/>
        <v>0</v>
      </c>
      <c r="L2491" s="17"/>
    </row>
    <row r="2492" spans="1:19" x14ac:dyDescent="0.25">
      <c r="B2492" s="2" t="s">
        <v>4016</v>
      </c>
      <c r="H2492" s="22"/>
      <c r="I2492" s="22"/>
      <c r="J2492" s="22"/>
      <c r="K2492" s="22">
        <f t="shared" si="26"/>
        <v>0</v>
      </c>
      <c r="L2492" s="17"/>
    </row>
    <row r="2493" spans="1:19" x14ac:dyDescent="0.25">
      <c r="B2493" s="2" t="s">
        <v>4017</v>
      </c>
      <c r="H2493" s="22"/>
      <c r="I2493" s="22"/>
      <c r="J2493" s="22"/>
      <c r="K2493" s="22">
        <f t="shared" si="26"/>
        <v>0</v>
      </c>
      <c r="L2493" s="17"/>
    </row>
    <row r="2494" spans="1:19" x14ac:dyDescent="0.25">
      <c r="B2494" s="2" t="s">
        <v>4018</v>
      </c>
      <c r="H2494" s="22"/>
      <c r="I2494" s="22"/>
      <c r="J2494" s="22"/>
      <c r="K2494" s="22">
        <f t="shared" si="26"/>
        <v>0</v>
      </c>
      <c r="L2494" s="17"/>
    </row>
    <row r="2495" spans="1:19" x14ac:dyDescent="0.25">
      <c r="B2495" s="2" t="s">
        <v>4019</v>
      </c>
      <c r="H2495" s="22"/>
      <c r="I2495" s="22"/>
      <c r="J2495" s="22"/>
      <c r="K2495" s="22">
        <f t="shared" si="26"/>
        <v>0</v>
      </c>
      <c r="L2495" s="17"/>
    </row>
    <row r="2496" spans="1:19" x14ac:dyDescent="0.25">
      <c r="B2496" s="2" t="s">
        <v>4020</v>
      </c>
      <c r="H2496" s="22"/>
      <c r="I2496" s="22"/>
      <c r="J2496" s="22"/>
      <c r="K2496" s="22">
        <f t="shared" si="26"/>
        <v>0</v>
      </c>
      <c r="L2496" s="17"/>
    </row>
    <row r="2497" spans="1:23" x14ac:dyDescent="0.25">
      <c r="B2497" s="2" t="s">
        <v>4021</v>
      </c>
      <c r="H2497" s="22"/>
      <c r="I2497" s="22"/>
      <c r="J2497" s="22"/>
      <c r="K2497" s="22">
        <f t="shared" si="26"/>
        <v>0</v>
      </c>
      <c r="L2497" s="17"/>
    </row>
    <row r="2498" spans="1:23" x14ac:dyDescent="0.25">
      <c r="H2498" s="22"/>
      <c r="I2498" s="22"/>
      <c r="J2498" s="22"/>
      <c r="K2498" s="22">
        <f t="shared" si="26"/>
        <v>0</v>
      </c>
      <c r="L2498" s="17"/>
    </row>
    <row r="2499" spans="1:23" x14ac:dyDescent="0.25">
      <c r="H2499" s="22"/>
      <c r="I2499" s="22"/>
      <c r="J2499" s="22"/>
      <c r="K2499" s="22">
        <f t="shared" si="26"/>
        <v>0</v>
      </c>
      <c r="L2499" s="17"/>
    </row>
    <row r="2500" spans="1:23" x14ac:dyDescent="0.25">
      <c r="H2500" s="22"/>
      <c r="I2500" s="22"/>
      <c r="J2500" s="22"/>
      <c r="K2500" s="22">
        <f t="shared" si="26"/>
        <v>0</v>
      </c>
      <c r="L2500" s="17"/>
    </row>
    <row r="2501" spans="1:23" x14ac:dyDescent="0.25">
      <c r="H2501" s="22"/>
      <c r="I2501" s="22"/>
      <c r="J2501" s="22"/>
      <c r="K2501" s="22">
        <f t="shared" si="26"/>
        <v>0</v>
      </c>
      <c r="L2501" s="17"/>
    </row>
    <row r="2502" spans="1:23" x14ac:dyDescent="0.25">
      <c r="H2502" s="22"/>
      <c r="I2502" s="22"/>
      <c r="J2502" s="22"/>
      <c r="K2502" s="22">
        <f t="shared" si="26"/>
        <v>0</v>
      </c>
      <c r="L2502" s="17"/>
    </row>
    <row r="2503" spans="1:23" x14ac:dyDescent="0.25">
      <c r="H2503" s="22"/>
      <c r="I2503" s="22"/>
      <c r="J2503" s="22"/>
      <c r="K2503" s="22">
        <f t="shared" si="26"/>
        <v>0</v>
      </c>
      <c r="L2503" s="17"/>
    </row>
    <row r="2504" spans="1:23" x14ac:dyDescent="0.25">
      <c r="H2504" s="22"/>
      <c r="I2504" s="22"/>
      <c r="J2504" s="22"/>
      <c r="K2504" s="22">
        <f t="shared" si="26"/>
        <v>0</v>
      </c>
      <c r="L2504" s="17"/>
    </row>
    <row r="2505" spans="1:23" x14ac:dyDescent="0.25">
      <c r="H2505" s="22"/>
      <c r="I2505" s="22"/>
      <c r="J2505" s="22"/>
      <c r="K2505" s="22">
        <f t="shared" si="26"/>
        <v>0</v>
      </c>
      <c r="L2505" s="17"/>
    </row>
    <row r="2506" spans="1:23" x14ac:dyDescent="0.25">
      <c r="H2506" s="22"/>
      <c r="I2506" s="22"/>
      <c r="J2506" s="22"/>
      <c r="K2506" s="22">
        <f t="shared" si="26"/>
        <v>0</v>
      </c>
      <c r="L2506" s="17"/>
    </row>
    <row r="2507" spans="1:23" ht="15.6" x14ac:dyDescent="0.25">
      <c r="A2507" s="61"/>
      <c r="B2507" s="62"/>
      <c r="C2507" s="62"/>
      <c r="D2507" s="62"/>
      <c r="E2507" s="63"/>
      <c r="F2507" s="64">
        <f>F682+F686+F708+F732+F760+F764+F830</f>
        <v>72440.607499999998</v>
      </c>
      <c r="G2507" s="65"/>
      <c r="H2507" s="66" t="s">
        <v>4022</v>
      </c>
      <c r="I2507" s="67">
        <f>SUM(I10:I2506)</f>
        <v>203049987.70600012</v>
      </c>
      <c r="J2507" s="67">
        <f>SUM(J10:J2506)</f>
        <v>203049987.70600012</v>
      </c>
      <c r="K2507" s="68"/>
      <c r="L2507" s="64">
        <f>I2507-J2507</f>
        <v>0</v>
      </c>
      <c r="M2507" s="69"/>
      <c r="N2507" s="70"/>
      <c r="O2507" s="71"/>
      <c r="P2507" s="71"/>
      <c r="Q2507" s="71"/>
      <c r="R2507" s="71"/>
      <c r="S2507" s="63"/>
      <c r="T2507" s="63"/>
      <c r="U2507" s="72"/>
      <c r="V2507" s="72"/>
      <c r="W2507" s="73"/>
    </row>
  </sheetData>
  <autoFilter ref="A9:T2507" xr:uid="{00000000-0009-0000-0000-000001000000}"/>
  <pageMargins left="0.11811023622047245" right="0.11811023622047245" top="0.98425196850393704" bottom="0.98425196850393704" header="0" footer="0"/>
  <pageSetup paperSize="5" scale="8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2026 DAILY TRANSACTIONS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OneMark_CFO</dc:creator>
  <cp:lastModifiedBy>OneMark_CFO</cp:lastModifiedBy>
  <dcterms:created xsi:type="dcterms:W3CDTF">2026-06-04T05:48:05Z</dcterms:created>
  <dcterms:modified xsi:type="dcterms:W3CDTF">2026-06-04T05:56:13Z</dcterms:modified>
</cp:coreProperties>
</file>